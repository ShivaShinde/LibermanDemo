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9" i="11" l="1"/>
  <c r="A349" i="1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<sst xmlns="http://schemas.openxmlformats.org/spreadsheetml/2006/main" count="89880" uniqueCount="44663">
  <si>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</si>
  <si>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</si>
  <si>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</si>
  <si>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</si>
  <si>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</si>
  <si>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</si>
  <si>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</si>
  <si>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</si>
  <si>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</si>
  <si>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</si>
  <si>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</si>
  <si>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</si>
  <si>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</si>
  <si>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</si>
  <si>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</si>
  <si>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</si>
  <si>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</si>
  <si>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</si>
  <si>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</si>
  <si>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</si>
  <si>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</si>
  <si>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</si>
  <si>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</si>
  <si>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</si>
  <si>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</si>
  <si>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</si>
  <si>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</si>
  <si>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</si>
  <si>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</si>
  <si>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</si>
  <si>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</si>
  <si>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</si>
  <si>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</si>
  <si>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</si>
  <si>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</si>
  <si>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</si>
  <si>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</si>
  <si>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</si>
  <si>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</si>
  <si>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</si>
  <si>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</si>
  <si>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</si>
  <si>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</si>
  <si>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</si>
  <si>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</si>
  <si>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</si>
  <si>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</si>
  <si>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</si>
  <si>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</si>
  <si>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</si>
  <si>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</si>
  <si>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</si>
  <si>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</si>
  <si>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</si>
  <si>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</si>
  <si>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</si>
  <si>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</si>
  <si>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</si>
  <si>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</si>
  <si>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</si>
  <si>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</si>
  <si>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</si>
  <si>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</si>
  <si>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</si>
  <si>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</si>
  <si>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</si>
  <si>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</si>
  <si>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</si>
  <si>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</si>
  <si>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</si>
  <si>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</si>
  <si>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</si>
  <si>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</si>
  <si>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</si>
  <si>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</si>
  <si>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</si>
  <si>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</si>
  <si>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</si>
  <si>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</si>
  <si>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</si>
  <si>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</si>
  <si>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</si>
  <si>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</si>
  <si>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</si>
  <si>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</si>
  <si>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</si>
  <si>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</si>
  <si>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</si>
  <si>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</si>
  <si>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</si>
  <si>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</si>
  <si>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</si>
  <si>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</si>
  <si>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</si>
  <si>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</si>
  <si>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</si>
  <si>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</si>
  <si>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</si>
  <si>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</si>
  <si>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</si>
  <si>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</si>
  <si>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</si>
  <si>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</si>
  <si>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</si>
  <si>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</si>
  <si>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</si>
  <si>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</si>
  <si>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</si>
  <si>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</si>
  <si>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</si>
  <si>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</si>
  <si>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</si>
  <si>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</si>
  <si>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</si>
  <si>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</si>
  <si>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</si>
  <si>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</si>
  <si>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</si>
  <si>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</si>
  <si>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</si>
  <si>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</si>
  <si>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</si>
  <si>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</si>
  <si>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</si>
  <si>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</si>
  <si>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</si>
  <si>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</si>
  <si>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</si>
  <si>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</si>
  <si>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</si>
  <si>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</si>
  <si>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</si>
  <si>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</si>
  <si>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</si>
  <si>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</si>
  <si>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</si>
  <si>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</si>
  <si>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</si>
  <si>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</si>
  <si>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</si>
  <si>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</si>
  <si>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</si>
  <si>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</si>
  <si>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</si>
  <si>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</si>
  <si>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</si>
  <si>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</si>
  <si>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</si>
  <si>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</si>
  <si>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</si>
  <si>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</si>
  <si>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</si>
  <si>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</si>
  <si>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</si>
  <si>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</si>
  <si>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</si>
  <si>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</si>
  <si>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</si>
  <si>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</si>
  <si>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</si>
  <si>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</si>
  <si>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</si>
  <si>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</si>
  <si>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</si>
  <si>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</si>
  <si>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</si>
  <si>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</si>
  <si>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</si>
  <si>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</si>
  <si>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</si>
  <si>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</si>
  <si>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</si>
  <si>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</si>
  <si>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</si>
  <si>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</si>
  <si>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</si>
  <si>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</si>
  <si>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</si>
  <si>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</si>
  <si>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</si>
  <si>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</si>
  <si>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</si>
  <si>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</si>
  <si>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</si>
  <si>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</si>
  <si>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</si>
  <si>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</si>
  <si>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</si>
  <si>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</si>
  <si>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</si>
  <si>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</si>
  <si>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</si>
  <si>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</si>
  <si>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</si>
  <si>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</si>
  <si>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</si>
  <si>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</si>
  <si>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</si>
  <si>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</si>
  <si>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</si>
  <si>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</si>
  <si>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</si>
  <si>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</si>
  <si>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</si>
  <si>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</si>
  <si>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</si>
  <si>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</si>
  <si>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</si>
  <si>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</si>
  <si>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</si>
  <si>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</si>
  <si>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</si>
  <si>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</si>
  <si>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</si>
  <si>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</si>
  <si>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</si>
  <si>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</si>
  <si>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</si>
  <si>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</si>
  <si>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</si>
  <si>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</si>
  <si>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</si>
  <si>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</si>
  <si>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</si>
  <si>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</si>
  <si>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</si>
  <si>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</si>
  <si>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</si>
  <si>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</si>
  <si>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</si>
  <si>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</si>
  <si>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</si>
  <si>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</si>
  <si>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</si>
  <si>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</si>
  <si>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</si>
  <si>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</si>
  <si>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</si>
  <si>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</si>
  <si>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</si>
  <si>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</si>
  <si>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</si>
  <si>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</si>
  <si>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</si>
  <si>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</si>
  <si>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</si>
  <si>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</si>
  <si>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</si>
  <si>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</si>
  <si>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</si>
  <si>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</si>
  <si>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</si>
  <si>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</si>
  <si>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</si>
  <si>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</si>
  <si>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</si>
  <si>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</si>
  <si>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</si>
  <si>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</si>
  <si>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</si>
  <si>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</si>
  <si>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</si>
  <si>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</si>
  <si>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</si>
  <si>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</si>
  <si>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</si>
  <si>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</si>
  <si>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</si>
  <si>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</si>
  <si>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</si>
  <si>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</si>
  <si>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</si>
  <si>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</si>
  <si>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</si>
  <si>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</si>
  <si>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</si>
  <si>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</si>
  <si>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</si>
  <si>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</si>
  <si>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</si>
  <si>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</si>
  <si>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</si>
  <si>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</si>
  <si>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</si>
  <si>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</si>
  <si>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</si>
  <si>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</si>
  <si>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</si>
  <si>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</si>
  <si>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</si>
  <si>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</si>
  <si>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</si>
  <si>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</si>
  <si>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</si>
  <si>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</si>
  <si>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</si>
  <si>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</si>
  <si>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</si>
  <si>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</si>
  <si>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</si>
  <si>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</si>
  <si>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</si>
  <si>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</si>
  <si>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</si>
  <si>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</si>
  <si>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</si>
  <si>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</si>
  <si>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</si>
  <si>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</si>
  <si>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</si>
  <si>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</si>
  <si>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</si>
  <si>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</si>
  <si>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</si>
  <si>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</si>
  <si>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</si>
  <si>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</si>
  <si>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</si>
  <si>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</si>
  <si>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</si>
  <si>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</si>
  <si>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</si>
  <si>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</si>
  <si>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</si>
  <si>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</si>
  <si>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</si>
  <si>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</si>
  <si>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</si>
  <si>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</si>
  <si>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</si>
  <si>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</si>
  <si>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</si>
  <si>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</si>
  <si>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</si>
  <si>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</si>
  <si>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</si>
  <si>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</si>
  <si>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</si>
  <si>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</si>
  <si>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</si>
  <si>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</si>
  <si>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</si>
  <si>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</si>
  <si>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</si>
  <si>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</si>
  <si>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</si>
  <si>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</si>
  <si>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</si>
  <si>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</si>
  <si>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</si>
  <si>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</si>
  <si>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</si>
  <si>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</si>
  <si>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</si>
  <si>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</si>
  <si>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</si>
  <si>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</si>
  <si>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</si>
  <si>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</si>
  <si>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</si>
  <si>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</si>
  <si>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</si>
  <si>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</si>
  <si>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</si>
  <si>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</si>
  <si>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</si>
  <si>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</si>
  <si>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</si>
  <si>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</si>
  <si>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</si>
  <si>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</si>
  <si>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</si>
  <si>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</si>
  <si>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</si>
  <si>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</si>
  <si>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</si>
  <si>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</si>
  <si>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</si>
  <si>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</si>
  <si>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</si>
  <si>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</si>
  <si>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</si>
  <si>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</si>
  <si>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</si>
  <si>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</si>
  <si>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</si>
  <si>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</si>
  <si>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</si>
  <si>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</si>
  <si>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</si>
  <si>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</si>
  <si>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</si>
  <si>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</si>
  <si>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</si>
  <si>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</si>
  <si>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</si>
  <si>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</si>
  <si>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</si>
  <si>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</si>
  <si>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</si>
  <si>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</si>
  <si>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</si>
  <si>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</si>
  <si>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</si>
  <si>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</si>
  <si>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</si>
  <si>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</si>
  <si>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</si>
  <si>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</si>
  <si>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</si>
  <si>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</si>
  <si>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</si>
  <si>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</si>
  <si>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</si>
  <si>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</si>
  <si>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</si>
  <si>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</si>
  <si>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</si>
  <si>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</si>
  <si>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</si>
  <si>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</si>
  <si>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</si>
  <si>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</si>
  <si>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</si>
  <si>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</si>
  <si>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</si>
  <si>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</si>
  <si>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</si>
  <si>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</si>
  <si>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</si>
  <si>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</si>
  <si>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</si>
  <si>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</si>
  <si>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</si>
  <si>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</si>
  <si>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</si>
  <si>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</si>
  <si>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</si>
  <si>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</si>
  <si>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</si>
  <si>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</si>
  <si>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</si>
  <si>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</si>
  <si>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</si>
  <si>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</si>
  <si>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</si>
  <si>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</si>
  <si>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</si>
  <si>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</si>
  <si>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</si>
  <si>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</si>
  <si>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</si>
  <si>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</si>
  <si>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</si>
  <si>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</si>
  <si>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</si>
  <si>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</si>
  <si>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</si>
  <si>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</si>
  <si>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</si>
  <si>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</si>
  <si>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</si>
  <si>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</si>
  <si>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</si>
  <si>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</si>
  <si>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</si>
  <si>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</si>
  <si>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</si>
  <si>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</si>
  <si>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</si>
  <si>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</si>
  <si>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</si>
  <si>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</si>
  <si>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</si>
  <si>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</si>
  <si>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</si>
  <si>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</si>
  <si>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</si>
  <si>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</si>
  <si>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</si>
  <si>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</si>
  <si>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</si>
  <si>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</si>
  <si>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</si>
  <si>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</si>
  <si>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</si>
  <si>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</si>
  <si>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</si>
  <si>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</si>
  <si>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</si>
  <si>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</si>
  <si>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</si>
  <si>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</si>
  <si>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</si>
  <si>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</si>
  <si>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</si>
  <si>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</si>
  <si>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</si>
  <si>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</si>
  <si>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</si>
  <si>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</si>
  <si>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</si>
  <si>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</si>
  <si>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</si>
  <si>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</si>
  <si>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</si>
  <si>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</si>
  <si>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</si>
  <si>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</si>
  <si>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</si>
  <si>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</si>
  <si>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</si>
  <si>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</si>
  <si>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</si>
  <si>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</si>
  <si>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</si>
  <si>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</si>
  <si>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</si>
  <si>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</si>
  <si>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</si>
  <si>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</si>
  <si>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</si>
  <si>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</si>
  <si>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</si>
  <si>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</si>
  <si>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</si>
  <si>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</si>
  <si>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</si>
  <si>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</si>
  <si>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</si>
  <si>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</si>
  <si>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</si>
  <si>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</si>
  <si>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</si>
  <si>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</si>
  <si>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</si>
  <si>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</si>
  <si>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</si>
  <si>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</si>
  <si>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</si>
  <si>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</si>
  <si>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</si>
  <si>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</si>
  <si>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</si>
  <si>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</si>
  <si>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</si>
  <si>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</si>
  <si>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</si>
  <si>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</si>
  <si>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</si>
  <si>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</si>
  <si>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</si>
  <si>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</si>
  <si>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</si>
  <si>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</si>
  <si>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</si>
  <si>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</si>
  <si>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</si>
  <si>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</si>
  <si>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</si>
  <si>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</si>
  <si>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</si>
  <si>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</si>
  <si>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</si>
  <si>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</si>
  <si>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</si>
  <si>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</si>
  <si>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</si>
  <si>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</si>
  <si>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</si>
  <si>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</si>
  <si>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</si>
  <si>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</si>
  <si>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</si>
  <si>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</si>
  <si>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</si>
  <si>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</si>
  <si>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</si>
  <si>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</si>
  <si>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</si>
  <si>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</si>
  <si>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</si>
  <si>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</si>
  <si>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</si>
  <si>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</si>
  <si>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</si>
  <si>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</si>
  <si>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</si>
  <si>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</si>
  <si>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</si>
  <si>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</si>
  <si>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</si>
  <si>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</si>
  <si>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</si>
  <si>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</si>
  <si>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</si>
  <si>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</si>
  <si>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</si>
  <si>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</si>
  <si>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</si>
  <si>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</si>
  <si>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</si>
  <si>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</si>
  <si>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</si>
  <si>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</si>
  <si>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</si>
  <si>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</si>
  <si>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</si>
  <si>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</si>
  <si>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</si>
  <si>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</si>
  <si>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</si>
  <si>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</si>
  <si>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</si>
  <si>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</si>
  <si>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</si>
  <si>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</si>
  <si>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</si>
  <si>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</si>
  <si>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</si>
  <si>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</si>
  <si>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</si>
  <si>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</si>
  <si>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</si>
  <si>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</si>
  <si>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</si>
  <si>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</si>
  <si>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</si>
  <si>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</si>
  <si>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</si>
  <si>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</si>
  <si>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</si>
  <si>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</si>
  <si>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</si>
  <si>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</si>
  <si>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</si>
  <si>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</si>
  <si>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</si>
  <si>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</si>
  <si>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</si>
  <si>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</si>
  <si>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</si>
  <si>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</si>
  <si>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</si>
  <si>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</si>
  <si>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</si>
  <si>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</si>
  <si>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</si>
  <si>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</si>
  <si>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</si>
  <si>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</si>
  <si>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</si>
  <si>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</si>
  <si>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</si>
  <si>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</si>
  <si>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</si>
  <si>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</si>
  <si>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</si>
  <si>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</si>
  <si>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</si>
  <si>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</si>
  <si>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</si>
  <si>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</si>
  <si>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</si>
  <si>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</si>
  <si>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</si>
  <si>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</si>
  <si>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</si>
  <si>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</si>
  <si>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</si>
  <si>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</si>
  <si>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</si>
  <si>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</si>
  <si>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</si>
  <si>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</si>
  <si>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</si>
  <si>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</si>
  <si>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</si>
  <si>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</si>
  <si>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</si>
  <si>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</si>
  <si>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</si>
  <si>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</si>
  <si>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</si>
  <si>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</si>
  <si>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</si>
  <si>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</si>
  <si>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</si>
  <si>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</si>
  <si>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</si>
  <si>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</si>
  <si>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</si>
  <si>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</si>
  <si>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</si>
  <si>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</si>
  <si>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</si>
  <si>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</si>
  <si>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</si>
  <si>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</si>
  <si>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</si>
  <si>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</si>
  <si>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</si>
  <si>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</si>
  <si>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</si>
  <si>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</si>
  <si>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</si>
  <si>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</si>
  <si>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</si>
  <si>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</si>
  <si>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</si>
  <si>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</si>
  <si>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</si>
  <si>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</si>
  <si>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</si>
  <si>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</si>
  <si>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</si>
  <si>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</si>
  <si>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</si>
  <si>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</si>
  <si>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</si>
  <si>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</si>
  <si>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</si>
  <si>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</si>
  <si>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</si>
  <si>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</si>
  <si>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</si>
  <si>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</si>
  <si>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</si>
  <si>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</si>
  <si>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</si>
  <si>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</si>
  <si>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</si>
  <si>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</si>
  <si>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</si>
  <si>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</si>
  <si>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</si>
  <si>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</si>
  <si>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</si>
  <si>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</si>
  <si>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</si>
  <si>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</si>
  <si>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</si>
  <si>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</si>
  <si>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</si>
  <si>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</si>
  <si>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</si>
  <si>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</si>
  <si>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</si>
  <si>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</si>
  <si>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</si>
  <si>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</si>
  <si>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</si>
  <si>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</si>
  <si>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</si>
  <si>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</si>
  <si>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</si>
  <si>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</si>
  <si>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</si>
  <si>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</si>
  <si>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</si>
  <si>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</si>
  <si>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</si>
  <si>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</si>
  <si>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</si>
  <si>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</si>
  <si>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</si>
  <si>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</si>
  <si>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</si>
  <si>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</si>
  <si>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</si>
  <si>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</si>
  <si>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</si>
  <si>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</si>
  <si>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</si>
  <si>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</si>
  <si>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</si>
  <si>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</si>
  <si>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</si>
  <si>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</si>
  <si>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</si>
  <si>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</si>
  <si>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</si>
  <si>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</si>
  <si>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</si>
  <si>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</si>
  <si>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</si>
  <si>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</si>
  <si>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</si>
  <si>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</si>
  <si>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</si>
  <si>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</si>
  <si>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</si>
  <si>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</si>
  <si>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</si>
  <si>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</si>
  <si>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</si>
  <si>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</si>
  <si>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</si>
  <si>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</si>
  <si>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</si>
  <si>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</si>
  <si>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</si>
  <si>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</si>
  <si>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</si>
  <si>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</si>
  <si>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</si>
  <si>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</si>
  <si>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</si>
  <si>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</si>
  <si>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</si>
  <si>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</si>
  <si>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</si>
  <si>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</si>
  <si>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</si>
  <si>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</si>
  <si>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</si>
  <si>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</si>
  <si>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</si>
  <si>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</si>
  <si>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</si>
  <si>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</si>
  <si>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</si>
  <si>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</si>
  <si>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</si>
  <si>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</si>
  <si>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</si>
  <si>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</si>
  <si>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</si>
  <si>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</si>
  <si>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</si>
  <si>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</si>
  <si>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</si>
  <si>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</si>
  <si>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</si>
  <si>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</si>
  <si>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</si>
  <si>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</si>
  <si>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</si>
  <si>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</si>
  <si>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</si>
  <si>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</si>
  <si>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</si>
  <si>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</si>
  <si>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</si>
  <si>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</si>
  <si>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</si>
  <si>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</si>
  <si>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</si>
  <si>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</si>
  <si>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</si>
  <si>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</si>
  <si>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</si>
  <si>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</si>
  <si>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</si>
  <si>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</si>
  <si>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</si>
  <si>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</si>
  <si>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</si>
  <si>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</si>
  <si>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</si>
  <si>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</si>
  <si>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</si>
  <si>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</si>
  <si>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</si>
  <si>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</si>
  <si>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</si>
  <si>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</si>
  <si>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</si>
  <si>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</si>
  <si>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</si>
  <si>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</si>
  <si>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</si>
  <si>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</si>
  <si>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</si>
  <si>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</si>
  <si>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</si>
  <si>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</si>
  <si>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</si>
  <si>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</si>
  <si>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</si>
  <si>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</si>
  <si>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</si>
  <si>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</si>
  <si>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</si>
  <si>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</si>
  <si>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</si>
  <si>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</si>
  <si>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</si>
  <si>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</si>
  <si>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</si>
  <si>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</si>
  <si>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</si>
  <si>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</si>
  <si>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</si>
  <si>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</si>
  <si>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</si>
  <si>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</si>
  <si>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</si>
  <si>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</si>
  <si>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</si>
  <si>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</si>
  <si>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</si>
  <si>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</si>
  <si>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</si>
  <si>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</si>
  <si>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</si>
  <si>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</si>
  <si>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</si>
  <si>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</si>
  <si>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</si>
  <si>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</si>
  <si>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</si>
  <si>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</si>
  <si>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</si>
  <si>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</si>
  <si>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</si>
  <si>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</si>
  <si>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</si>
  <si>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</si>
  <si>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</si>
  <si>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</si>
  <si>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</si>
  <si>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</si>
  <si>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</si>
  <si>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</si>
  <si>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</si>
  <si>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</si>
  <si>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</si>
  <si>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</si>
  <si>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</si>
  <si>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</si>
  <si>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</si>
  <si>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</si>
  <si>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</si>
  <si>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</si>
  <si>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</si>
  <si>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</si>
  <si>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</si>
  <si>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</si>
  <si>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</si>
  <si>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</si>
  <si>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</si>
  <si>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</si>
  <si>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</si>
  <si>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</si>
  <si>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</si>
  <si>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</si>
  <si>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</si>
  <si>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</si>
  <si>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</si>
  <si>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</si>
  <si>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</si>
  <si>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</si>
  <si>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</si>
  <si>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</si>
  <si>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</si>
  <si>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</si>
  <si>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</si>
  <si>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</si>
  <si>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</si>
  <si>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</si>
  <si>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</si>
  <si>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</si>
  <si>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</si>
  <si>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</si>
  <si>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</si>
  <si>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</si>
  <si>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</si>
  <si>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</si>
  <si>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</si>
  <si>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</si>
  <si>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</si>
  <si>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</si>
  <si>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</si>
  <si>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</si>
  <si>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</si>
  <si>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</si>
  <si>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</si>
  <si>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</si>
  <si>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</si>
  <si>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</si>
  <si>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</si>
  <si>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</si>
  <si>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</si>
  <si>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</si>
  <si>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</si>
  <si>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</si>
  <si>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</si>
  <si>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</si>
  <si>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</si>
  <si>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</si>
  <si>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</si>
  <si>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</si>
  <si>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</si>
  <si>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</si>
  <si>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</si>
  <si>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</si>
  <si>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</si>
  <si>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</si>
  <si>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</si>
  <si>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</si>
  <si>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</si>
  <si>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</si>
  <si>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</si>
  <si>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</si>
  <si>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</si>
  <si>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</si>
  <si>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</si>
  <si>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</si>
  <si>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</si>
  <si>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</si>
  <si>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</si>
  <si>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</si>
  <si>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</si>
  <si>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</si>
  <si>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</si>
  <si>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</si>
  <si>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</si>
  <si>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</si>
  <si>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</si>
  <si>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</si>
  <si>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</si>
  <si>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</si>
  <si>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</si>
  <si>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</si>
  <si>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</si>
  <si>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</si>
  <si>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</si>
  <si>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</si>
  <si>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</si>
  <si>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</si>
  <si>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</si>
  <si>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</si>
  <si>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</si>
  <si>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</si>
  <si>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</si>
  <si>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</si>
  <si>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</si>
  <si>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</si>
  <si>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</si>
  <si>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</si>
  <si>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</si>
  <si>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</si>
  <si>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</si>
  <si>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</si>
  <si>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</si>
  <si>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</si>
  <si>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</si>
  <si>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</si>
  <si>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</si>
  <si>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</si>
  <si>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</si>
  <si>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</si>
  <si>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</si>
  <si>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</si>
  <si>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</si>
  <si>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</si>
  <si>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</si>
  <si>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</si>
  <si>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</si>
  <si>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</si>
  <si>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</si>
  <si>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</si>
  <si>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</si>
  <si>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</si>
  <si>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</si>
  <si>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</si>
  <si>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</si>
  <si>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</si>
  <si>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</si>
  <si>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</si>
  <si>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</si>
  <si>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</si>
  <si>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</si>
  <si>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</si>
  <si>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</si>
  <si>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</si>
  <si>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</si>
  <si>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</si>
  <si>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</si>
  <si>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</si>
  <si>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</si>
  <si>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</si>
  <si>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</si>
  <si>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</si>
  <si>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</si>
  <si>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</si>
  <si>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</si>
  <si>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</si>
  <si>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</si>
  <si>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</si>
  <si>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</si>
  <si>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</si>
  <si>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</si>
  <si>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</si>
  <si>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</si>
  <si>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</si>
  <si>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</si>
  <si>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</si>
  <si>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</si>
  <si>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</si>
  <si>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</si>
  <si>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</si>
  <si>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</si>
  <si>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</si>
  <si>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</si>
  <si>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</si>
  <si>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</si>
  <si>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</si>
  <si>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</si>
  <si>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</si>
  <si>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</si>
  <si>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</si>
  <si>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</si>
  <si>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</si>
  <si>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</si>
  <si>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</si>
  <si>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</si>
  <si>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</si>
  <si>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</si>
  <si>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</si>
  <si>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</si>
  <si>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</si>
  <si>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</si>
  <si>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</si>
  <si>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</si>
  <si>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</si>
  <si>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</si>
  <si>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</si>
  <si>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</si>
  <si>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</si>
  <si>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</si>
  <si>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</si>
  <si>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</si>
  <si>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</si>
  <si>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</si>
  <si>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</si>
  <si>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</si>
  <si>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</si>
  <si>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</si>
  <si>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</si>
  <si>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</si>
  <si>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</si>
  <si>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</si>
  <si>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</si>
  <si>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</si>
  <si>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</si>
  <si>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</si>
  <si>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</si>
  <si>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</si>
  <si>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</si>
  <si>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</si>
  <si>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</si>
  <si>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</si>
  <si>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</si>
  <si>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</si>
  <si>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</si>
  <si>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</si>
  <si>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</si>
  <si>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</si>
  <si>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</si>
  <si>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</si>
  <si>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</si>
  <si>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</si>
  <si>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</si>
  <si>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</si>
  <si>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</si>
  <si>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</si>
  <si>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</si>
  <si>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</si>
  <si>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</si>
  <si>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</si>
  <si>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</si>
  <si>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</si>
  <si>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</si>
  <si>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</si>
  <si>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</si>
  <si>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</si>
  <si>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</si>
  <si>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</si>
  <si>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</si>
  <si>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</si>
  <si>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</si>
  <si>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</si>
  <si>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</si>
  <si>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</si>
  <si>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</si>
  <si>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</si>
  <si>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</si>
  <si>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</si>
  <si>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</si>
  <si>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</si>
  <si>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</si>
  <si>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</si>
  <si>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</si>
  <si>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</si>
  <si>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</si>
  <si>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</si>
  <si>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</si>
  <si>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</si>
  <si>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</si>
  <si>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</si>
  <si>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</si>
  <si>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</si>
  <si>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</si>
  <si>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</si>
  <si>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</si>
  <si>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</si>
  <si>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</si>
  <si>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</si>
  <si>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</si>
  <si>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</si>
  <si>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</si>
  <si>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</si>
  <si>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</si>
  <si>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</si>
  <si>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</si>
  <si>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</si>
  <si>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</si>
  <si>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</si>
  <si>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</si>
  <si>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</si>
  <si>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</si>
  <si>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</si>
  <si>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</si>
  <si>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</si>
  <si>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</si>
  <si>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</si>
  <si>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</si>
  <si>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</si>
  <si>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</si>
  <si>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</si>
  <si>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</si>
  <si>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</si>
  <si>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</si>
  <si>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</si>
  <si>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</si>
  <si>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</si>
  <si>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</si>
  <si>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</si>
  <si>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</si>
  <si>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</si>
  <si>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</si>
  <si>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</si>
  <si>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</si>
  <si>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</si>
  <si>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</si>
  <si>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</si>
  <si>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</si>
  <si>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</si>
  <si>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</si>
  <si>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</si>
  <si>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</si>
  <si>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</si>
  <si>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</si>
  <si>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</si>
  <si>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</si>
  <si>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</si>
  <si>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</si>
  <si>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</si>
  <si>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</si>
  <si>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</si>
  <si>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</si>
  <si>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</si>
  <si>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</si>
  <si>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</si>
  <si>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</si>
  <si>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</si>
  <si>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</si>
  <si>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</si>
  <si>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</si>
  <si>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</si>
  <si>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</si>
  <si>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</si>
  <si>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</si>
  <si>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</si>
  <si>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</si>
  <si>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</si>
  <si>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</si>
  <si>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</si>
  <si>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</si>
  <si>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</si>
  <si>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</si>
  <si>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</si>
  <si>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</si>
  <si>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</si>
  <si>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</si>
  <si>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</si>
  <si>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</si>
  <si>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</si>
  <si>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</si>
  <si>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</si>
  <si>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</si>
  <si>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</si>
  <si>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</si>
  <si>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</si>
  <si>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</si>
  <si>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</si>
  <si>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</si>
  <si>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</si>
  <si>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</si>
  <si>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</si>
  <si>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</si>
  <si>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</si>
  <si>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</si>
  <si>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</si>
  <si>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</si>
  <si>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</si>
  <si>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</si>
  <si>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</si>
  <si>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</si>
  <si>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</si>
  <si>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</si>
  <si>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</si>
  <si>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</si>
  <si>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</si>
  <si>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</si>
  <si>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</si>
  <si>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</si>
  <si>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</si>
  <si>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</si>
  <si>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</si>
  <si>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</si>
  <si>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</si>
  <si>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</si>
  <si>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</si>
  <si>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</si>
  <si>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</si>
  <si>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</si>
  <si>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</si>
  <si>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</si>
  <si>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</si>
  <si>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</si>
  <si>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</si>
  <si>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</si>
  <si>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</si>
  <si>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</si>
  <si>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</si>
  <si>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</si>
  <si>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</si>
  <si>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</si>
  <si>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</si>
  <si>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</si>
  <si>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</si>
  <si>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</si>
  <si>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</si>
  <si>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</si>
  <si>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</si>
  <si>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</si>
  <si>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</si>
  <si>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</si>
  <si>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</si>
  <si>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</si>
  <si>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</si>
  <si>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</si>
  <si>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</si>
  <si>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</si>
  <si>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</si>
  <si>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</si>
  <si>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</si>
  <si>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</si>
  <si>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</si>
  <si>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</si>
  <si>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</si>
  <si>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</si>
  <si>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</si>
  <si>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</si>
  <si>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</si>
  <si>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</si>
  <si>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</si>
  <si>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</si>
  <si>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</si>
  <si>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</si>
  <si>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</si>
  <si>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</si>
  <si>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</si>
  <si>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</si>
  <si>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</si>
  <si>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</si>
  <si>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</si>
  <si>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</si>
  <si>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</si>
  <si>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</si>
  <si>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</si>
  <si>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</si>
  <si>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</si>
  <si>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</si>
  <si>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</si>
  <si>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</si>
  <si>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</si>
  <si>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</si>
  <si>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</si>
  <si>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</si>
  <si>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</si>
  <si>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</si>
  <si>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</si>
  <si>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</si>
  <si>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</si>
  <si>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</si>
  <si>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</si>
  <si>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</si>
  <si>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</si>
  <si>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</si>
  <si>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</si>
  <si>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</si>
  <si>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</si>
  <si>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</si>
  <si>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</si>
  <si>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</si>
  <si>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</si>
  <si>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</si>
  <si>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</si>
  <si>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</si>
  <si>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</si>
  <si>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</si>
  <si>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</si>
  <si>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</si>
  <si>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</si>
  <si>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</si>
  <si>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</si>
  <si>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</si>
  <si>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</si>
  <si>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</si>
  <si>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</si>
  <si>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</si>
  <si>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</si>
  <si>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</si>
  <si>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</si>
  <si>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</si>
  <si>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</si>
  <si>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</si>
  <si>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</si>
  <si>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</si>
  <si>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</si>
  <si>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</si>
  <si>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</si>
  <si>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</si>
  <si>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</si>
  <si>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</si>
  <si>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</si>
  <si>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</si>
  <si>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</si>
  <si>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</si>
  <si>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</si>
  <si>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</si>
  <si>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</si>
  <si>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</si>
  <si>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</si>
  <si>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</si>
  <si>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</si>
  <si>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</si>
  <si>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</si>
  <si>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</si>
  <si>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</si>
  <si>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</si>
  <si>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</si>
  <si>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</si>
  <si>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</si>
  <si>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</si>
  <si>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</si>
  <si>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</si>
  <si>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</si>
  <si>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</si>
  <si>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</si>
  <si>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</si>
  <si>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</si>
  <si>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</si>
  <si>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</si>
  <si>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</si>
  <si>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</si>
  <si>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</si>
  <si>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</si>
  <si>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</si>
  <si>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</si>
  <si>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</si>
  <si>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</si>
  <si>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</si>
  <si>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</si>
  <si>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</si>
  <si>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</si>
  <si>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</si>
  <si>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</si>
  <si>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</si>
  <si>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</si>
  <si>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</si>
  <si>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</si>
  <si>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</si>
  <si>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</si>
  <si>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</si>
  <si>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</si>
  <si>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</si>
  <si>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</si>
  <si>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</si>
  <si>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</si>
  <si>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</si>
  <si>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</si>
  <si>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</si>
  <si>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</si>
  <si>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</si>
  <si>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</si>
  <si>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</si>
  <si>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</si>
  <si>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</si>
  <si>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</si>
  <si>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</si>
  <si>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</si>
  <si>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</si>
  <si>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</si>
  <si>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</si>
  <si>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</si>
  <si>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</si>
  <si>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</si>
  <si>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</si>
  <si>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</si>
  <si>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</si>
  <si>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</si>
  <si>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</si>
  <si>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</si>
  <si>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</si>
  <si>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</si>
  <si>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</si>
  <si>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</si>
  <si>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</si>
  <si>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</si>
  <si>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</si>
  <si>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</si>
  <si>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</si>
  <si>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</si>
  <si>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</si>
  <si>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</si>
  <si>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</si>
  <si>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</si>
  <si>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</si>
  <si>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</si>
  <si>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</si>
  <si>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</si>
  <si>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</si>
  <si>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</si>
  <si>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</si>
  <si>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</si>
  <si>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</si>
  <si>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</si>
  <si>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</si>
  <si>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</si>
  <si>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</si>
  <si>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</si>
  <si>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</si>
  <si>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</si>
  <si>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</si>
  <si>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</si>
  <si>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</si>
  <si>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</si>
  <si>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</si>
  <si>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</si>
  <si>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</si>
  <si>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</si>
  <si>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</si>
  <si>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</si>
  <si>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</si>
  <si>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</si>
  <si>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</si>
  <si>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</si>
  <si>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</si>
  <si>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</si>
  <si>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</si>
  <si>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</si>
  <si>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</si>
  <si>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</si>
  <si>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</si>
  <si>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</si>
  <si>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</si>
  <si>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</si>
  <si>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</si>
  <si>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</si>
  <si>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</si>
  <si>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</si>
  <si>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</si>
  <si>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</si>
  <si>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</si>
  <si>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</si>
  <si>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</si>
  <si>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</si>
  <si>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</si>
  <si>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</si>
  <si>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</si>
  <si>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</si>
  <si>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</si>
  <si>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</si>
  <si>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</si>
  <si>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</si>
  <si>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</si>
  <si>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</si>
  <si>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</si>
  <si>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</si>
  <si>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</si>
  <si>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</si>
  <si>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</si>
  <si>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</si>
  <si>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</si>
  <si>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</si>
  <si>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</si>
  <si>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</si>
  <si>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</si>
  <si>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</si>
  <si>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</si>
  <si>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</si>
  <si>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</si>
  <si>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</si>
  <si>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</si>
  <si>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</si>
  <si>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</si>
  <si>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</si>
  <si>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</si>
  <si>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</si>
  <si>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</si>
  <si>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</si>
  <si>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</si>
  <si>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</si>
  <si>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</si>
  <si>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</si>
  <si>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</si>
  <si>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</si>
  <si>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</si>
  <si>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</si>
  <si>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</si>
  <si>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</si>
  <si>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</si>
  <si>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</si>
  <si>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</si>
  <si>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</si>
  <si>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</si>
  <si>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</si>
  <si>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</si>
  <si>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</si>
  <si>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</si>
  <si>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</si>
  <si>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</si>
  <si>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</si>
  <si>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</si>
  <si>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</si>
  <si>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</si>
  <si>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</si>
  <si>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</si>
  <si>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</si>
  <si>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</si>
  <si>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</si>
  <si>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</si>
  <si>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</si>
  <si>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</si>
  <si>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</si>
  <si>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</si>
  <si>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</si>
  <si>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</si>
  <si>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</si>
  <si>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</si>
  <si>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</si>
  <si>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</si>
  <si>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</si>
  <si>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</si>
  <si>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</si>
  <si>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</si>
  <si>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</si>
  <si>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</si>
  <si>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</si>
  <si>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</si>
  <si>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</si>
  <si>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</si>
  <si>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</si>
  <si>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</si>
  <si>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</si>
  <si>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</si>
  <si>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</si>
  <si>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</si>
  <si>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</si>
  <si>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</si>
  <si>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</si>
  <si>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</si>
  <si>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</si>
  <si>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</si>
  <si>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</si>
  <si>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</si>
  <si>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</si>
  <si>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</si>
  <si>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</si>
  <si>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</si>
  <si>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</si>
  <si>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</si>
  <si>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</si>
  <si>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</si>
  <si>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</si>
  <si>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</si>
  <si>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</si>
  <si>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</si>
  <si>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</si>
  <si>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</si>
  <si>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</si>
  <si>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</si>
  <si>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</si>
  <si>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</si>
  <si>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</si>
  <si>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</si>
  <si>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</si>
  <si>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</si>
  <si>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</si>
  <si>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</si>
  <si>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</si>
  <si>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</si>
  <si>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</si>
  <si>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</si>
  <si>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</si>
  <si>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</si>
  <si>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</si>
  <si>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</si>
  <si>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</si>
  <si>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</si>
  <si>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</si>
  <si>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</si>
  <si>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</si>
  <si>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</si>
  <si>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</si>
  <si>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</si>
  <si>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</si>
  <si>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</si>
  <si>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</si>
  <si>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</si>
  <si>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</si>
  <si>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</si>
  <si>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</si>
  <si>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</si>
  <si>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</si>
  <si>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</si>
  <si>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</si>
  <si>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</si>
  <si>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</si>
  <si>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</si>
  <si>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</si>
  <si>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</si>
  <si>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</si>
  <si>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</si>
  <si>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</si>
  <si>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</si>
  <si>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</si>
  <si>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</si>
  <si>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</si>
  <si>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</si>
  <si>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</si>
  <si>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</si>
  <si>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</si>
  <si>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</si>
  <si>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</si>
  <si>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</si>
  <si>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</si>
  <si>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</si>
  <si>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</si>
  <si>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</si>
  <si>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</si>
  <si>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</si>
  <si>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</si>
  <si>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</si>
  <si>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</si>
  <si>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</si>
  <si>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</si>
  <si>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</si>
  <si>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</si>
  <si>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</si>
  <si>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</si>
  <si>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</si>
  <si>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</si>
  <si>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</si>
  <si>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</si>
  <si>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</si>
  <si>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</si>
  <si>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</si>
  <si>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</si>
  <si>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</si>
  <si>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</si>
  <si>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</si>
  <si>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</si>
  <si>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</si>
  <si>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</si>
  <si>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</si>
  <si>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</si>
  <si>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</si>
  <si>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</si>
  <si>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</si>
  <si>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</si>
  <si>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</si>
  <si>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</si>
  <si>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</si>
  <si>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</si>
  <si>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</si>
  <si>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</si>
  <si>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</si>
  <si>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</si>
  <si>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</si>
  <si>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</si>
  <si>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</si>
  <si>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</si>
  <si>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</si>
  <si>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</si>
  <si>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</si>
  <si>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</si>
  <si>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</si>
  <si>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</si>
  <si>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</si>
  <si>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</si>
  <si>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</si>
  <si>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</si>
  <si>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</si>
  <si>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</si>
  <si>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</si>
  <si>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</si>
  <si>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</si>
  <si>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</si>
  <si>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</si>
  <si>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</si>
  <si>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</si>
  <si>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</si>
  <si>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</si>
  <si>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</si>
  <si>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</si>
  <si>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</si>
  <si>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</si>
  <si>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</si>
  <si>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</si>
  <si>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</si>
  <si>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</si>
  <si>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</si>
  <si>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</si>
  <si>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</si>
  <si>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</si>
  <si>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</si>
  <si>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</si>
  <si>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</si>
  <si>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</si>
  <si>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</si>
  <si>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</si>
  <si>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</si>
  <si>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</si>
  <si>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</si>
  <si>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</si>
  <si>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</si>
  <si>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</si>
  <si>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</si>
  <si>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</si>
  <si>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</si>
  <si>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</si>
  <si>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</si>
  <si>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</si>
  <si>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</si>
  <si>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</si>
  <si>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</si>
  <si>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</si>
  <si>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</si>
  <si>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</si>
  <si>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</si>
  <si>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</si>
  <si>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</si>
  <si>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</si>
  <si>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</si>
  <si>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</si>
  <si>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</si>
  <si>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</si>
  <si>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</si>
  <si>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</si>
  <si>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</si>
  <si>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</si>
  <si>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</si>
  <si>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</si>
  <si>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</si>
  <si>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</si>
  <si>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</si>
  <si>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</si>
  <si>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</si>
  <si>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</si>
  <si>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</si>
  <si>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</si>
  <si>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</si>
  <si>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</si>
  <si>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</si>
  <si>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</si>
  <si>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</si>
  <si>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</si>
  <si>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</si>
  <si>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</si>
  <si>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</si>
  <si>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</si>
  <si>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</si>
  <si>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</si>
  <si>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</si>
  <si>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</si>
  <si>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</si>
  <si>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</si>
  <si>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</si>
  <si>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</si>
  <si>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</si>
  <si>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</si>
  <si>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</si>
  <si>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</si>
  <si>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</si>
  <si>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</si>
  <si>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</si>
  <si>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</si>
  <si>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</si>
  <si>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</si>
  <si>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</si>
  <si>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</si>
  <si>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</si>
  <si>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</si>
  <si>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</si>
  <si>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</si>
  <si>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</si>
  <si>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</si>
  <si>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</si>
  <si>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</si>
  <si>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</si>
  <si>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</si>
  <si>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</si>
  <si>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</si>
  <si>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</si>
  <si>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</si>
  <si>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</si>
  <si>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</si>
  <si>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</si>
  <si>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</si>
  <si>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</si>
  <si>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</si>
  <si>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</si>
  <si>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</si>
  <si>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</si>
  <si>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</si>
  <si>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</si>
  <si>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</si>
  <si>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</si>
  <si>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</si>
  <si>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</si>
  <si>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</si>
  <si>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</si>
  <si>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</si>
  <si>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</si>
  <si>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</si>
  <si>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</si>
  <si>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</si>
  <si>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</si>
  <si>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</si>
  <si>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</si>
  <si>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</si>
  <si>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</si>
  <si>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</si>
  <si>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</si>
  <si>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</si>
  <si>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</si>
  <si>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</si>
  <si>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</si>
  <si>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</si>
  <si>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</si>
  <si>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</si>
  <si>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</si>
  <si>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</si>
  <si>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</si>
  <si>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</si>
  <si>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</si>
  <si>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</si>
  <si>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</si>
  <si>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</si>
  <si>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</si>
  <si>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</si>
  <si>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</si>
  <si>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</si>
  <si>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</si>
  <si>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</si>
  <si>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</si>
  <si>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</si>
  <si>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</si>
  <si>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</si>
  <si>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</si>
  <si>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</si>
  <si>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</si>
  <si>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</si>
  <si>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</si>
  <si>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</si>
  <si>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</si>
  <si>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</si>
  <si>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</si>
  <si>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</si>
  <si>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</si>
  <si>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</si>
  <si>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</si>
  <si>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</si>
  <si>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</si>
  <si>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</si>
  <si>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</si>
  <si>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</si>
  <si>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</si>
  <si>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</si>
  <si>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</si>
  <si>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</si>
  <si>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</si>
  <si>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</si>
  <si>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</si>
  <si>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</si>
  <si>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</si>
  <si>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</si>
  <si>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</si>
  <si>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</si>
  <si>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</si>
  <si>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</si>
  <si>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</si>
  <si>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</si>
  <si>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</si>
  <si>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</si>
  <si>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</si>
  <si>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</si>
  <si>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</si>
  <si>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</si>
  <si>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</si>
  <si>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</si>
  <si>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</si>
  <si>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</si>
  <si>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</si>
  <si>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</si>
  <si>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</si>
  <si>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</si>
  <si>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</si>
  <si>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</si>
  <si>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</si>
  <si>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</si>
  <si>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</si>
  <si>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</si>
  <si>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</si>
  <si>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</si>
  <si>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</si>
  <si>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</si>
  <si>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</si>
  <si>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</si>
  <si>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</si>
  <si>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</si>
  <si>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</si>
  <si>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</si>
  <si>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</si>
  <si>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</si>
  <si>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</si>
  <si>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</si>
  <si>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</si>
  <si>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</si>
  <si>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</si>
  <si>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</si>
  <si>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</si>
  <si>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</si>
  <si>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</si>
  <si>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</si>
  <si>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</si>
  <si>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</si>
  <si>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</si>
  <si>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</si>
  <si>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</si>
  <si>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</si>
  <si>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</si>
  <si>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</si>
  <si>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</si>
  <si>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</si>
  <si>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</si>
  <si>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</si>
  <si>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</si>
  <si>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</si>
  <si>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</si>
  <si>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</si>
  <si>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</si>
  <si>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</si>
  <si>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</si>
  <si>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</si>
  <si>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</si>
  <si>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</si>
  <si>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</si>
  <si>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</si>
  <si>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</si>
  <si>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</si>
  <si>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</si>
  <si>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</si>
  <si>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</si>
  <si>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</si>
  <si>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</si>
  <si>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</si>
  <si>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</si>
  <si>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</si>
  <si>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</si>
  <si>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</si>
  <si>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</si>
  <si>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</si>
  <si>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</si>
  <si>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</si>
  <si>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</si>
  <si>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</si>
  <si>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</si>
  <si>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</si>
  <si>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</si>
  <si>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</si>
  <si>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</si>
  <si>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</si>
  <si>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</si>
  <si>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</si>
  <si>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</si>
  <si>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</si>
  <si>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</si>
  <si>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</si>
  <si>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</si>
  <si>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</si>
  <si>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</si>
  <si>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</si>
  <si>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</si>
  <si>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</si>
  <si>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</si>
  <si>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</si>
  <si>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</si>
  <si>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</si>
  <si>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</si>
  <si>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</si>
  <si>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</si>
  <si>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</si>
  <si>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</si>
  <si>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</si>
  <si>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</si>
  <si>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</si>
  <si>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</si>
  <si>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</si>
  <si>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</si>
  <si>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</si>
  <si>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</si>
  <si>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</si>
  <si>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</si>
  <si>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</si>
  <si>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</si>
  <si>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</si>
  <si>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</si>
  <si>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</si>
  <si>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</si>
  <si>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</si>
  <si>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</si>
  <si>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</si>
  <si>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</si>
  <si>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</si>
  <si>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</si>
  <si>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</si>
  <si>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</si>
  <si>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</si>
  <si>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</si>
  <si>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</si>
  <si>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</si>
  <si>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</si>
  <si>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</si>
  <si>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</si>
  <si>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</si>
  <si>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</si>
  <si>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</si>
  <si>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</si>
  <si>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</si>
  <si>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</si>
  <si>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</si>
  <si>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</si>
  <si>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</si>
  <si>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</si>
  <si>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</si>
  <si>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</si>
  <si>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</si>
  <si>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</si>
  <si>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</si>
  <si>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</si>
  <si>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</si>
  <si>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</si>
  <si>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</si>
  <si>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</si>
  <si>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</si>
  <si>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</si>
  <si>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</si>
  <si>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</si>
  <si>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</si>
  <si>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</si>
  <si>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</si>
  <si>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</si>
  <si>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</si>
  <si>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</si>
  <si>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</si>
  <si>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</si>
  <si>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</si>
  <si>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</si>
  <si>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</si>
  <si>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</si>
  <si>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</si>
  <si>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</si>
  <si>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</si>
  <si>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</si>
  <si>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</si>
  <si>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</si>
  <si>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</si>
  <si>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</si>
  <si>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</si>
  <si>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</si>
  <si>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</si>
  <si>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</si>
  <si>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</si>
  <si>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</si>
  <si>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</si>
  <si>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</si>
  <si>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</si>
  <si>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</si>
  <si>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</si>
  <si>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</si>
  <si>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</si>
  <si>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</si>
  <si>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</si>
  <si>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</si>
  <si>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</si>
  <si>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</si>
  <si>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</si>
  <si>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</si>
  <si>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</si>
  <si>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</si>
  <si>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</si>
  <si>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</si>
  <si>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</si>
  <si>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</si>
  <si>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</si>
  <si>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</si>
  <si>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</si>
  <si>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</si>
  <si>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</si>
  <si>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</si>
  <si>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</si>
  <si>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</si>
  <si>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</si>
  <si>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</si>
  <si>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</si>
  <si>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</si>
  <si>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</si>
  <si>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</si>
  <si>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</si>
  <si>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</si>
  <si>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</si>
  <si>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</si>
  <si>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</si>
  <si>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</si>
  <si>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</si>
  <si>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</si>
  <si>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</si>
  <si>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</si>
  <si>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</si>
  <si>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</si>
  <si>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</si>
  <si>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</si>
  <si>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</si>
  <si>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</si>
  <si>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</si>
  <si>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</si>
  <si>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</si>
  <si>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</si>
  <si>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</si>
  <si>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</si>
  <si>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</si>
  <si>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</si>
  <si>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</si>
  <si>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</si>
  <si>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</si>
  <si>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</si>
  <si>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</si>
  <si>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</si>
  <si>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</si>
  <si>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</si>
  <si>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</si>
  <si>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</si>
  <si>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</si>
  <si>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</si>
  <si>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</si>
  <si>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</si>
  <si>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</si>
  <si>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</si>
  <si>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</si>
  <si>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</si>
  <si>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</si>
  <si>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</si>
  <si>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</si>
  <si>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</si>
  <si>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</si>
  <si>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</si>
  <si>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</si>
  <si>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</si>
  <si>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</si>
  <si>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</si>
  <si>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</si>
  <si>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</si>
  <si>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</si>
  <si>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</si>
  <si>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</si>
  <si>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</si>
  <si>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</si>
  <si>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</si>
  <si>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</si>
  <si>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</si>
  <si>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</si>
  <si>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</si>
  <si>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</si>
  <si>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</si>
  <si>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</si>
  <si>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</si>
  <si>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</si>
  <si>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</si>
  <si>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</si>
  <si>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</si>
  <si>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</si>
  <si>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</si>
  <si>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</si>
  <si>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</si>
  <si>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</si>
  <si>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</si>
  <si>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</si>
  <si>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</si>
  <si>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</si>
  <si>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</si>
  <si>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</si>
  <si>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</si>
  <si>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</si>
  <si>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</si>
  <si>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</si>
  <si>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</si>
  <si>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</si>
  <si>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</si>
  <si>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</si>
  <si>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</si>
  <si>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</si>
  <si>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</si>
  <si>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</si>
  <si>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</si>
  <si>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</si>
  <si>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</si>
  <si>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</si>
  <si>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</si>
  <si>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</si>
  <si>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</si>
  <si>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</si>
  <si>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</si>
  <si>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</si>
  <si>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</si>
  <si>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</si>
  <si>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</si>
  <si>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</si>
  <si>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</si>
  <si>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</si>
  <si>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</si>
  <si>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</si>
  <si>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</si>
  <si>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</si>
  <si>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</si>
  <si>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</si>
  <si>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</si>
  <si>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</si>
  <si>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</si>
  <si>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</si>
  <si>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</si>
  <si>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</si>
  <si>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</si>
  <si>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</si>
  <si>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</si>
  <si>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</si>
  <si>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</si>
  <si>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</si>
  <si>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</si>
  <si>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</si>
  <si>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</si>
  <si>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</si>
  <si>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</si>
  <si>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</si>
  <si>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</si>
  <si>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</si>
  <si>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</si>
  <si>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</si>
  <si>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</si>
  <si>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</si>
  <si>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</si>
  <si>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</si>
  <si>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</si>
  <si>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</si>
  <si>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</si>
  <si>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</si>
  <si>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</si>
  <si>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</si>
  <si>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</si>
  <si>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</si>
  <si>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</si>
  <si>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</si>
  <si>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</si>
  <si>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</si>
  <si>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</si>
  <si>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</si>
  <si>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</si>
  <si>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</si>
  <si>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</si>
  <si>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</si>
  <si>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</si>
  <si>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</si>
  <si>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</si>
  <si>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</si>
  <si>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</si>
  <si>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</si>
  <si>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</si>
  <si>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</si>
  <si>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</si>
  <si>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</si>
  <si>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</si>
  <si>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</si>
  <si>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</si>
  <si>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</si>
  <si>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</si>
  <si>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</si>
  <si>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</si>
  <si>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</si>
  <si>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</si>
  <si>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</si>
  <si>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</si>
  <si>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</si>
  <si>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</si>
  <si>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</si>
  <si>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</si>
  <si>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</si>
  <si>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</si>
  <si>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</si>
  <si>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</si>
  <si>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</si>
  <si>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</si>
  <si>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</si>
  <si>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</si>
  <si>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</si>
  <si>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</si>
  <si>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</si>
  <si>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</si>
  <si>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</si>
  <si>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</si>
  <si>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</si>
  <si>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</si>
  <si>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</si>
  <si>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</si>
  <si>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</si>
  <si>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</si>
  <si>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</si>
  <si>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</si>
  <si>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</si>
  <si>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</si>
  <si>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</si>
  <si>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</si>
  <si>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</si>
  <si>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</si>
  <si>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</si>
  <si>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</si>
  <si>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</si>
  <si>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</si>
  <si>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</si>
  <si>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</si>
  <si>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</si>
  <si>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</si>
  <si>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</si>
  <si>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</si>
  <si>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</si>
  <si>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</si>
  <si>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</si>
  <si>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</si>
  <si>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</si>
  <si>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</si>
  <si>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</si>
  <si>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</si>
  <si>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</si>
  <si>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</si>
  <si>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</si>
  <si>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</si>
  <si>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</si>
  <si>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</si>
  <si>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</si>
  <si>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</si>
  <si>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</si>
  <si>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</si>
  <si>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</si>
  <si>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</si>
  <si>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</si>
  <si>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</si>
  <si>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</si>
  <si>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</si>
  <si>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</si>
  <si>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</si>
  <si>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</si>
  <si>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</si>
  <si>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</si>
  <si>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</si>
  <si>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</si>
  <si>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</si>
  <si>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</si>
  <si>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</si>
  <si>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</si>
  <si>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</si>
  <si>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</si>
  <si>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</si>
  <si>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</si>
  <si>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</si>
  <si>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</si>
  <si>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</si>
  <si>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</si>
  <si>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</si>
  <si>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</si>
  <si>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</si>
  <si>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</si>
  <si>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</si>
  <si>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</si>
  <si>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</si>
  <si>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</si>
  <si>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</si>
  <si>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</si>
  <si>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</si>
  <si>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</si>
  <si>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</si>
  <si>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</si>
  <si>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</si>
  <si>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</si>
  <si>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</si>
  <si>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</si>
  <si>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</si>
  <si>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</si>
  <si>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</si>
  <si>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</si>
  <si>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</si>
  <si>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</si>
  <si>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</si>
  <si>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</si>
  <si>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</si>
  <si>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</si>
  <si>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</si>
  <si>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</si>
  <si>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</si>
  <si>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</si>
  <si>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</si>
  <si>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</si>
  <si>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</si>
  <si>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</si>
  <si>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</si>
  <si>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</si>
  <si>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</si>
  <si>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</si>
  <si>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</si>
  <si>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</si>
  <si>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</si>
  <si>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</si>
  <si>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</si>
  <si>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</si>
  <si>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</si>
  <si>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</si>
  <si>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</si>
  <si>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</si>
  <si>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</si>
  <si>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</si>
  <si>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</si>
  <si>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</si>
  <si>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</si>
  <si>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</si>
  <si>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</si>
  <si>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</si>
  <si>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</si>
  <si>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</si>
  <si>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</si>
  <si>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</si>
  <si>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</si>
  <si>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</si>
  <si>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</si>
  <si>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</si>
  <si>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</si>
  <si>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</si>
  <si>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</si>
  <si>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</si>
  <si>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</si>
  <si>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</si>
  <si>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</si>
  <si>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</si>
  <si>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</si>
  <si>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</si>
  <si>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</si>
  <si>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</si>
  <si>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</si>
  <si>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</si>
  <si>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</si>
  <si>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</si>
  <si>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</si>
  <si>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</si>
  <si>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</si>
  <si>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</si>
  <si>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</si>
  <si>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</si>
  <si>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</si>
  <si>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</si>
  <si>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</si>
  <si>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</si>
  <si>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</si>
  <si>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</si>
  <si>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</si>
  <si>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</si>
  <si>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</si>
  <si>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</si>
  <si>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</si>
  <si>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</si>
  <si>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</si>
  <si>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</si>
  <si>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</si>
  <si>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</si>
  <si>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</si>
  <si>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</si>
  <si>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</si>
  <si>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</si>
  <si>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</si>
  <si>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</si>
  <si>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</si>
  <si>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</si>
  <si>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</si>
  <si>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</si>
  <si>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</si>
  <si>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</si>
  <si>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</si>
  <si>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</si>
  <si>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</si>
  <si>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</si>
  <si>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</si>
  <si>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</si>
  <si>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</si>
  <si>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</si>
  <si>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</si>
  <si>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</si>
  <si>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</si>
  <si>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</si>
  <si>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</si>
  <si>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</si>
  <si>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</si>
  <si>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</si>
  <si>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</si>
  <si>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</si>
  <si>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</si>
  <si>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</si>
  <si>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</si>
  <si>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</si>
  <si>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</si>
  <si>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</si>
  <si>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</si>
  <si>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</si>
  <si>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</si>
  <si>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</si>
  <si>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</si>
  <si>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</si>
  <si>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</si>
  <si>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</si>
  <si>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</si>
  <si>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</si>
  <si>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</si>
  <si>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</si>
  <si>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</si>
  <si>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</si>
  <si>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</si>
  <si>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</si>
  <si>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</si>
  <si>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</si>
  <si>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</si>
  <si>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</si>
  <si>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</si>
  <si>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</si>
  <si>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</si>
  <si>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</si>
  <si>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</si>
  <si>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</si>
  <si>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</si>
  <si>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</si>
  <si>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</si>
  <si>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</si>
  <si>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</si>
  <si>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</si>
  <si>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</si>
  <si>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</si>
  <si>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</si>
  <si>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</si>
  <si>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</si>
  <si>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</si>
  <si>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</si>
  <si>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</si>
  <si>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</si>
  <si>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</si>
  <si>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</si>
  <si>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</si>
  <si>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</si>
  <si>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</si>
  <si>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</si>
  <si>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</si>
  <si>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</si>
  <si>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</si>
  <si>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</si>
  <si>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</si>
  <si>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</si>
  <si>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</si>
  <si>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</si>
  <si>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</si>
  <si>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</si>
  <si>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</si>
  <si>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</si>
  <si>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</si>
  <si>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</si>
  <si>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</si>
  <si>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</si>
  <si>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</si>
  <si>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</si>
  <si>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</si>
  <si>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</si>
  <si>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</si>
  <si>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</si>
  <si>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</si>
  <si>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</si>
  <si>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</si>
  <si>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</si>
  <si>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</si>
  <si>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</si>
  <si>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</si>
  <si>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</si>
  <si>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</si>
  <si>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</si>
  <si>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</si>
  <si>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</si>
  <si>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</si>
  <si>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</si>
  <si>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</si>
  <si>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</si>
  <si>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</si>
  <si>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</si>
  <si>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</si>
  <si>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</si>
  <si>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</si>
  <si>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</si>
  <si>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</si>
  <si>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</si>
  <si>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</si>
  <si>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</si>
  <si>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</si>
  <si>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</si>
  <si>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</si>
  <si>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</si>
  <si>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</si>
  <si>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</si>
  <si>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</si>
  <si>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</si>
  <si>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</si>
  <si>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</si>
  <si>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</si>
  <si>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</si>
  <si>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</si>
  <si>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</si>
  <si>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</si>
  <si>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</si>
  <si>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</si>
  <si>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</si>
  <si>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</si>
  <si>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</si>
  <si>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</si>
  <si>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</si>
  <si>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</si>
  <si>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</si>
  <si>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</si>
  <si>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</si>
  <si>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</si>
  <si>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</si>
  <si>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</si>
  <si>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</si>
  <si>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</si>
  <si>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</si>
  <si>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</si>
  <si>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</si>
  <si>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</si>
  <si>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</si>
  <si>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</si>
  <si>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</si>
  <si>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</si>
  <si>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</si>
  <si>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</si>
  <si>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</si>
  <si>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</si>
  <si>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</si>
  <si>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</si>
  <si>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</si>
  <si>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</si>
  <si>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</si>
  <si>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</si>
  <si>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</si>
  <si>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</si>
  <si>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</si>
  <si>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</si>
  <si>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</si>
  <si>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</si>
  <si>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</si>
  <si>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</si>
  <si>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</si>
  <si>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</si>
  <si>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</si>
  <si>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</si>
  <si>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</si>
  <si>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</si>
  <si>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</si>
  <si>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</si>
  <si>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</si>
  <si>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</si>
  <si>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</si>
  <si>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</si>
  <si>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</si>
  <si>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</si>
  <si>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</si>
  <si>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</si>
  <si>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</si>
  <si>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</si>
  <si>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</si>
  <si>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</si>
  <si>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</si>
  <si>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</si>
  <si>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</si>
  <si>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</si>
  <si>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</si>
  <si>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</si>
  <si>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</si>
  <si>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</si>
  <si>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</si>
  <si>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</si>
  <si>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</si>
  <si>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</si>
  <si>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</si>
  <si>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</si>
  <si>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</si>
  <si>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</si>
  <si>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</si>
  <si>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</si>
  <si>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</si>
  <si>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</si>
  <si>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</si>
  <si>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</si>
  <si>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</si>
  <si>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</si>
  <si>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</si>
  <si>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</si>
  <si>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</si>
  <si>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</si>
  <si>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</si>
  <si>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</si>
  <si>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</si>
  <si>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</si>
  <si>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</si>
  <si>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</si>
  <si>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</si>
  <si>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</si>
  <si>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</si>
  <si>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</si>
  <si>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</si>
  <si>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</si>
  <si>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</si>
  <si>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</si>
  <si>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</si>
  <si>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</si>
  <si>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</si>
  <si>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</si>
  <si>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</si>
  <si>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</si>
  <si>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</si>
  <si>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</si>
  <si>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</si>
  <si>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</si>
  <si>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</si>
  <si>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</si>
  <si>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</si>
  <si>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</si>
  <si>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</si>
  <si>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</si>
  <si>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</si>
  <si>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</si>
  <si>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</si>
  <si>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</si>
  <si>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</si>
  <si>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</si>
  <si>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</si>
  <si>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</si>
  <si>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</si>
  <si>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</si>
  <si>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</si>
  <si>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</si>
  <si>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</si>
  <si>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</si>
  <si>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</si>
  <si>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</si>
  <si>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</si>
  <si>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</si>
  <si>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</si>
  <si>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</si>
  <si>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</si>
  <si>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</si>
  <si>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</si>
  <si>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</si>
  <si>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</si>
  <si>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</si>
  <si>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</si>
  <si>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</si>
  <si>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</si>
  <si>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</si>
  <si>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</si>
  <si>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</si>
  <si>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</si>
  <si>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</si>
  <si>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</si>
  <si>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</si>
  <si>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</si>
  <si>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</si>
  <si>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</si>
  <si>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</si>
  <si>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</si>
  <si>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</si>
  <si>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</si>
  <si>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</si>
  <si>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</si>
  <si>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</si>
  <si>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</si>
  <si>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</si>
  <si>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</si>
  <si>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</si>
  <si>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</si>
  <si>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</si>
  <si>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</si>
  <si>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</si>
  <si>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</si>
  <si>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</si>
  <si>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</si>
  <si>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</si>
  <si>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</si>
  <si>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</si>
  <si>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</si>
  <si>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</si>
  <si>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</si>
  <si>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</si>
  <si>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</si>
  <si>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</si>
  <si>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</si>
  <si>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</si>
  <si>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</si>
  <si>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</si>
  <si>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</si>
  <si>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</si>
  <si>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</si>
  <si>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</si>
  <si>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</si>
  <si>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</si>
  <si>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</si>
  <si>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</si>
  <si>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</si>
  <si>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</si>
  <si>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</si>
  <si>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</si>
  <si>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</si>
  <si>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</si>
  <si>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</si>
  <si>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</si>
  <si>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</si>
  <si>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</si>
  <si>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</si>
  <si>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</si>
  <si>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</si>
  <si>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</si>
  <si>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</si>
  <si>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</si>
  <si>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</si>
  <si>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</si>
  <si>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</si>
  <si>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</si>
  <si>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</si>
  <si>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</si>
  <si>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</si>
  <si>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</si>
  <si>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</si>
  <si>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</si>
  <si>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</si>
  <si>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</si>
  <si>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</si>
  <si>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</si>
  <si>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</si>
  <si>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</si>
  <si>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</si>
  <si>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</si>
  <si>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</si>
  <si>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</si>
  <si>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</si>
  <si>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</si>
  <si>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</si>
  <si>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</si>
  <si>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</si>
  <si>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</si>
  <si>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</si>
  <si>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</si>
  <si>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</si>
  <si>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</si>
  <si>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</si>
  <si>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</si>
  <si>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</si>
  <si>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</si>
  <si>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</si>
  <si>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</si>
  <si>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</si>
  <si>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</si>
  <si>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</si>
  <si>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</si>
  <si>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</si>
  <si>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</si>
  <si>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</si>
  <si>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</si>
  <si>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</si>
  <si>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</si>
  <si>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</si>
  <si>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</si>
  <si>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</si>
  <si>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</si>
  <si>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</si>
  <si>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</si>
  <si>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</si>
  <si>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</si>
  <si>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</si>
  <si>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</si>
  <si>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</si>
  <si>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</si>
  <si>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</si>
  <si>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</si>
  <si>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</si>
  <si>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</si>
  <si>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</si>
  <si>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</si>
  <si>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</si>
  <si>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</si>
  <si>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</si>
  <si>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</si>
  <si>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</si>
  <si>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</si>
  <si>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</si>
  <si>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</si>
  <si>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</si>
  <si>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</si>
  <si>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</si>
  <si>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</si>
  <si>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</si>
  <si>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</si>
  <si>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</si>
  <si>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</si>
  <si>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</si>
  <si>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</si>
  <si>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</si>
  <si>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</si>
  <si>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</si>
  <si>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</si>
  <si>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</si>
  <si>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</si>
  <si>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</si>
  <si>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</si>
  <si>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</si>
  <si>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</si>
  <si>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</si>
  <si>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</si>
  <si>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</si>
  <si>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</si>
  <si>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</si>
  <si>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</si>
  <si>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</si>
  <si>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</si>
  <si>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</si>
  <si>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</si>
  <si>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</si>
  <si>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</si>
  <si>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</si>
  <si>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</si>
  <si>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</si>
  <si>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</si>
  <si>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</si>
  <si>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</si>
  <si>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</si>
  <si>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</si>
  <si>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</si>
  <si>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</si>
  <si>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</si>
  <si>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</si>
  <si>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</si>
  <si>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</si>
  <si>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</si>
  <si>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</si>
  <si>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</si>
  <si>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</si>
  <si>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</si>
  <si>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</si>
  <si>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</si>
  <si>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</si>
  <si>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</si>
  <si>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</si>
  <si>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</si>
  <si>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</si>
  <si>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</si>
  <si>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</si>
  <si>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</si>
  <si>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</si>
  <si>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</si>
  <si>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</si>
  <si>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</si>
  <si>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</si>
  <si>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</si>
  <si>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</si>
  <si>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</si>
  <si>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</si>
  <si>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</si>
  <si>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</si>
  <si>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</si>
  <si>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</si>
  <si>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</si>
  <si>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</si>
  <si>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</si>
  <si>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</si>
  <si>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</si>
  <si>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</si>
  <si>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</si>
  <si>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</si>
  <si>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</si>
  <si>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</si>
  <si>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</si>
  <si>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</si>
  <si>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</si>
  <si>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</si>
  <si>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</si>
  <si>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</si>
  <si>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</si>
  <si>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</si>
  <si>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</si>
  <si>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</si>
  <si>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</si>
  <si>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</si>
  <si>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</si>
  <si>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</si>
  <si>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</si>
  <si>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</si>
  <si>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</si>
  <si>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</si>
  <si>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</si>
  <si>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</si>
  <si>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</si>
  <si>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</si>
  <si>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</si>
  <si>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</si>
  <si>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</si>
  <si>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</si>
  <si>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</si>
  <si>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</si>
  <si>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</si>
  <si>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</si>
  <si>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</si>
  <si>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</si>
  <si>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</si>
  <si>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</si>
  <si>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</si>
  <si>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</si>
  <si>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</si>
  <si>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</si>
  <si>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</si>
  <si>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</si>
  <si>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</si>
  <si>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</si>
  <si>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</si>
  <si>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</si>
  <si>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</si>
  <si>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</si>
  <si>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</si>
  <si>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</si>
  <si>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</si>
  <si>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</si>
  <si>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</si>
  <si>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</si>
  <si>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</si>
  <si>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</si>
  <si>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</si>
  <si>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</si>
  <si>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</si>
  <si>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</si>
  <si>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</si>
  <si>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</si>
  <si>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</si>
  <si>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</si>
  <si>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</si>
  <si>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</si>
  <si>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</si>
  <si>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</si>
  <si>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</si>
  <si>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</si>
  <si>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</si>
  <si>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</si>
  <si>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</si>
  <si>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</si>
  <si>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</si>
  <si>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</si>
  <si>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</si>
  <si>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</si>
  <si>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</si>
  <si>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</si>
  <si>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</si>
  <si>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</si>
  <si>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</si>
  <si>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</si>
  <si>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</si>
  <si>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</si>
  <si>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</si>
  <si>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</si>
  <si>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</si>
  <si>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</si>
  <si>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</si>
  <si>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</si>
  <si>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</si>
  <si>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</si>
  <si>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</si>
  <si>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</si>
  <si>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</si>
  <si>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</si>
  <si>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</si>
  <si>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</si>
  <si>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</si>
  <si>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</si>
  <si>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</si>
  <si>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</si>
  <si>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</si>
  <si>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</si>
  <si>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</si>
  <si>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</si>
  <si>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</si>
  <si>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</si>
  <si>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</si>
  <si>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</si>
  <si>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</si>
  <si>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</si>
  <si>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</si>
  <si>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</si>
  <si>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</si>
  <si>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</si>
  <si>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</si>
  <si>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</si>
  <si>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</si>
  <si>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</si>
  <si>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</si>
  <si>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</si>
  <si>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</si>
  <si>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</si>
  <si>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</si>
  <si>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</si>
  <si>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</si>
  <si>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</si>
  <si>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</si>
  <si>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</si>
  <si>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</si>
  <si>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</si>
  <si>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</si>
  <si>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</si>
  <si>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</si>
  <si>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</si>
  <si>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</si>
  <si>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</si>
  <si>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</si>
  <si>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</si>
  <si>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</si>
  <si>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</si>
  <si>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</si>
  <si>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</si>
  <si>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</si>
  <si>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</si>
  <si>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</si>
  <si>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</si>
  <si>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</si>
  <si>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</si>
  <si>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</si>
  <si>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</si>
  <si>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</si>
  <si>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</si>
  <si>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</si>
  <si>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</si>
  <si>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</si>
  <si>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</si>
  <si>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</si>
  <si>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</si>
  <si>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</si>
  <si>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</si>
  <si>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</si>
  <si>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</si>
  <si>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</si>
  <si>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</si>
  <si>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</si>
  <si>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</si>
  <si>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</si>
  <si>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</si>
  <si>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</si>
  <si>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</si>
  <si>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</si>
  <si>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</si>
  <si>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</si>
  <si>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</si>
  <si>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</si>
  <si>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</si>
  <si>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</si>
  <si>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</si>
  <si>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</si>
  <si>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</si>
  <si>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</si>
  <si>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</si>
  <si>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</si>
  <si>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</si>
  <si>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</si>
  <si>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</si>
  <si>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</si>
  <si>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</si>
  <si>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</si>
  <si>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</si>
  <si>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</si>
  <si>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</si>
  <si>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</si>
  <si>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</si>
  <si>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</si>
  <si>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</si>
  <si>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</si>
  <si>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</si>
  <si>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</si>
  <si>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</si>
  <si>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</si>
  <si>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</si>
  <si>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</si>
  <si>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</si>
  <si>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</si>
  <si>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</si>
  <si>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</si>
  <si>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</si>
  <si>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</si>
  <si>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</si>
  <si>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</si>
  <si>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</si>
  <si>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</si>
  <si>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</si>
  <si>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</si>
  <si>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</si>
  <si>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</si>
  <si>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</si>
  <si>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</si>
  <si>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</si>
  <si>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</si>
  <si>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</si>
  <si>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</si>
  <si>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</si>
  <si>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</si>
  <si>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</si>
  <si>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</si>
  <si>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</si>
  <si>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</si>
  <si>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</si>
  <si>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</si>
  <si>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</si>
  <si>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</si>
  <si>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</si>
  <si>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</si>
  <si>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</si>
  <si>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</si>
  <si>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</si>
  <si>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</si>
  <si>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</si>
  <si>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</si>
  <si>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</si>
  <si>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</si>
  <si>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</si>
  <si>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</si>
  <si>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</si>
  <si>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</si>
  <si>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</si>
  <si>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</si>
  <si>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</si>
  <si>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</si>
  <si>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</si>
  <si>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</si>
  <si>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</si>
  <si>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</si>
  <si>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</si>
  <si>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</si>
  <si>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</si>
  <si>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</si>
  <si>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</si>
  <si>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</si>
  <si>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</si>
  <si>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</si>
  <si>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</si>
  <si>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</si>
  <si>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</si>
  <si>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</si>
  <si>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</si>
  <si>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</si>
  <si>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</si>
  <si>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</si>
  <si>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</si>
  <si>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</si>
  <si>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</si>
  <si>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</si>
  <si>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</si>
  <si>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</si>
  <si>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</si>
  <si>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</si>
  <si>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</si>
  <si>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</si>
  <si>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</si>
  <si>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</si>
  <si>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</si>
  <si>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</si>
  <si>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</si>
  <si>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</si>
  <si>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</si>
  <si>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</si>
  <si>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</si>
  <si>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</si>
  <si>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</si>
  <si>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</si>
  <si>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</si>
  <si>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</si>
  <si>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</si>
  <si>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</si>
  <si>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</si>
  <si>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</si>
  <si>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</si>
  <si>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</si>
  <si>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</si>
  <si>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</si>
  <si>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</si>
  <si>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</si>
  <si>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</si>
  <si>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</si>
  <si>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</si>
  <si>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</si>
  <si>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</si>
  <si>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</si>
  <si>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</si>
  <si>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</si>
  <si>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</si>
  <si>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</si>
  <si>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</si>
  <si>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</si>
  <si>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</si>
  <si>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</si>
  <si>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</si>
  <si>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</si>
  <si>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</si>
  <si>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</si>
  <si>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</si>
  <si>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</si>
  <si>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</si>
  <si>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</si>
  <si>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</si>
  <si>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</si>
  <si>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</si>
  <si>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</si>
  <si>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</si>
  <si>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</si>
  <si>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</si>
  <si>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</si>
  <si>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</si>
  <si>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</si>
  <si>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</si>
  <si>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</si>
  <si>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</si>
  <si>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</si>
  <si>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</si>
  <si>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</si>
  <si>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</si>
  <si>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</si>
  <si>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</si>
  <si>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</si>
  <si>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</si>
  <si>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</si>
  <si>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</si>
  <si>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</si>
  <si>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</si>
  <si>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</si>
  <si>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</si>
  <si>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</si>
  <si>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</si>
  <si>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</si>
  <si>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</si>
  <si>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</si>
  <si>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</si>
  <si>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</si>
  <si>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</si>
  <si>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</si>
  <si>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</si>
  <si>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</si>
  <si>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</si>
  <si>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</si>
  <si>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</si>
  <si>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</si>
  <si>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</si>
  <si>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</si>
  <si>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</si>
  <si>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</si>
  <si>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</si>
  <si>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</si>
  <si>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</si>
  <si>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</si>
  <si>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</si>
  <si>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</si>
  <si>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</si>
  <si>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</si>
  <si>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</si>
  <si>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</si>
  <si>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</si>
  <si>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</si>
  <si>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</si>
  <si>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</si>
  <si>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</si>
  <si>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</si>
  <si>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</si>
  <si>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</si>
  <si>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</si>
  <si>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</si>
  <si>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</si>
  <si>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</si>
  <si>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</si>
  <si>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</si>
  <si>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</si>
  <si>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</si>
  <si>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</si>
  <si>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</si>
  <si>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</si>
  <si>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</si>
  <si>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</si>
  <si>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</si>
  <si>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</si>
  <si>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</si>
  <si>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</si>
  <si>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</si>
  <si>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</si>
  <si>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</si>
  <si>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</si>
  <si>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</si>
  <si>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</si>
  <si>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</si>
  <si>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</si>
  <si>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</si>
  <si>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</si>
  <si>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</si>
  <si>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</si>
  <si>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</si>
  <si>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</si>
  <si>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</si>
  <si>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</si>
  <si>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</si>
  <si>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</si>
  <si>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</si>
  <si>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</si>
  <si>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</si>
  <si>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</si>
  <si>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</si>
  <si>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</si>
  <si>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</si>
  <si>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</si>
  <si>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</si>
  <si>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</si>
  <si>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</si>
  <si>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</si>
  <si>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</si>
  <si>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</si>
  <si>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</si>
  <si>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</si>
  <si>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</si>
  <si>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</si>
  <si>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</si>
  <si>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</si>
  <si>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</si>
  <si>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</si>
  <si>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</si>
  <si>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</si>
  <si>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</si>
  <si>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</si>
  <si>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</si>
  <si>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</si>
  <si>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</si>
  <si>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</si>
  <si>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</si>
  <si>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</si>
  <si>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</si>
  <si>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</si>
  <si>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</si>
  <si>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</si>
  <si>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</si>
  <si>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</si>
  <si>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</si>
  <si>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</si>
  <si>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</si>
  <si>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</si>
  <si>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</si>
  <si>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</si>
  <si>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</si>
  <si>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</si>
  <si>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</si>
  <si>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</si>
  <si>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</si>
  <si>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</si>
  <si>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</si>
  <si>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</si>
  <si>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</si>
  <si>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</si>
  <si>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</si>
  <si>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</si>
  <si>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</si>
  <si>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</si>
  <si>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</si>
  <si>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</si>
  <si>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</si>
  <si>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</si>
  <si>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</si>
  <si>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</si>
  <si>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</si>
  <si>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</si>
  <si>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</si>
  <si>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</si>
  <si>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</si>
  <si>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</si>
  <si>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</si>
  <si>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</si>
  <si>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</si>
  <si>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</si>
  <si>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</si>
  <si>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</si>
  <si>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</si>
  <si>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</si>
  <si>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</si>
  <si>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</si>
  <si>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</si>
  <si>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</si>
  <si>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</si>
  <si>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</si>
  <si>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</si>
  <si>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</si>
  <si>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</si>
  <si>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</si>
  <si>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</si>
  <si>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</si>
  <si>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</si>
  <si>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</si>
  <si>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</si>
  <si>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</si>
  <si>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</si>
  <si>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</si>
  <si>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</si>
  <si>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</si>
  <si>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</si>
  <si>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</si>
  <si>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</si>
  <si>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</si>
  <si>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</si>
  <si>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</si>
  <si>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</si>
  <si>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</si>
  <si>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</si>
  <si>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</si>
  <si>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</si>
  <si>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</si>
  <si>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</si>
  <si>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</si>
  <si>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</si>
  <si>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</si>
  <si>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</si>
  <si>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</si>
  <si>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</si>
  <si>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</si>
  <si>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</si>
  <si>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</si>
  <si>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</si>
  <si>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</si>
  <si>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</si>
  <si>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</si>
  <si>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</si>
  <si>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</si>
  <si>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</si>
  <si>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</si>
  <si>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</si>
  <si>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</si>
  <si>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</si>
  <si>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</si>
  <si>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</si>
  <si>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</si>
  <si>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</si>
  <si>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</si>
  <si>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</si>
  <si>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</si>
  <si>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</si>
  <si>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</si>
  <si>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</si>
  <si>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</si>
  <si>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</si>
  <si>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</si>
  <si>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</si>
  <si>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</si>
  <si>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</si>
  <si>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</si>
  <si>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</si>
  <si>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</si>
  <si>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</si>
  <si>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</si>
  <si>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</si>
  <si>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</si>
  <si>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</si>
  <si>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</si>
  <si>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</si>
  <si>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</si>
  <si>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</si>
  <si>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</si>
  <si>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</si>
  <si>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</si>
  <si>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</si>
  <si>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</si>
  <si>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</si>
  <si>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</si>
  <si>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</si>
  <si>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</si>
  <si>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</si>
  <si>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</si>
  <si>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</si>
  <si>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</si>
  <si>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</si>
  <si>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</si>
  <si>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</si>
  <si>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</si>
  <si>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</si>
  <si>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</si>
  <si>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</si>
  <si>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</si>
  <si>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</si>
  <si>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</si>
  <si>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</si>
  <si>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</si>
  <si>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</si>
  <si>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</si>
  <si>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</si>
  <si>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</si>
  <si>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</si>
  <si>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</si>
  <si>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</si>
  <si>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</si>
  <si>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</si>
  <si>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</si>
  <si>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</si>
  <si>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</si>
  <si>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</si>
  <si>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</si>
  <si>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</si>
  <si>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</si>
  <si>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</si>
  <si>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</si>
  <si>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</si>
  <si>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</si>
  <si>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</si>
  <si>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</si>
  <si>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</si>
  <si>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</si>
  <si>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</si>
  <si>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</si>
  <si>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</si>
  <si>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</si>
  <si>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</si>
  <si>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</si>
  <si>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</si>
  <si>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</si>
  <si>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</si>
  <si>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</si>
  <si>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</si>
  <si>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</si>
  <si>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</si>
  <si>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</si>
  <si>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</si>
  <si>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</si>
  <si>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</si>
  <si>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</si>
  <si>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</si>
  <si>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</si>
  <si>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</si>
  <si>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</si>
  <si>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</si>
  <si>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</si>
  <si>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</si>
  <si>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</si>
  <si>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</si>
  <si>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</si>
  <si>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</si>
  <si>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</si>
  <si>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</si>
  <si>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</si>
  <si>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</si>
  <si>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</si>
  <si>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</si>
  <si>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</si>
  <si>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</si>
  <si>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</si>
  <si>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</si>
  <si>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</si>
  <si>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</si>
  <si>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</si>
  <si>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</si>
  <si>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</si>
  <si>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</si>
  <si>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</si>
  <si>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</si>
  <si>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</si>
  <si>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</si>
  <si>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</si>
  <si>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</si>
  <si>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</si>
  <si>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</si>
  <si>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</si>
  <si>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</si>
  <si>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</si>
  <si>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</si>
  <si>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</si>
  <si>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</si>
  <si>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</si>
  <si>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</si>
  <si>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</si>
  <si>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</si>
  <si>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</si>
  <si>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</si>
  <si>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</si>
  <si>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</si>
  <si>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</si>
  <si>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</si>
  <si>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</si>
  <si>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</si>
  <si>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</si>
  <si>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</si>
  <si>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</si>
  <si>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</si>
  <si>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</si>
  <si>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</si>
  <si>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</si>
  <si>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</si>
  <si>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</si>
  <si>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</si>
  <si>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</si>
  <si>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</si>
  <si>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</si>
  <si>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</si>
  <si>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</si>
  <si>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</si>
  <si>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</si>
  <si>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</si>
  <si>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</si>
  <si>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</si>
  <si>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</si>
  <si>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</si>
  <si>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</si>
  <si>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</si>
  <si>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</si>
  <si>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</si>
  <si>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</si>
  <si>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</si>
  <si>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</si>
  <si>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</si>
  <si>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</si>
  <si>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</si>
  <si>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</si>
  <si>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</si>
  <si>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</si>
  <si>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</si>
  <si>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</si>
  <si>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</si>
  <si>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</si>
  <si>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</si>
  <si>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</si>
  <si>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</si>
  <si>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</si>
  <si>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</si>
  <si>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</si>
  <si>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</si>
  <si>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</si>
  <si>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</si>
  <si>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</si>
  <si>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</si>
  <si>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</si>
  <si>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</si>
  <si>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</si>
  <si>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</si>
  <si>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</si>
  <si>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</si>
  <si>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</si>
  <si>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</si>
  <si>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</si>
  <si>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</si>
  <si>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</si>
  <si>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</si>
  <si>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</si>
  <si>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</si>
  <si>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</si>
  <si>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</si>
  <si>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</si>
  <si>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</si>
  <si>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</si>
  <si>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</si>
  <si>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</si>
  <si>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</si>
  <si>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</si>
  <si>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</si>
  <si>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</si>
  <si>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</si>
  <si>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</si>
  <si>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</si>
  <si>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</si>
  <si>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</si>
  <si>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</si>
  <si>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</si>
  <si>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</si>
  <si>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</si>
  <si>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</si>
  <si>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</si>
  <si>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</si>
  <si>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</si>
  <si>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</si>
  <si>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</si>
  <si>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</si>
  <si>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</si>
  <si>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</si>
  <si>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</si>
  <si>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</si>
  <si>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</si>
  <si>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</si>
  <si>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</si>
  <si>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</si>
  <si>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</si>
  <si>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</si>
  <si>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</si>
  <si>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</si>
  <si>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</si>
  <si>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</si>
  <si>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</si>
  <si>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</si>
  <si>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</si>
  <si>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</si>
  <si>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</si>
  <si>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</si>
  <si>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</si>
  <si>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</si>
  <si>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</si>
  <si>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</si>
  <si>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</si>
  <si>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</si>
  <si>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</si>
  <si>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</si>
  <si>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</si>
  <si>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</si>
  <si>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</si>
  <si>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</si>
  <si>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</si>
  <si>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</si>
  <si>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</si>
  <si>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</si>
  <si>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</si>
  <si>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</si>
  <si>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</si>
  <si>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</si>
  <si>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</si>
  <si>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</si>
  <si>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</si>
  <si>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</si>
  <si>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</si>
  <si>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</si>
  <si>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</si>
  <si>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</si>
  <si>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</si>
  <si>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</si>
  <si>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</si>
  <si>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</si>
  <si>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</si>
  <si>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</si>
  <si>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</si>
  <si>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</si>
  <si>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</si>
  <si>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</si>
  <si>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</si>
  <si>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</si>
  <si>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</si>
  <si>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</si>
  <si>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</si>
  <si>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</si>
  <si>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</si>
  <si>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</si>
  <si>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</si>
  <si>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</si>
  <si>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</si>
  <si>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</si>
  <si>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</si>
  <si>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</si>
  <si>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</si>
  <si>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</si>
  <si>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</si>
  <si>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</si>
  <si>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</si>
  <si>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</si>
  <si>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</si>
  <si>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</si>
  <si>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</si>
  <si>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</si>
  <si>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</si>
  <si>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</si>
  <si>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</si>
  <si>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</si>
  <si>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</si>
  <si>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</si>
  <si>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</si>
  <si>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</si>
  <si>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</si>
  <si>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</si>
  <si>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</si>
  <si>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</si>
  <si>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</si>
  <si>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</si>
  <si>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</si>
  <si>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</si>
  <si>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</si>
  <si>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</si>
  <si>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</si>
  <si>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</si>
  <si>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</si>
  <si>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</si>
  <si>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</si>
  <si>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</si>
  <si>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</si>
  <si>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</si>
  <si>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</si>
  <si>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</si>
  <si>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</si>
  <si>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</si>
  <si>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</si>
  <si>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</si>
  <si>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</si>
  <si>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</si>
  <si>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</si>
  <si>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</si>
  <si>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</si>
  <si>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</si>
  <si>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</si>
  <si>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</si>
  <si>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</si>
  <si>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</si>
  <si>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</si>
  <si>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</si>
  <si>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</si>
  <si>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</si>
  <si>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</si>
  <si>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</si>
  <si>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</si>
  <si>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</si>
  <si>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</si>
  <si>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</si>
  <si>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</si>
  <si>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</si>
  <si>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</si>
  <si>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</si>
  <si>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</si>
  <si>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</si>
  <si>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</si>
  <si>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</si>
  <si>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</si>
  <si>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</si>
  <si>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</si>
  <si>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</si>
  <si>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</si>
  <si>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</si>
  <si>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</si>
  <si>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</si>
  <si>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</si>
  <si>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</si>
  <si>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</si>
  <si>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</si>
  <si>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</si>
  <si>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</si>
  <si>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</si>
  <si>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</si>
  <si>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</si>
  <si>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</si>
  <si>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</si>
  <si>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</si>
  <si>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</si>
  <si>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</si>
  <si>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</si>
  <si>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</si>
  <si>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</si>
  <si>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</si>
  <si>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</si>
  <si>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</si>
  <si>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</si>
  <si>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</si>
  <si>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</si>
  <si>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</si>
  <si>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</si>
  <si>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</si>
  <si>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</si>
  <si>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</si>
  <si>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</si>
  <si>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</si>
  <si>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</si>
  <si>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</si>
  <si>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</si>
  <si>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</si>
  <si>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</si>
  <si>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</si>
  <si>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</si>
  <si>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</si>
  <si>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</si>
  <si>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</si>
  <si>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</si>
  <si>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</si>
  <si>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</si>
  <si>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</si>
  <si>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</si>
  <si>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</si>
  <si>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</si>
  <si>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</si>
  <si>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</si>
  <si>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</si>
  <si>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</si>
  <si>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</si>
  <si>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</si>
  <si>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</si>
  <si>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</si>
  <si>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</si>
  <si>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</si>
  <si>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</si>
  <si>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</si>
  <si>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</si>
  <si>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</si>
  <si>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</si>
  <si>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</si>
  <si>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</si>
  <si>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</si>
  <si>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</si>
  <si>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</si>
  <si>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</si>
  <si>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</si>
  <si>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</si>
  <si>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</si>
  <si>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</si>
  <si>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</si>
  <si>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</si>
  <si>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</si>
  <si>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</si>
  <si>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</si>
  <si>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</si>
  <si>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</si>
  <si>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</si>
  <si>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</si>
  <si>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</si>
  <si>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</si>
  <si>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</si>
  <si>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</si>
  <si>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</si>
  <si>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</si>
  <si>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</si>
  <si>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</si>
  <si>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</si>
  <si>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</si>
  <si>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</si>
  <si>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</si>
  <si>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</si>
  <si>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</si>
  <si>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</si>
  <si>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</si>
  <si>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</si>
  <si>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</si>
  <si>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</si>
  <si>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</si>
  <si>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</si>
  <si>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</si>
  <si>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</si>
  <si>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</si>
  <si>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</si>
  <si>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</si>
  <si>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</si>
  <si>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</si>
  <si>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</si>
  <si>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</si>
  <si>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</si>
  <si>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</si>
  <si>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</si>
  <si>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</si>
  <si>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</si>
  <si>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</si>
  <si>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</si>
  <si>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</si>
  <si>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</si>
  <si>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</si>
  <si>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</si>
  <si>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</si>
  <si>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</si>
  <si>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</si>
  <si>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</si>
  <si>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</si>
  <si>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</si>
  <si>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</si>
  <si>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</si>
  <si>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</si>
  <si>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</si>
  <si>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</si>
  <si>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</si>
  <si>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</si>
  <si>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</si>
  <si>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</si>
  <si>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</si>
  <si>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</si>
  <si>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</si>
  <si>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</si>
  <si>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</si>
  <si>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</si>
  <si>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</si>
  <si>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</si>
  <si>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</si>
  <si>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</si>
  <si>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</si>
  <si>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</si>
  <si>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</si>
  <si>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</si>
  <si>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</si>
  <si>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</si>
  <si>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</si>
  <si>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</si>
  <si>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</si>
  <si>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</si>
  <si>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</si>
  <si>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</si>
  <si>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</si>
  <si>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</si>
  <si>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</si>
  <si>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</si>
  <si>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</si>
  <si>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</si>
  <si>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</si>
  <si>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</si>
  <si>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</si>
  <si>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</si>
  <si>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</si>
  <si>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</si>
  <si>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</si>
  <si>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</si>
  <si>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</si>
  <si>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</si>
  <si>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</si>
  <si>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</si>
  <si>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</si>
  <si>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</si>
  <si>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</si>
  <si>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</si>
  <si>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</si>
  <si>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</si>
  <si>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</si>
  <si>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</si>
  <si>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</si>
  <si>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</si>
  <si>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</si>
  <si>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</si>
  <si>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</si>
  <si>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</si>
  <si>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</si>
  <si>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</si>
  <si>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</si>
  <si>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</si>
  <si>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</si>
  <si>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</si>
  <si>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</si>
  <si>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</si>
  <si>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</si>
  <si>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</si>
  <si>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</si>
  <si>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</si>
  <si>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</si>
  <si>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</si>
  <si>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</si>
  <si>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</si>
  <si>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</si>
  <si>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</si>
  <si>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</si>
  <si>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</si>
  <si>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</si>
  <si>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</si>
  <si>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</si>
  <si>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</si>
  <si>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</si>
  <si>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</si>
  <si>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</si>
  <si>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</si>
  <si>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</si>
  <si>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</si>
  <si>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</si>
  <si>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</si>
  <si>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</si>
  <si>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</si>
  <si>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</si>
  <si>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</si>
  <si>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</si>
  <si>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</si>
  <si>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</si>
  <si>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</si>
  <si>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</si>
  <si>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</si>
  <si>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</si>
  <si>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</si>
  <si>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</si>
  <si>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</si>
  <si>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</si>
  <si>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</si>
  <si>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</si>
  <si>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</si>
  <si>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</si>
  <si>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</si>
  <si>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</si>
  <si>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</si>
  <si>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</si>
  <si>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</si>
  <si>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</si>
  <si>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</si>
  <si>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</si>
  <si>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</si>
  <si>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</si>
  <si>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</si>
  <si>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</si>
  <si>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</si>
  <si>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</si>
  <si>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</si>
  <si>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</si>
  <si>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</si>
  <si>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</si>
  <si>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</si>
  <si>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</si>
  <si>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</si>
  <si>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</si>
  <si>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</si>
  <si>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</si>
  <si>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</si>
  <si>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</si>
  <si>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</si>
  <si>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</si>
  <si>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</si>
  <si>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</si>
  <si>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</si>
  <si>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</si>
  <si>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</si>
  <si>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</si>
  <si>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</si>
  <si>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</si>
  <si>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</si>
  <si>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</si>
  <si>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</si>
  <si>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</si>
  <si>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</si>
  <si>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</si>
  <si>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</si>
  <si>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</si>
  <si>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</si>
  <si>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</si>
  <si>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</si>
  <si>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</si>
  <si>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</si>
  <si>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</si>
  <si>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</si>
  <si>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</si>
  <si>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</si>
  <si>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</si>
  <si>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</si>
  <si>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</si>
  <si>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</si>
  <si>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</si>
  <si>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</si>
  <si>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</si>
  <si>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</si>
  <si>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</si>
  <si>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</si>
  <si>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</si>
  <si>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</si>
  <si>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</si>
  <si>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</si>
  <si>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</si>
  <si>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</si>
  <si>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</si>
  <si>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</si>
  <si>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</si>
  <si>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</si>
  <si>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</si>
  <si>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</si>
  <si>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</si>
  <si>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</si>
  <si>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</si>
  <si>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</si>
  <si>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</si>
  <si>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</si>
  <si>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</si>
  <si>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</si>
  <si>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</si>
  <si>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</si>
  <si>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</si>
  <si>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</si>
  <si>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</si>
  <si>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</si>
  <si>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</si>
  <si>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</si>
  <si>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</si>
  <si>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</si>
  <si>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</si>
  <si>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</si>
  <si>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</si>
  <si>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</si>
  <si>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</si>
  <si>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</si>
  <si>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</si>
  <si>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</si>
  <si>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</si>
  <si>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</si>
  <si>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</si>
  <si>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</si>
  <si>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</si>
  <si>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</si>
  <si>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</si>
  <si>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</si>
  <si>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</si>
  <si>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</si>
  <si>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</si>
  <si>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</si>
  <si>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</si>
  <si>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</si>
  <si>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</si>
  <si>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</si>
  <si>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</si>
  <si>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</si>
  <si>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</si>
  <si>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</si>
  <si>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</si>
  <si>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</si>
  <si>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</si>
  <si>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</si>
  <si>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</si>
  <si>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</si>
  <si>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</si>
  <si>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</si>
  <si>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</si>
  <si>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</si>
  <si>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</si>
  <si>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</si>
  <si>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</si>
  <si>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</si>
  <si>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</si>
  <si>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</si>
  <si>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</si>
  <si>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</si>
  <si>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</si>
  <si>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</si>
  <si>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</si>
  <si>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</si>
  <si>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</si>
  <si>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</si>
  <si>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</si>
  <si>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</si>
  <si>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</si>
  <si>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</si>
  <si>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</si>
  <si>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</si>
  <si>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</si>
  <si>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</si>
  <si>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</si>
  <si>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</si>
  <si>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</si>
  <si>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</si>
  <si>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</si>
  <si>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</si>
  <si>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</si>
  <si>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</si>
  <si>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</si>
  <si>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</si>
  <si>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</si>
  <si>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</si>
  <si>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</si>
  <si>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</si>
  <si>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</si>
  <si>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</si>
  <si>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</si>
  <si>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</si>
  <si>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</si>
  <si>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</si>
  <si>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</si>
  <si>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</si>
  <si>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</si>
  <si>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</si>
  <si>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</si>
  <si>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</si>
  <si>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</si>
  <si>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</si>
  <si>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</si>
  <si>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</si>
  <si>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</si>
  <si>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</si>
  <si>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</si>
  <si>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</si>
  <si>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</si>
  <si>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</si>
  <si>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</si>
  <si>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</si>
  <si>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</si>
  <si>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</si>
  <si>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</si>
  <si>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</si>
  <si>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</si>
  <si>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</si>
  <si>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</si>
  <si>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</si>
  <si>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</si>
  <si>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</si>
  <si>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</si>
  <si>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</si>
  <si>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</si>
  <si>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</si>
  <si>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</si>
  <si>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</si>
  <si>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</si>
  <si>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</si>
  <si>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</si>
  <si>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</si>
  <si>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</si>
  <si>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</si>
  <si>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</si>
  <si>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</si>
  <si>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</si>
  <si>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</si>
  <si>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</si>
  <si>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</si>
  <si>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</si>
  <si>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</si>
  <si>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</si>
  <si>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</si>
  <si>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</si>
  <si>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</si>
  <si>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</si>
  <si>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</si>
  <si>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</si>
  <si>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</si>
  <si>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</si>
  <si>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</si>
  <si>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</si>
  <si>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</si>
  <si>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</si>
  <si>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</si>
  <si>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</si>
  <si>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</si>
  <si>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</si>
  <si>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</si>
  <si>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</si>
  <si>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</si>
  <si>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</si>
  <si>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</si>
  <si>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</si>
  <si>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</si>
  <si>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</si>
  <si>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</si>
  <si>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</si>
  <si>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</si>
  <si>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</si>
  <si>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</si>
  <si>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</si>
  <si>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</si>
  <si>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</si>
  <si>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</si>
  <si>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</si>
  <si>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</si>
  <si>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</si>
  <si>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</si>
  <si>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</si>
  <si>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</si>
  <si>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</si>
  <si>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</si>
  <si>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</si>
  <si>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</si>
  <si>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</si>
  <si>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</si>
  <si>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</si>
  <si>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</si>
  <si>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</si>
  <si>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</si>
  <si>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</si>
  <si>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</si>
  <si>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</si>
  <si>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</si>
  <si>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</si>
  <si>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</si>
  <si>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</si>
  <si>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</si>
  <si>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</si>
  <si>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</si>
  <si>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</si>
  <si>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</si>
  <si>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</si>
  <si>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</si>
  <si>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</si>
  <si>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</si>
  <si>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</si>
  <si>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</si>
  <si>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</si>
  <si>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</si>
  <si>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</si>
  <si>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</si>
  <si>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</si>
  <si>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</si>
  <si>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</si>
  <si>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</si>
  <si>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</si>
  <si>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</si>
  <si>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</si>
  <si>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</si>
  <si>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</si>
  <si>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</si>
  <si>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</si>
  <si>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</si>
  <si>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</si>
  <si>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</si>
  <si>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</si>
  <si>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</si>
  <si>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</si>
  <si>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</si>
  <si>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</si>
  <si>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</si>
  <si>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</si>
  <si>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</si>
  <si>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</si>
  <si>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</si>
  <si>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</si>
  <si>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</si>
  <si>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</si>
  <si>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</si>
  <si>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</si>
  <si>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</si>
  <si>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</si>
  <si>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</si>
  <si>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</si>
  <si>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</si>
  <si>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</si>
  <si>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</si>
  <si>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</si>
  <si>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</si>
  <si>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</si>
  <si>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</si>
  <si>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</si>
  <si>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</si>
  <si>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</si>
  <si>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</si>
  <si>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</si>
  <si>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</si>
  <si>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</si>
  <si>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</si>
  <si>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</si>
  <si>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</si>
  <si>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</si>
  <si>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</si>
  <si>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</si>
  <si>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</si>
  <si>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</si>
  <si>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</si>
  <si>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</si>
  <si>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</si>
  <si>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</si>
  <si>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</si>
  <si>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</si>
  <si>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</si>
  <si>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</si>
  <si>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</si>
  <si>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</si>
  <si>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</si>
  <si>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</si>
  <si>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</si>
  <si>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</si>
  <si>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</si>
  <si>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</si>
  <si>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</si>
  <si>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</si>
  <si>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</si>
  <si>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</si>
  <si>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</si>
  <si>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</si>
  <si>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</si>
  <si>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</si>
  <si>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</si>
  <si>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</si>
  <si>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</si>
  <si>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</si>
  <si>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</si>
  <si>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</si>
  <si>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</si>
  <si>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</si>
  <si>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</si>
  <si>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</si>
  <si>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</si>
  <si>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</si>
  <si>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</si>
  <si>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</si>
  <si>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</si>
  <si>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</si>
  <si>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</si>
  <si>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</si>
  <si>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</si>
  <si>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</si>
  <si>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</si>
  <si>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</si>
  <si>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</si>
  <si>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</si>
  <si>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</si>
  <si>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</si>
  <si>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</si>
  <si>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</si>
  <si>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</si>
  <si>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</si>
  <si>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</si>
  <si>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</si>
  <si>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</si>
  <si>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</si>
  <si>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</si>
  <si>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</si>
  <si>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</si>
  <si>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</si>
  <si>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</si>
  <si>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</si>
  <si>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</si>
  <si>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</si>
  <si>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</si>
  <si>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</si>
  <si>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</si>
  <si>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</si>
  <si>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</si>
  <si>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</si>
  <si>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</si>
  <si>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</si>
  <si>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</si>
  <si>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</si>
  <si>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</si>
  <si>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</si>
  <si>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</si>
  <si>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</si>
  <si>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</si>
  <si>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</si>
  <si>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</si>
  <si>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</si>
  <si>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</si>
  <si>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</si>
  <si>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</si>
  <si>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</si>
  <si>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</si>
  <si>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</si>
  <si>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</si>
  <si>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</si>
  <si>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</si>
  <si>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</si>
  <si>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</si>
  <si>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</si>
  <si>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</si>
  <si>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</si>
  <si>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</si>
  <si>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</si>
  <si>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</si>
  <si>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</si>
  <si>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</si>
  <si>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</si>
  <si>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</si>
  <si>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</si>
  <si>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</si>
  <si>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</si>
  <si>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</si>
  <si>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</si>
  <si>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</si>
  <si>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</si>
  <si>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</si>
  <si>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</si>
  <si>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</si>
  <si>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</si>
  <si>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</si>
  <si>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</si>
  <si>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</si>
  <si>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</si>
  <si>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</si>
  <si>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</si>
  <si>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</si>
  <si>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</si>
  <si>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</si>
  <si>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</si>
  <si>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</si>
  <si>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</si>
  <si>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</si>
  <si>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</si>
  <si>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</si>
  <si>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</si>
  <si>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</si>
  <si>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</si>
  <si>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</si>
  <si>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</si>
  <si>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</si>
  <si>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</si>
  <si>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</si>
  <si>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</si>
  <si>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</si>
  <si>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</si>
  <si>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</si>
  <si>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</si>
  <si>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</si>
  <si>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</si>
  <si>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</si>
  <si>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</si>
  <si>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</si>
  <si>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</si>
  <si>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</si>
  <si>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</si>
  <si>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</si>
  <si>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</si>
  <si>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</si>
  <si>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</si>
  <si>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</si>
  <si>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</si>
  <si>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</si>
  <si>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</si>
  <si>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</si>
  <si>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</si>
  <si>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</si>
  <si>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</si>
  <si>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</si>
  <si>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</si>
  <si>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</si>
  <si>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</si>
  <si>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</si>
  <si>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</si>
  <si>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</si>
  <si>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</si>
  <si>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</si>
  <si>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</si>
  <si>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</si>
  <si>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</si>
  <si>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</si>
  <si>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</si>
  <si>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</si>
  <si>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</si>
  <si>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</si>
  <si>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</si>
  <si>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</si>
  <si>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</si>
  <si>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</si>
  <si>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</si>
  <si>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</si>
  <si>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</si>
  <si>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</si>
  <si>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</si>
  <si>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</si>
  <si>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</si>
  <si>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</si>
  <si>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</si>
  <si>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</si>
  <si>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</si>
  <si>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</si>
  <si>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</si>
  <si>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</si>
  <si>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</si>
  <si>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</si>
  <si>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</si>
  <si>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</si>
  <si>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</si>
  <si>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</si>
  <si>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</si>
  <si>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</si>
  <si>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</si>
  <si>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</si>
  <si>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</si>
  <si>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</si>
  <si>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</si>
  <si>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</si>
  <si>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</si>
  <si>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</si>
  <si>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</si>
  <si>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</si>
  <si>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</si>
  <si>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</si>
  <si>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</si>
  <si>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</si>
  <si>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</si>
  <si>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</si>
  <si>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</si>
  <si>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</si>
  <si>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</si>
  <si>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</si>
  <si>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</si>
  <si>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</si>
  <si>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</si>
  <si>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</si>
  <si>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</si>
  <si>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</si>
  <si>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</si>
  <si>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</si>
  <si>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</si>
  <si>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</si>
  <si>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</si>
  <si>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</si>
  <si>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</si>
  <si>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</si>
  <si>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</si>
  <si>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</si>
  <si>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</si>
  <si>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</si>
  <si>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</si>
  <si>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</si>
  <si>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</si>
  <si>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</si>
  <si>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</si>
  <si>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</si>
  <si>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</si>
  <si>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</si>
  <si>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</si>
  <si>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</si>
  <si>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</si>
  <si>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</si>
  <si>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</si>
  <si>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</si>
  <si>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</si>
  <si>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</si>
  <si>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</si>
  <si>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</si>
  <si>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</si>
  <si>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</si>
  <si>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</si>
  <si>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</si>
  <si>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</si>
  <si>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</si>
  <si>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</si>
  <si>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</si>
  <si>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</si>
  <si>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</si>
  <si>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</si>
  <si>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</si>
  <si>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</si>
  <si>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</si>
  <si>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</si>
  <si>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</si>
  <si>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</si>
  <si>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</si>
  <si>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</si>
  <si>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</si>
  <si>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</si>
  <si>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</si>
  <si>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</si>
  <si>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</si>
  <si>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</si>
  <si>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</si>
  <si>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</si>
  <si>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</si>
  <si>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</si>
  <si>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</si>
  <si>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</si>
  <si>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</si>
  <si>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</si>
  <si>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</si>
  <si>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</si>
  <si>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</si>
  <si>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</si>
  <si>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</si>
  <si>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</si>
  <si>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</si>
  <si>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</si>
  <si>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</si>
  <si>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</si>
  <si>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</si>
  <si>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</si>
  <si>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</si>
  <si>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</si>
  <si>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</si>
  <si>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</si>
  <si>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</si>
  <si>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</si>
  <si>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</si>
  <si>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</si>
  <si>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</si>
  <si>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</si>
  <si>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</si>
  <si>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</si>
  <si>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</si>
  <si>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</si>
  <si>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</si>
  <si>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</si>
  <si>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</si>
  <si>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</si>
  <si>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</si>
  <si>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</si>
  <si>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</si>
  <si>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</si>
  <si>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</si>
  <si>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</si>
  <si>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</si>
  <si>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</si>
  <si>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</si>
  <si>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</si>
  <si>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</si>
  <si>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</si>
  <si>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</si>
  <si>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</si>
  <si>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</si>
  <si>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</si>
  <si>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</si>
  <si>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</si>
  <si>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</si>
  <si>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</si>
  <si>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</si>
  <si>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</si>
  <si>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</si>
  <si>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</si>
  <si>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</si>
  <si>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</si>
  <si>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</si>
  <si>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</si>
  <si>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</si>
  <si>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</si>
  <si>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</si>
  <si>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</si>
  <si>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</si>
  <si>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</si>
  <si>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</si>
  <si>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</si>
  <si>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</si>
  <si>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</si>
  <si>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</si>
  <si>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</si>
  <si>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</si>
  <si>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</si>
  <si>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</si>
  <si>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</si>
  <si>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</si>
  <si>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</si>
  <si>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</si>
  <si>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</si>
  <si>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</si>
  <si>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</si>
  <si>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</si>
  <si>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</si>
  <si>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</si>
  <si>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</si>
  <si>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</si>
  <si>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</si>
  <si>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</si>
  <si>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</si>
  <si>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</si>
  <si>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</si>
  <si>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</si>
  <si>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</si>
  <si>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</si>
  <si>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</si>
  <si>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</si>
  <si>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</si>
  <si>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</si>
  <si>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</si>
  <si>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</si>
  <si>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</si>
  <si>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</si>
  <si>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</si>
  <si>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</si>
  <si>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</si>
  <si>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</si>
  <si>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</si>
  <si>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</si>
  <si>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</si>
  <si>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</si>
  <si>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</si>
  <si>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</si>
  <si>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</si>
  <si>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</si>
  <si>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</si>
  <si>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</si>
  <si>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</si>
  <si>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</si>
  <si>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</si>
  <si>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</si>
  <si>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</si>
  <si>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</si>
  <si>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</si>
  <si>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</si>
  <si>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</si>
  <si>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</si>
  <si>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</si>
  <si>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</si>
  <si>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</si>
  <si>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</si>
  <si>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</si>
  <si>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</si>
  <si>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</si>
  <si>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</si>
  <si>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</si>
  <si>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</si>
  <si>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</si>
  <si>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</si>
  <si>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</si>
  <si>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</si>
  <si>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</si>
  <si>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</si>
  <si>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</si>
  <si>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</si>
  <si>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</si>
  <si>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</si>
  <si>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</si>
  <si>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</si>
  <si>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</si>
  <si>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</si>
  <si>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</si>
  <si>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</si>
  <si>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</si>
  <si>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</si>
  <si>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</si>
  <si>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</si>
  <si>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</si>
  <si>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</si>
  <si>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</si>
  <si>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</si>
  <si>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</si>
  <si>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</si>
  <si>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</si>
  <si>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</si>
  <si>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</si>
  <si>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</si>
  <si>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</si>
  <si>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</si>
  <si>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</si>
  <si>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</si>
  <si>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</si>
  <si>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</si>
  <si>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</si>
  <si>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</si>
  <si>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</si>
  <si>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</si>
  <si>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</si>
  <si>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</si>
  <si>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</si>
  <si>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</si>
  <si>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</si>
  <si>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</si>
  <si>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</si>
  <si>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</si>
  <si>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</si>
  <si>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</si>
  <si>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</si>
  <si>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</si>
  <si>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</si>
  <si>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</si>
  <si>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</si>
  <si>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</si>
  <si>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</si>
  <si>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</si>
  <si>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</si>
  <si>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</si>
  <si>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</si>
  <si>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</si>
  <si>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</si>
  <si>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</si>
  <si>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</si>
  <si>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</si>
  <si>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</si>
  <si>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</si>
  <si>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</si>
  <si>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</si>
  <si>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</si>
  <si>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</si>
  <si>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</si>
  <si>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</si>
  <si>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</si>
  <si>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</si>
  <si>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</si>
  <si>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</si>
  <si>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</si>
  <si>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</si>
  <si>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</si>
  <si>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</si>
  <si>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</si>
  <si>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</si>
  <si>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</si>
  <si>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</si>
  <si>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</si>
  <si>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</si>
  <si>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</si>
  <si>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</si>
  <si>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</si>
  <si>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</si>
  <si>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</si>
  <si>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</si>
  <si>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</si>
  <si>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</si>
  <si>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</si>
  <si>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</si>
  <si>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</si>
  <si>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</si>
  <si>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</si>
  <si>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</si>
  <si>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</si>
  <si>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</si>
  <si>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</si>
  <si>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</si>
  <si>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</si>
  <si>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</si>
  <si>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</si>
  <si>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</si>
  <si>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</si>
  <si>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</si>
  <si>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</si>
  <si>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</si>
  <si>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</si>
  <si>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</si>
  <si>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</si>
  <si>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</si>
  <si>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</si>
  <si>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</si>
  <si>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</si>
  <si>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</si>
  <si>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</si>
  <si>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</si>
  <si>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</si>
  <si>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</si>
  <si>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</si>
  <si>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</si>
  <si>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</si>
  <si>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</si>
  <si>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</si>
  <si>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</si>
  <si>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</si>
  <si>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</si>
  <si>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</si>
  <si>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</si>
  <si>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</si>
  <si>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</si>
  <si>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</si>
  <si>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</si>
  <si>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</si>
  <si>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</si>
  <si>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</si>
  <si>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</si>
  <si>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</si>
  <si>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</si>
  <si>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</si>
  <si>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</si>
  <si>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</si>
  <si>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</si>
  <si>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</si>
  <si>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</si>
  <si>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</si>
  <si>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</si>
  <si>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</si>
  <si>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</si>
  <si>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</si>
  <si>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</si>
  <si>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</si>
  <si>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</si>
  <si>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</si>
  <si>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</si>
  <si>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</si>
  <si>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</si>
  <si>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</si>
  <si>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</si>
  <si>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</si>
  <si>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</si>
  <si>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</si>
  <si>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</si>
  <si>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</si>
  <si>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</si>
  <si>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</si>
  <si>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</si>
  <si>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</si>
  <si>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</si>
  <si>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</si>
  <si>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</si>
  <si>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</si>
  <si>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</si>
  <si>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</si>
  <si>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</si>
  <si>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</si>
  <si>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</si>
  <si>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</si>
  <si>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</si>
  <si>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</si>
  <si>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</si>
  <si>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</si>
  <si>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</si>
  <si>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</si>
  <si>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</si>
  <si>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</si>
  <si>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</si>
  <si>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</si>
  <si>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</si>
  <si>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</si>
  <si>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</si>
  <si>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</si>
  <si>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</si>
  <si>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</si>
  <si>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</si>
  <si>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</si>
  <si>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</si>
  <si>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</si>
  <si>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</si>
  <si>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</si>
  <si>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</si>
  <si>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</si>
  <si>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</si>
  <si>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</si>
  <si>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</si>
  <si>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</si>
  <si>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</si>
  <si>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</si>
  <si>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</si>
  <si>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</si>
  <si>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</si>
  <si>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</si>
  <si>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</si>
  <si>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</si>
  <si>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</si>
  <si>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</si>
  <si>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</si>
  <si>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</si>
  <si>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</si>
  <si>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</si>
  <si>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</si>
  <si>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</si>
  <si>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</si>
  <si>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</si>
  <si>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</si>
  <si>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</si>
  <si>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</si>
  <si>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</si>
  <si>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</si>
  <si>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</si>
  <si>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</si>
  <si>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</si>
  <si>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</si>
  <si>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</si>
  <si>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</si>
  <si>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</si>
  <si>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</si>
  <si>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</si>
  <si>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</si>
  <si>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</si>
  <si>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</si>
  <si>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</si>
  <si>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</si>
  <si>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</si>
  <si>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</si>
  <si>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</si>
  <si>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</si>
  <si>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</si>
  <si>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</si>
  <si>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</si>
  <si>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</si>
  <si>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</si>
  <si>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</si>
  <si>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</si>
  <si>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</si>
  <si>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</si>
  <si>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</si>
  <si>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</si>
  <si>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</si>
  <si>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</si>
  <si>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</si>
  <si>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</si>
  <si>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</si>
  <si>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</si>
  <si>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</si>
  <si>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</si>
  <si>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</si>
  <si>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</si>
  <si>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</si>
  <si>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</si>
  <si>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</si>
  <si>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</si>
  <si>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</si>
  <si>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</si>
  <si>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</si>
  <si>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</si>
  <si>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</si>
  <si>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</si>
  <si>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</si>
  <si>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</si>
  <si>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</si>
  <si>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</si>
  <si>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</si>
  <si>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</si>
  <si>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</si>
  <si>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</si>
  <si>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</si>
  <si>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</si>
  <si>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</si>
  <si>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</si>
  <si>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</si>
  <si>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</si>
  <si>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</si>
  <si>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</si>
  <si>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</si>
  <si>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</si>
  <si>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</si>
  <si>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</si>
  <si>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</si>
  <si>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</si>
  <si>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</si>
  <si>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</si>
  <si>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</si>
  <si>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</si>
  <si>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</si>
  <si>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</si>
  <si>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</si>
  <si>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</si>
  <si>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</si>
  <si>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</si>
  <si>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</si>
  <si>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</si>
  <si>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</si>
  <si>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</si>
  <si>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</si>
  <si>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</si>
  <si>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</si>
  <si>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</si>
  <si>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</si>
  <si>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</si>
  <si>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</si>
  <si>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</si>
  <si>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</si>
  <si>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</si>
  <si>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</si>
  <si>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</si>
  <si>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</si>
  <si>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</si>
  <si>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</si>
  <si>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</si>
  <si>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</si>
  <si>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</si>
  <si>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</si>
  <si>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</si>
  <si>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</si>
  <si>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</si>
  <si>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</si>
  <si>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</si>
  <si>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</si>
  <si>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</si>
  <si>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</si>
  <si>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</si>
  <si>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</si>
  <si>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</si>
  <si>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</si>
  <si>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</si>
  <si>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</si>
  <si>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</si>
  <si>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</si>
  <si>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</si>
  <si>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</si>
  <si>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</si>
  <si>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</si>
  <si>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</si>
  <si>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</si>
  <si>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</si>
  <si>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</si>
  <si>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</si>
  <si>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</si>
  <si>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</si>
  <si>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</si>
  <si>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</si>
  <si>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</si>
  <si>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</si>
  <si>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</si>
  <si>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</si>
  <si>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</si>
  <si>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</si>
  <si>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</si>
  <si>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</si>
  <si>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</si>
  <si>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</si>
  <si>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</si>
  <si>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</si>
  <si>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</si>
  <si>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</si>
  <si>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</si>
  <si>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</si>
  <si>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</si>
  <si>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</si>
  <si>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</si>
  <si>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</si>
  <si>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</si>
  <si>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</si>
  <si>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</si>
  <si>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</si>
  <si>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</si>
  <si>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</si>
  <si>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</si>
  <si>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</si>
  <si>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</si>
  <si>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</si>
  <si>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</si>
  <si>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</si>
  <si>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</si>
  <si>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</si>
  <si>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</si>
  <si>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</si>
  <si>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</si>
  <si>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</si>
  <si>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</si>
  <si>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</si>
  <si>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</si>
  <si>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</si>
  <si>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</si>
  <si>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</si>
  <si>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</si>
  <si>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</si>
  <si>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</si>
  <si>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</si>
  <si>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</si>
  <si>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</si>
  <si>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</si>
  <si>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</si>
  <si>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</si>
  <si>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</si>
  <si>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</si>
  <si>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</si>
  <si>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</si>
  <si>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</si>
  <si>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</si>
  <si>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</si>
  <si>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</si>
  <si>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</si>
  <si>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</si>
  <si>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</si>
  <si>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</si>
  <si>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</si>
  <si>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</si>
  <si>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</si>
  <si>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</si>
  <si>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</si>
  <si>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</si>
  <si>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</si>
  <si>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</si>
  <si>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</si>
  <si>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</si>
  <si>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</si>
  <si>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</si>
  <si>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</si>
  <si>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</si>
  <si>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</si>
  <si>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</si>
  <si>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</si>
  <si>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</si>
  <si>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</si>
  <si>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</si>
  <si>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</si>
  <si>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</si>
  <si>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</si>
  <si>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</si>
  <si>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</si>
  <si>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</si>
  <si>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</si>
  <si>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</si>
  <si>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</si>
  <si>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</si>
  <si>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</si>
  <si>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</si>
  <si>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</si>
  <si>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</si>
  <si>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</si>
  <si>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</si>
  <si>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</si>
  <si>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</si>
  <si>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</si>
  <si>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</si>
  <si>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</si>
  <si>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</si>
  <si>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</si>
  <si>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</si>
  <si>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</si>
  <si>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</si>
  <si>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</si>
  <si>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</si>
  <si>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</si>
  <si>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</si>
  <si>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</si>
  <si>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</si>
  <si>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</si>
  <si>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</si>
  <si>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</si>
  <si>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</si>
  <si>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</si>
  <si>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</si>
  <si>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</si>
  <si>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</si>
  <si>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</si>
  <si>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</si>
  <si>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</si>
  <si>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</si>
  <si>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</si>
  <si>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</si>
  <si>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</si>
  <si>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</si>
  <si>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</si>
  <si>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</si>
  <si>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</si>
  <si>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</si>
  <si>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</si>
  <si>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</si>
  <si>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</si>
  <si>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</si>
  <si>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</si>
  <si>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</si>
  <si>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</si>
  <si>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</si>
  <si>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</si>
  <si>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</si>
  <si>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</si>
  <si>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</si>
  <si>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</si>
  <si>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</si>
  <si>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</si>
  <si>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</si>
  <si>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</si>
  <si>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</si>
  <si>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</si>
  <si>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</si>
  <si>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</si>
  <si>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</si>
  <si>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</si>
  <si>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</si>
  <si>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</si>
  <si>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</si>
  <si>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</si>
  <si>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</si>
  <si>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</si>
  <si>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</si>
  <si>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</si>
  <si>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</si>
  <si>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</si>
  <si>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</si>
  <si>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</si>
  <si>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</si>
  <si>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</si>
  <si>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</si>
  <si>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</si>
  <si>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</si>
  <si>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</si>
  <si>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</si>
  <si>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</si>
  <si>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</si>
  <si>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</si>
  <si>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</si>
  <si>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</si>
  <si>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</si>
  <si>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</si>
  <si>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</si>
  <si>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</si>
  <si>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</si>
  <si>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</si>
  <si>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</si>
  <si>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</si>
  <si>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</si>
  <si>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</si>
  <si>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</si>
  <si>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</si>
  <si>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</si>
  <si>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</si>
  <si>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</si>
  <si>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</si>
  <si>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</si>
  <si>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</si>
  <si>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</si>
  <si>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</si>
  <si>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</si>
  <si>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</si>
  <si>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</si>
  <si>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</si>
  <si>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</si>
  <si>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</si>
  <si>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</si>
  <si>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</si>
  <si>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</si>
  <si>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</si>
  <si>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</si>
  <si>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</si>
  <si>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</si>
  <si>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</si>
  <si>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</si>
  <si>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</si>
  <si>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</si>
  <si>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</si>
  <si>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</si>
  <si>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</si>
  <si>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</si>
  <si>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</si>
  <si>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</si>
  <si>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</si>
  <si>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</si>
  <si>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</si>
  <si>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</si>
  <si>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</si>
  <si>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</si>
  <si>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</si>
  <si>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</si>
  <si>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</si>
  <si>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</si>
  <si>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</si>
  <si>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</si>
  <si>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</si>
  <si>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</si>
  <si>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</si>
  <si>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</si>
  <si>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</si>
  <si>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</si>
  <si>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</si>
  <si>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</si>
  <si>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</si>
  <si>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</si>
  <si>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</si>
  <si>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</si>
  <si>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</si>
  <si>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</si>
  <si>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</si>
  <si>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</si>
  <si>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</si>
  <si>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</si>
  <si>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</si>
  <si>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</si>
  <si>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</si>
  <si>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</si>
  <si>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</si>
  <si>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</si>
  <si>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</si>
  <si>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</si>
  <si>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</si>
  <si>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</si>
  <si>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</si>
  <si>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</si>
  <si>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</si>
  <si>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</si>
  <si>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</si>
  <si>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</si>
  <si>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</si>
  <si>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</si>
  <si>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</si>
  <si>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</si>
  <si>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</si>
  <si>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</si>
  <si>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</si>
  <si>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</si>
  <si>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</si>
  <si>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</si>
  <si>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</si>
  <si>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</si>
  <si>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</si>
  <si>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</si>
  <si>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</si>
  <si>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</si>
  <si>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</si>
  <si>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</si>
  <si>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</si>
  <si>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</si>
  <si>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</si>
  <si>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</si>
  <si>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</si>
  <si>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</si>
  <si>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</si>
  <si>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</si>
  <si>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</si>
  <si>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</si>
  <si>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</si>
  <si>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</si>
  <si>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</si>
  <si>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</si>
  <si>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</si>
  <si>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</si>
  <si>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</si>
  <si>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</si>
  <si>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</si>
  <si>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</si>
  <si>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</si>
  <si>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</si>
  <si>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</si>
  <si>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</si>
  <si>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</si>
  <si>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</si>
  <si>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</si>
  <si>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</si>
  <si>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</si>
  <si>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</si>
  <si>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</si>
  <si>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</si>
  <si>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</si>
  <si>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</si>
  <si>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</si>
  <si>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</si>
  <si>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</si>
  <si>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</si>
  <si>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</si>
  <si>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</si>
  <si>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</si>
  <si>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</si>
  <si>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</si>
  <si>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</si>
  <si>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</si>
  <si>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</si>
  <si>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</si>
  <si>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</si>
  <si>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</si>
  <si>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</si>
  <si>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</si>
  <si>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</si>
  <si>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</si>
  <si>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</si>
  <si>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</si>
  <si>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</si>
  <si>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</si>
  <si>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</si>
  <si>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</si>
  <si>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</si>
  <si>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</si>
  <si>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</si>
  <si>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</si>
  <si>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</si>
  <si>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</si>
  <si>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</si>
  <si>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</si>
  <si>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</si>
  <si>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</si>
  <si>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</si>
  <si>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</si>
  <si>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</si>
  <si>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</si>
  <si>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</si>
  <si>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</si>
  <si>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</si>
  <si>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</si>
  <si>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</si>
  <si>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</si>
  <si>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</si>
  <si>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</si>
  <si>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</si>
  <si>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</si>
  <si>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</si>
  <si>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</si>
  <si>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</si>
  <si>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</si>
  <si>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</si>
  <si>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</si>
  <si>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</si>
  <si>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</si>
  <si>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</si>
  <si>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</si>
  <si>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</si>
  <si>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</si>
  <si>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</si>
  <si>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</si>
  <si>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</si>
  <si>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</si>
  <si>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</si>
  <si>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</si>
  <si>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</si>
  <si>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</si>
  <si>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</si>
  <si>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</si>
  <si>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</si>
  <si>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</si>
  <si>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</si>
  <si>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</si>
  <si>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</si>
  <si>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</si>
  <si>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</si>
  <si>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</si>
  <si>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</si>
  <si>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</si>
  <si>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</si>
  <si>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</si>
  <si>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</si>
  <si>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</si>
  <si>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</si>
  <si>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</si>
  <si>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</si>
  <si>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</si>
  <si>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</si>
  <si>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</si>
  <si>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</si>
  <si>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</si>
  <si>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</si>
  <si>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</si>
  <si>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</si>
  <si>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</si>
  <si>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</si>
  <si>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</si>
  <si>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</si>
  <si>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</si>
  <si>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</si>
  <si>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</si>
  <si>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</si>
  <si>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</si>
  <si>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</si>
  <si>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</si>
  <si>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</si>
  <si>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</si>
  <si>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</si>
  <si>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</si>
  <si>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</si>
  <si>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</si>
  <si>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</si>
  <si>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</si>
  <si>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</si>
  <si>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</si>
  <si>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</si>
  <si>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</si>
  <si>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</si>
  <si>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</si>
  <si>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</si>
  <si>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</si>
  <si>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</si>
  <si>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</si>
  <si>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</si>
  <si>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</si>
  <si>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</si>
  <si>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</si>
  <si>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</si>
  <si>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</si>
  <si>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</si>
  <si>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</si>
  <si>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</si>
  <si>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</si>
  <si>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</si>
  <si>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</si>
  <si>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</si>
  <si>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</si>
  <si>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</si>
  <si>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</si>
  <si>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</si>
  <si>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</si>
  <si>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</si>
  <si>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</si>
  <si>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</si>
  <si>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</si>
  <si>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</si>
  <si>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</si>
  <si>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</si>
  <si>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</si>
  <si>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</si>
  <si>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</si>
  <si>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</si>
  <si>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</si>
  <si>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</si>
  <si>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</si>
  <si>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</si>
  <si>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</si>
  <si>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</si>
  <si>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</si>
  <si>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</si>
  <si>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</si>
  <si>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</si>
  <si>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</si>
  <si>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</si>
  <si>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</si>
  <si>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</si>
  <si>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</si>
  <si>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</si>
  <si>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</si>
  <si>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</si>
  <si>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</si>
  <si>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</si>
  <si>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</si>
  <si>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</si>
  <si>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</si>
  <si>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</si>
  <si>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</si>
  <si>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</si>
  <si>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</si>
  <si>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</si>
  <si>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</si>
  <si>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</si>
  <si>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</si>
  <si>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</si>
  <si>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</si>
  <si>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</si>
  <si>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</si>
  <si>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</si>
  <si>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</si>
  <si>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</si>
  <si>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</si>
  <si>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</si>
  <si>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</si>
  <si>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</si>
  <si>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</si>
  <si>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</si>
  <si>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</si>
  <si>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</si>
  <si>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</si>
  <si>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</si>
  <si>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</si>
  <si>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</si>
  <si>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</si>
  <si>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</si>
  <si>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</si>
  <si>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</si>
  <si>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</si>
  <si>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</si>
  <si>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</si>
  <si>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</si>
  <si>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</si>
  <si>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</si>
  <si>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</si>
  <si>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</si>
  <si>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</si>
  <si>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</si>
  <si>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</si>
  <si>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</si>
  <si>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</si>
  <si>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</si>
  <si>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</si>
  <si>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</si>
  <si>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</si>
  <si>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</si>
  <si>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</si>
  <si>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</si>
  <si>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</si>
  <si>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</si>
  <si>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</si>
  <si>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</si>
  <si>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</si>
  <si>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</si>
  <si>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</si>
  <si>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</si>
  <si>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</si>
  <si>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</si>
  <si>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</si>
  <si>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</si>
  <si>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</si>
  <si>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</si>
  <si>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</si>
  <si>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</si>
  <si>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</si>
  <si>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</si>
  <si>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</si>
  <si>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</si>
  <si>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</si>
  <si>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</si>
  <si>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</si>
  <si>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</si>
  <si>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</si>
  <si>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</si>
  <si>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</si>
  <si>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</si>
  <si>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</si>
  <si>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</si>
  <si>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</si>
  <si>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</si>
  <si>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</si>
  <si>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</si>
  <si>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</si>
  <si>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</si>
  <si>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</si>
  <si>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</si>
  <si>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</si>
  <si>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</si>
  <si>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</si>
  <si>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</si>
  <si>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</si>
  <si>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</si>
  <si>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</si>
  <si>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</si>
  <si>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</si>
  <si>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</si>
  <si>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</si>
  <si>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</si>
  <si>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</si>
  <si>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</si>
  <si>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</si>
  <si>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</si>
  <si>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</si>
  <si>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</si>
  <si>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</si>
  <si>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</si>
  <si>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</si>
  <si>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</si>
  <si>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</si>
  <si>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</si>
  <si>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</si>
  <si>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</si>
  <si>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</si>
  <si>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</si>
  <si>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</si>
  <si>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</si>
  <si>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</si>
  <si>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</si>
  <si>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</si>
  <si>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</si>
  <si>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</si>
  <si>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</si>
  <si>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</si>
  <si>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</si>
  <si>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</si>
  <si>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</si>
  <si>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</si>
  <si>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</si>
  <si>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</si>
  <si>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</si>
  <si>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</si>
  <si>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</si>
  <si>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</si>
  <si>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</si>
  <si>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</si>
  <si>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</si>
  <si>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</si>
  <si>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</si>
  <si>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</si>
  <si>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</si>
  <si>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</si>
  <si>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</si>
  <si>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</si>
  <si>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</si>
  <si>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</si>
  <si>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</si>
  <si>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</si>
  <si>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</si>
  <si>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</si>
  <si>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</si>
  <si>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</si>
  <si>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</si>
  <si>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</si>
  <si>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</si>
  <si>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</si>
  <si>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</si>
  <si>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</si>
  <si>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</si>
  <si>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</si>
  <si>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</si>
  <si>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</si>
  <si>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</si>
  <si>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</si>
  <si>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</si>
  <si>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</si>
  <si>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</si>
  <si>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</si>
  <si>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</si>
  <si>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</si>
  <si>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</si>
  <si>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</si>
  <si>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</si>
  <si>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</si>
  <si>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</si>
  <si>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</si>
  <si>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</si>
  <si>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</si>
  <si>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</si>
  <si>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</si>
  <si>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</si>
  <si>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</si>
  <si>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</si>
  <si>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</si>
  <si>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</si>
  <si>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</si>
  <si>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</si>
  <si>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</si>
  <si>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</si>
  <si>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</si>
  <si>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</si>
  <si>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</si>
  <si>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</si>
  <si>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</si>
  <si>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</si>
  <si>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</si>
  <si>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</si>
  <si>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</si>
  <si>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</si>
  <si>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</si>
  <si>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</si>
  <si>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</si>
  <si>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</si>
  <si>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</si>
  <si>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</si>
  <si>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</si>
  <si>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</si>
  <si>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</si>
  <si>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</si>
  <si>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</si>
  <si>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</si>
  <si>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</si>
  <si>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</si>
  <si>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</si>
  <si>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</si>
  <si>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</si>
  <si>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</si>
  <si>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</si>
  <si>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</si>
  <si>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</si>
  <si>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</si>
  <si>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</si>
  <si>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</si>
  <si>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</si>
  <si>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</si>
  <si>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</si>
  <si>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</si>
  <si>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</si>
  <si>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</si>
  <si>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</si>
  <si>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</si>
  <si>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</si>
  <si>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</si>
  <si>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</si>
  <si>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</si>
  <si>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</si>
  <si>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</si>
  <si>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</si>
  <si>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</si>
  <si>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</si>
  <si>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</si>
  <si>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</si>
  <si>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</si>
  <si>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</si>
  <si>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</si>
  <si>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</si>
  <si>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</si>
  <si>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</si>
  <si>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</si>
  <si>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</si>
  <si>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</si>
  <si>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</si>
  <si>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</si>
  <si>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</si>
  <si>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</si>
  <si>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</si>
  <si>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</si>
  <si>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</si>
  <si>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</si>
  <si>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</si>
  <si>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</si>
  <si>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</si>
  <si>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</si>
  <si>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</si>
  <si>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</si>
  <si>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</si>
  <si>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</si>
  <si>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</si>
  <si>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</si>
  <si>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</si>
  <si>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</si>
  <si>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</si>
  <si>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</si>
  <si>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</si>
  <si>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</si>
  <si>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</si>
  <si>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</si>
  <si>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</si>
  <si>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</si>
  <si>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</si>
  <si>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</si>
  <si>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</si>
  <si>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</si>
  <si>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</si>
  <si>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</si>
  <si>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</si>
  <si>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</si>
  <si>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</si>
  <si>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</si>
  <si>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</si>
  <si>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</si>
  <si>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</si>
  <si>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</si>
  <si>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</si>
  <si>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</si>
  <si>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</si>
  <si>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</si>
  <si>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</si>
  <si>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</si>
  <si>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</si>
  <si>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</si>
  <si>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</si>
  <si>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</si>
  <si>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</si>
  <si>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</si>
  <si>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</si>
  <si>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</si>
  <si>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</si>
  <si>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</si>
  <si>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</si>
  <si>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</si>
  <si>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</si>
  <si>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</si>
  <si>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</si>
  <si>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</si>
  <si>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</si>
  <si>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</si>
  <si>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</si>
  <si>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</si>
  <si>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</si>
  <si>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</si>
  <si>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</si>
  <si>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</si>
  <si>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</si>
  <si>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</si>
  <si>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</si>
  <si>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</si>
  <si>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</si>
  <si>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</si>
  <si>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</si>
  <si>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</si>
  <si>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</si>
  <si>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</si>
  <si>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</si>
  <si>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</si>
  <si>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</si>
  <si>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</si>
  <si>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</si>
  <si>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</si>
  <si>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</si>
  <si>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</si>
  <si>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</si>
  <si>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</si>
  <si>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</si>
  <si>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</si>
  <si>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</si>
  <si>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</si>
  <si>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</si>
  <si>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</si>
  <si>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</si>
  <si>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</si>
  <si>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</si>
  <si>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</si>
  <si>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</si>
  <si>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</si>
  <si>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</si>
  <si>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</si>
  <si>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</si>
  <si>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</si>
  <si>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</si>
  <si>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</si>
  <si>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</si>
  <si>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</si>
  <si>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</si>
  <si>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</si>
  <si>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</si>
  <si>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</si>
  <si>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</si>
  <si>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</si>
  <si>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</si>
  <si>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</si>
  <si>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</si>
  <si>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</si>
  <si>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</si>
  <si>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</si>
  <si>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</si>
  <si>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</si>
  <si>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</si>
  <si>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</si>
  <si>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</si>
  <si>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</si>
  <si>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</si>
  <si>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</si>
  <si>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</si>
  <si>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</si>
  <si>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</si>
  <si>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</si>
  <si>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</si>
  <si>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</si>
  <si>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</si>
  <si>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</si>
  <si>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</si>
  <si>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</si>
  <si>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</si>
  <si>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</si>
  <si>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</si>
  <si>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</si>
  <si>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</si>
  <si>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</si>
  <si>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</si>
  <si>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</si>
  <si>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</si>
  <si>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</si>
  <si>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</si>
  <si>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</si>
  <si>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</si>
  <si>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</si>
  <si>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</si>
  <si>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</si>
  <si>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</si>
  <si>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</si>
  <si>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</si>
  <si>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</si>
  <si>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</si>
  <si>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</si>
  <si>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</si>
  <si>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</si>
  <si>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</si>
  <si>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</si>
  <si>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</si>
  <si>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</si>
  <si>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</si>
  <si>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</si>
  <si>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</si>
  <si>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</si>
  <si>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</si>
  <si>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</si>
  <si>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</si>
  <si>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</si>
  <si>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</si>
  <si>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</si>
  <si>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</si>
  <si>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</si>
  <si>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</si>
  <si>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</si>
  <si>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</si>
  <si>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</si>
  <si>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</si>
  <si>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</si>
  <si>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</si>
  <si>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</si>
  <si>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</si>
  <si>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</si>
  <si>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</si>
  <si>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</si>
  <si>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</si>
  <si>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</si>
  <si>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</si>
  <si>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</si>
  <si>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</si>
  <si>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</si>
  <si>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</si>
  <si>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</si>
  <si>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</si>
  <si>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</si>
  <si>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</si>
  <si>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</si>
  <si>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</si>
  <si>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</si>
  <si>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</si>
  <si>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</si>
  <si>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</si>
  <si>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</si>
  <si>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</si>
  <si>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</si>
  <si>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</si>
  <si>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</si>
  <si>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</si>
  <si>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</si>
  <si>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</si>
  <si>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</si>
  <si>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</si>
  <si>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</si>
  <si>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</si>
  <si>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</si>
  <si>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</si>
  <si>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</si>
  <si>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</si>
  <si>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</si>
  <si>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</si>
  <si>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</si>
  <si>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</si>
  <si>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</si>
  <si>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</si>
  <si>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</si>
  <si>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</si>
  <si>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</si>
  <si>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</si>
  <si>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</si>
  <si>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</si>
  <si>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</si>
  <si>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</si>
  <si>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</si>
  <si>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</si>
  <si>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</si>
  <si>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</si>
  <si>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</si>
  <si>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</si>
  <si>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</si>
  <si>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</si>
  <si>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</si>
  <si>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</si>
  <si>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</si>
  <si>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</si>
  <si>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</si>
  <si>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</si>
  <si>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</si>
  <si>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</si>
  <si>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</si>
  <si>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</si>
  <si>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</si>
  <si>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</si>
  <si>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</si>
  <si>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</si>
  <si>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</si>
  <si>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</si>
  <si>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</si>
  <si>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</si>
  <si>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</si>
  <si>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</si>
  <si>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</si>
  <si>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</si>
  <si>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</si>
  <si>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</si>
  <si>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</si>
  <si>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</si>
  <si>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</si>
  <si>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</si>
  <si>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</si>
  <si>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</si>
  <si>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</si>
  <si>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</si>
  <si>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</si>
  <si>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</si>
  <si>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</si>
  <si>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</si>
  <si>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</si>
  <si>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</si>
  <si>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</si>
  <si>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</si>
  <si>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</si>
  <si>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</si>
  <si>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</si>
  <si>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</si>
  <si>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</si>
  <si>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</si>
  <si>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</si>
  <si>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</si>
  <si>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</si>
  <si>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</si>
  <si>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</si>
  <si>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</si>
  <si>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</si>
  <si>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</si>
  <si>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</si>
  <si>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</si>
  <si>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</si>
  <si>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</si>
  <si>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</si>
  <si>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</si>
  <si>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</si>
  <si>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</si>
  <si>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</si>
  <si>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</si>
  <si>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</si>
  <si>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</si>
  <si>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</si>
  <si>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</si>
  <si>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</si>
  <si>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</si>
  <si>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</si>
  <si>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</si>
  <si>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</si>
  <si>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</si>
  <si>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</si>
  <si>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</si>
  <si>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</si>
  <si>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</si>
  <si>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</si>
  <si>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</si>
  <si>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</si>
  <si>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</si>
  <si>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</si>
  <si>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</si>
  <si>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</si>
  <si>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</si>
  <si>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</si>
  <si>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</si>
  <si>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</si>
  <si>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</si>
  <si>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</si>
  <si>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</si>
  <si>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</si>
  <si>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</si>
  <si>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</si>
  <si>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</si>
  <si>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</si>
  <si>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</si>
  <si>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</si>
  <si>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</si>
  <si>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</si>
  <si>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</si>
  <si>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</si>
  <si>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</si>
  <si>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</si>
  <si>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</si>
  <si>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</si>
  <si>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</si>
  <si>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</si>
  <si>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</si>
  <si>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</si>
  <si>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</si>
  <si>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</si>
  <si>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</si>
  <si>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</si>
  <si>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</si>
  <si>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</si>
  <si>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</si>
  <si>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</si>
  <si>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</si>
  <si>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</si>
  <si>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</si>
  <si>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</si>
  <si>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</si>
  <si>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</si>
  <si>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</si>
  <si>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</si>
  <si>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</si>
  <si>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</si>
  <si>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</si>
  <si>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</si>
  <si>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</si>
  <si>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</si>
  <si>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</si>
  <si>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</si>
  <si>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</si>
  <si>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</si>
  <si>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</si>
  <si>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</si>
  <si>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</si>
  <si>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</si>
  <si>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</si>
  <si>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</si>
  <si>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</si>
  <si>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</si>
  <si>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</si>
  <si>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</si>
  <si>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</si>
  <si>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</si>
  <si>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</si>
  <si>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</si>
  <si>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</si>
  <si>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</si>
  <si>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</si>
  <si>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</si>
  <si>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</si>
  <si>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</si>
  <si>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</si>
  <si>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</si>
  <si>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</si>
  <si>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</si>
  <si>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</si>
  <si>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</si>
  <si>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</si>
  <si>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</si>
  <si>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</si>
  <si>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</si>
  <si>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</si>
  <si>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</si>
  <si>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</si>
  <si>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</si>
  <si>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</si>
  <si>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</si>
  <si>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</si>
  <si>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</si>
  <si>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</si>
  <si>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</si>
  <si>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</si>
  <si>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</si>
  <si>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</si>
  <si>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</si>
  <si>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</si>
  <si>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</si>
  <si>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</si>
  <si>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</si>
  <si>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</si>
  <si>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</si>
  <si>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</si>
  <si>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</si>
  <si>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</si>
  <si>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</si>
  <si>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</si>
  <si>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</si>
  <si>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</si>
  <si>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</si>
  <si>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</si>
  <si>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</si>
  <si>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</si>
  <si>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</si>
  <si>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</si>
  <si>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</si>
  <si>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</si>
  <si>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</si>
  <si>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</si>
  <si>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</si>
  <si>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</si>
  <si>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</si>
  <si>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</si>
  <si>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</si>
  <si>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</si>
  <si>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</si>
  <si>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</si>
  <si>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</si>
  <si>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</si>
  <si>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</si>
  <si>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</si>
  <si>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</si>
  <si>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</si>
  <si>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</si>
  <si>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</si>
  <si>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</si>
  <si>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</si>
  <si>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</si>
  <si>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</si>
  <si>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</si>
  <si>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</si>
  <si>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</si>
  <si>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</si>
  <si>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</si>
  <si>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</si>
  <si>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</si>
  <si>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</si>
  <si>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</si>
  <si>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</si>
  <si>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</si>
  <si>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</si>
  <si>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</si>
  <si>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</si>
  <si>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</si>
  <si>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</si>
  <si>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</si>
  <si>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</si>
  <si>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</si>
  <si>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</si>
  <si>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</si>
  <si>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</si>
  <si>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</si>
  <si>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</si>
  <si>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</si>
  <si>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</si>
  <si>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</si>
  <si>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</si>
  <si>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</si>
  <si>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</si>
  <si>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</si>
  <si>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</si>
  <si>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</si>
  <si>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</si>
  <si>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</si>
  <si>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</si>
  <si>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</si>
  <si>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</si>
  <si>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</si>
  <si>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</si>
  <si>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</si>
  <si>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</si>
  <si>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</si>
  <si>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</si>
  <si>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</si>
  <si>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</si>
  <si>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</si>
  <si>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</si>
  <si>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</si>
  <si>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</si>
  <si>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</si>
  <si>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</si>
  <si>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</si>
  <si>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</si>
  <si>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</si>
  <si>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</si>
  <si>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</si>
  <si>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</si>
  <si>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</si>
  <si>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</si>
  <si>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</si>
  <si>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</si>
  <si>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</si>
  <si>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</si>
  <si>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</si>
  <si>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</si>
  <si>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</si>
  <si>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</si>
  <si>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</si>
  <si>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</si>
  <si>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</si>
  <si>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</si>
  <si>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</si>
  <si>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</si>
  <si>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</si>
  <si>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</si>
  <si>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</si>
  <si>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</si>
  <si>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</si>
  <si>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</si>
  <si>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</si>
  <si>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</si>
  <si>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</si>
  <si>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</si>
  <si>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</si>
  <si>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</si>
  <si>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</si>
  <si>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</si>
  <si>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</si>
  <si>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</si>
  <si>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</si>
  <si>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</si>
  <si>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</si>
  <si>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</si>
  <si>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</si>
  <si>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</si>
  <si>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</si>
  <si>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</si>
  <si>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</si>
  <si>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</si>
  <si>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</si>
  <si>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</si>
  <si>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</si>
  <si>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</si>
  <si>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</si>
  <si>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</si>
  <si>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</si>
  <si>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</si>
  <si>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</si>
  <si>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</si>
  <si>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</si>
  <si>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</si>
  <si>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</si>
  <si>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</si>
  <si>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</si>
  <si>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</si>
  <si>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</si>
  <si>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</si>
  <si>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</si>
  <si>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</si>
  <si>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</si>
  <si>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</si>
  <si>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</si>
  <si>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</si>
  <si>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</si>
  <si>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</si>
  <si>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</si>
  <si>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</si>
  <si>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</si>
  <si>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</si>
  <si>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</si>
  <si>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</si>
  <si>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</si>
  <si>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</si>
  <si>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</si>
  <si>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</si>
  <si>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</si>
  <si>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</si>
  <si>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</si>
  <si>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</si>
  <si>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</si>
  <si>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</si>
  <si>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</si>
  <si>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</si>
  <si>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</si>
  <si>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</si>
  <si>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</si>
  <si>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</si>
  <si>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</si>
  <si>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</si>
  <si>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</si>
  <si>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</si>
  <si>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</si>
  <si>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</si>
  <si>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</si>
  <si>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</si>
  <si>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</si>
  <si>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</si>
  <si>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</si>
  <si>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</si>
  <si>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</si>
  <si>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</si>
  <si>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</si>
  <si>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</si>
  <si>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</si>
  <si>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</si>
  <si>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</si>
  <si>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</si>
  <si>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</si>
  <si>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</si>
  <si>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</si>
  <si>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</si>
  <si>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</si>
  <si>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</si>
  <si>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</si>
  <si>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</si>
  <si>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</si>
  <si>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</si>
  <si>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</si>
  <si>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</si>
  <si>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</si>
  <si>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</si>
  <si>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</si>
  <si>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</si>
  <si>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</si>
  <si>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</si>
  <si>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</si>
  <si>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</si>
  <si>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</si>
  <si>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</si>
  <si>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</si>
  <si>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</si>
  <si>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</si>
  <si>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</si>
  <si>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</si>
  <si>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</si>
  <si>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</si>
  <si>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</si>
  <si>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</si>
  <si>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</si>
  <si>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</si>
  <si>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</si>
  <si>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</si>
  <si>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</si>
  <si>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</si>
  <si>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</si>
  <si>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</si>
  <si>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</si>
  <si>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</si>
  <si>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</si>
  <si>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</si>
  <si>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</si>
  <si>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</si>
  <si>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</si>
  <si>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</si>
  <si>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</si>
  <si>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</si>
  <si>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</si>
  <si>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</si>
  <si>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</si>
  <si>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</si>
  <si>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</si>
  <si>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</si>
  <si>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</si>
  <si>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</si>
  <si>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</si>
  <si>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</si>
  <si>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</si>
  <si>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</si>
  <si>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</si>
  <si>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</si>
  <si>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</si>
  <si>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</si>
  <si>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</si>
  <si>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</si>
  <si>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</si>
  <si>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</si>
  <si>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</si>
  <si>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</si>
  <si>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</si>
  <si>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</si>
  <si>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</si>
  <si>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</si>
  <si>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</si>
  <si>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</si>
  <si>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</si>
  <si>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</si>
  <si>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</si>
  <si>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</si>
  <si>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</si>
  <si>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</si>
  <si>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</si>
  <si>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</si>
  <si>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</si>
  <si>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</si>
  <si>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</si>
  <si>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</si>
  <si>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</si>
  <si>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</si>
  <si>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</si>
  <si>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</si>
  <si>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</si>
  <si>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</si>
  <si>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</si>
  <si>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</si>
  <si>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</si>
  <si>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</si>
  <si>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</si>
  <si>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</si>
  <si>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</si>
  <si>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</si>
  <si>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</si>
  <si>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</si>
  <si>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</si>
  <si>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</si>
  <si>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</si>
  <si>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</si>
  <si>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</si>
  <si>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</si>
  <si>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</si>
  <si>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</si>
  <si>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</si>
  <si>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</si>
  <si>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</si>
  <si>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</si>
  <si>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</si>
  <si>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</si>
  <si>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</si>
  <si>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</si>
  <si>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</si>
  <si>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</si>
  <si>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</si>
  <si>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</si>
  <si>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</si>
  <si>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</si>
  <si>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</si>
  <si>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</si>
  <si>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</si>
  <si>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</si>
  <si>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</si>
  <si>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</si>
  <si>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</si>
  <si>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</si>
  <si>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</si>
  <si>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</si>
  <si>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</si>
  <si>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</si>
  <si>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</si>
  <si>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</si>
  <si>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</si>
  <si>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</si>
  <si>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</si>
  <si>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</si>
  <si>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</si>
  <si>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</si>
  <si>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</si>
  <si>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</si>
  <si>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</si>
  <si>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</si>
  <si>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</si>
  <si>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</si>
  <si>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</si>
  <si>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</si>
  <si>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</si>
  <si>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</si>
  <si>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</si>
  <si>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</si>
  <si>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</si>
  <si>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</si>
  <si>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</si>
  <si>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</si>
  <si>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</si>
  <si>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</si>
  <si>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</si>
  <si>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</si>
  <si>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</si>
  <si>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</si>
  <si>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</si>
  <si>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</si>
  <si>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</si>
  <si>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</si>
  <si>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</si>
  <si>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</si>
  <si>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</si>
  <si>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</si>
  <si>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</si>
  <si>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</si>
  <si>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</si>
  <si>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</si>
  <si>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</si>
  <si>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</si>
  <si>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</si>
  <si>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</si>
  <si>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</si>
  <si>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</si>
  <si>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</si>
  <si>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</si>
  <si>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</si>
  <si>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</si>
  <si>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</si>
  <si>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</si>
  <si>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</si>
  <si>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</si>
  <si>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</si>
  <si>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</si>
  <si>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</si>
  <si>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</si>
  <si>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</si>
  <si>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</si>
  <si>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</si>
  <si>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</si>
  <si>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</si>
  <si>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</si>
  <si>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</si>
  <si>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</si>
  <si>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</si>
  <si>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</si>
  <si>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</si>
  <si>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</si>
  <si>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</si>
  <si>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</si>
  <si>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</si>
  <si>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</si>
  <si>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</si>
  <si>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</si>
  <si>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</si>
  <si>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</si>
  <si>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</si>
  <si>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</si>
  <si>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</si>
  <si>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</si>
  <si>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</si>
  <si>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</si>
  <si>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</si>
  <si>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</si>
  <si>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</si>
  <si>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</si>
  <si>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</si>
  <si>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</si>
  <si>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</si>
  <si>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</si>
  <si>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</si>
  <si>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</si>
  <si>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</si>
  <si>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</si>
  <si>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</si>
  <si>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</si>
  <si>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</si>
  <si>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</si>
  <si>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</si>
  <si>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</si>
  <si>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</si>
  <si>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</si>
  <si>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</si>
  <si>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</si>
  <si>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</si>
  <si>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</si>
  <si>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</si>
  <si>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</si>
  <si>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</si>
  <si>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</si>
  <si>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</si>
  <si>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</si>
  <si>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</si>
  <si>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</si>
  <si>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</si>
  <si>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</si>
  <si>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</si>
  <si>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</si>
  <si>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</si>
  <si>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</si>
  <si>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</si>
  <si>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</si>
  <si>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</si>
  <si>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</si>
  <si>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</si>
  <si>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</si>
  <si>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</si>
  <si>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</si>
  <si>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</si>
  <si>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</si>
  <si>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</si>
  <si>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</si>
  <si>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</si>
  <si>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</si>
  <si>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</si>
  <si>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</si>
  <si>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</si>
  <si>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</si>
  <si>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</si>
  <si>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</si>
  <si>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</si>
  <si>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</si>
  <si>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</si>
  <si>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</si>
  <si>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</si>
  <si>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</si>
  <si>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</si>
  <si>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</si>
  <si>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</si>
  <si>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</si>
  <si>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</si>
  <si>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</si>
  <si>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</si>
  <si>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</si>
  <si>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</si>
  <si>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</si>
  <si>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</si>
  <si>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</si>
  <si>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</si>
  <si>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</si>
  <si>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</si>
  <si>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</si>
  <si>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</si>
  <si>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</si>
  <si>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</si>
  <si>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</si>
  <si>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</si>
  <si>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</si>
  <si>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</si>
  <si>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</si>
  <si>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</si>
  <si>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</si>
  <si>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</si>
  <si>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</si>
  <si>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</si>
  <si>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</si>
  <si>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</si>
  <si>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</si>
  <si>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</si>
  <si>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</si>
  <si>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</si>
  <si>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</si>
  <si>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</si>
  <si>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</si>
  <si>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</si>
  <si>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</si>
  <si>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</si>
  <si>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</si>
  <si>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</si>
  <si>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</si>
  <si>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</si>
  <si>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</si>
  <si>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</si>
  <si>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</si>
  <si>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</si>
  <si>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</si>
  <si>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</si>
  <si>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</si>
  <si>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</si>
  <si>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</si>
  <si>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</si>
  <si>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</si>
  <si>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</si>
  <si>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</si>
  <si>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</si>
  <si>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</si>
  <si>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</si>
  <si>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</si>
  <si>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</si>
  <si>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</si>
  <si>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</si>
  <si>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</si>
  <si>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</si>
  <si>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</si>
  <si>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</si>
  <si>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</si>
  <si>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</si>
  <si>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</si>
  <si>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</si>
  <si>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</si>
  <si>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</si>
  <si>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</si>
  <si>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</si>
  <si>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</si>
  <si>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</si>
  <si>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</si>
  <si>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</si>
  <si>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</si>
  <si>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</si>
  <si>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</si>
  <si>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</si>
  <si>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</si>
  <si>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</si>
  <si>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</si>
  <si>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</si>
  <si>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</si>
  <si>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</si>
  <si>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</si>
  <si>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</si>
  <si>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</si>
  <si>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</si>
  <si>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</si>
  <si>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</si>
  <si>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</si>
  <si>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</si>
  <si>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</si>
  <si>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</si>
  <si>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</si>
  <si>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</si>
  <si>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</si>
  <si>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</si>
  <si>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</si>
  <si>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</si>
  <si>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</si>
  <si>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</si>
  <si>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</si>
  <si>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</si>
  <si>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</si>
  <si>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</si>
  <si>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</si>
  <si>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</si>
  <si>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</si>
  <si>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</si>
  <si>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</si>
  <si>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</si>
  <si>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</si>
  <si>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</si>
  <si>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</si>
  <si>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</si>
  <si>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</si>
  <si>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</si>
  <si>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</si>
  <si>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</si>
  <si>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</si>
  <si>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</si>
  <si>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</si>
  <si>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</si>
  <si>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</si>
  <si>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</si>
  <si>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</si>
  <si>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</si>
  <si>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</si>
  <si>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</si>
  <si>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</si>
  <si>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</si>
  <si>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</si>
  <si>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</si>
  <si>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</si>
  <si>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</si>
  <si>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</si>
  <si>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</si>
  <si>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</si>
  <si>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</si>
  <si>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</si>
  <si>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</si>
  <si>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</si>
  <si>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</si>
  <si>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</si>
  <si>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</si>
  <si>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</si>
  <si>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</si>
  <si>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</si>
  <si>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</si>
  <si>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</si>
  <si>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</si>
  <si>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</si>
  <si>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</si>
  <si>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</si>
  <si>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</si>
  <si>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</si>
  <si>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</si>
  <si>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</si>
  <si>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</si>
  <si>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</si>
  <si>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</si>
  <si>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</si>
  <si>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</si>
  <si>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</si>
  <si>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</si>
  <si>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</si>
  <si>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</si>
  <si>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</si>
  <si>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</si>
  <si>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</si>
  <si>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</si>
  <si>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</si>
  <si>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</si>
  <si>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</si>
  <si>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</si>
  <si>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</si>
  <si>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</si>
  <si>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</si>
  <si>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</si>
  <si>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</si>
  <si>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</si>
  <si>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</si>
  <si>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</si>
  <si>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</si>
  <si>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</si>
  <si>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</si>
  <si>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</si>
  <si>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</si>
  <si>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</si>
  <si>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</si>
  <si>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</si>
  <si>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</si>
  <si>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</si>
  <si>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</si>
  <si>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</si>
  <si>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</si>
  <si>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</si>
  <si>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</si>
  <si>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</si>
  <si>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</si>
  <si>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</si>
  <si>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</si>
  <si>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</si>
  <si>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</si>
  <si>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</si>
  <si>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</si>
  <si>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</si>
  <si>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</si>
  <si>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</si>
  <si>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</si>
  <si>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</si>
  <si>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</si>
  <si>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</si>
  <si>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</si>
  <si>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</si>
  <si>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</si>
  <si>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</si>
  <si>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</si>
  <si>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</si>
  <si>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</si>
  <si>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</si>
  <si>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</si>
  <si>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</si>
  <si>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</si>
  <si>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</si>
  <si>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</si>
  <si>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</si>
  <si>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</si>
  <si>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</si>
  <si>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</si>
  <si>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</si>
  <si>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</si>
  <si>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</si>
  <si>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</si>
  <si>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</si>
  <si>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</si>
  <si>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</si>
  <si>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</si>
  <si>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</si>
  <si>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</si>
  <si>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</si>
  <si>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</si>
  <si>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</si>
  <si>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</si>
  <si>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</si>
  <si>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</si>
  <si>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</si>
  <si>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</si>
  <si>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</si>
  <si>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</si>
  <si>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</si>
  <si>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</si>
  <si>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</si>
  <si>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</si>
  <si>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</si>
  <si>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</si>
  <si>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</si>
  <si>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</si>
  <si>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</si>
  <si>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</si>
  <si>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</si>
  <si>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</si>
  <si>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</si>
  <si>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</si>
  <si>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</si>
  <si>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</si>
  <si>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</si>
  <si>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</si>
  <si>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</si>
  <si>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</si>
  <si>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</si>
  <si>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</si>
  <si>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</si>
  <si>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</si>
  <si>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</si>
  <si>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</si>
  <si>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</si>
  <si>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</si>
  <si>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</si>
  <si>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</si>
  <si>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</si>
  <si>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</si>
  <si>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</si>
  <si>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</si>
  <si>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</si>
  <si>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</si>
  <si>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</si>
  <si>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</si>
  <si>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</si>
  <si>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</si>
  <si>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</si>
  <si>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</si>
  <si>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</si>
  <si>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</si>
  <si>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</si>
  <si>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</si>
  <si>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</si>
  <si>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</si>
  <si>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</si>
  <si>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</si>
  <si>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</si>
  <si>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</si>
  <si>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</si>
  <si>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</si>
  <si>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</si>
  <si>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</si>
  <si>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</si>
  <si>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</si>
  <si>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</si>
  <si>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</si>
  <si>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</si>
  <si>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</si>
  <si>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</si>
  <si>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</si>
  <si>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</si>
  <si>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</si>
  <si>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</si>
  <si>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</si>
  <si>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</si>
  <si>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</si>
  <si>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</si>
  <si>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</si>
  <si>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</si>
  <si>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</si>
  <si>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</si>
  <si>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</si>
  <si>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</si>
  <si>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</si>
  <si>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</si>
  <si>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</si>
  <si>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</si>
  <si>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</si>
  <si>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</si>
  <si>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</si>
  <si>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</si>
  <si>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</si>
  <si>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</si>
  <si>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</si>
  <si>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</si>
  <si>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</si>
  <si>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</si>
  <si>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</si>
  <si>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</si>
  <si>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</si>
  <si>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</si>
  <si>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</si>
  <si>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</si>
  <si>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</si>
  <si>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</si>
  <si>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</si>
  <si>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</si>
  <si>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</si>
  <si>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</si>
  <si>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</si>
  <si>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</si>
  <si>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</si>
  <si>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</si>
  <si>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</si>
  <si>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</si>
  <si>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</si>
  <si>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</si>
  <si>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</si>
  <si>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</si>
  <si>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</si>
  <si>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</si>
  <si>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</si>
  <si>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</si>
  <si>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</si>
  <si>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</si>
  <si>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</si>
  <si>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</si>
  <si>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</si>
  <si>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</si>
  <si>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</si>
  <si>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</si>
  <si>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</si>
  <si>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</si>
  <si>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</si>
  <si>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</si>
  <si>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</si>
  <si>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</si>
  <si>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</si>
  <si>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</si>
  <si>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</si>
  <si>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</si>
  <si>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</si>
  <si>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</si>
  <si>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</si>
  <si>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</si>
  <si>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</si>
  <si>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</si>
  <si>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</si>
  <si>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</si>
  <si>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</si>
  <si>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</si>
  <si>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</si>
  <si>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</si>
  <si>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</si>
  <si>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</si>
  <si>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</si>
  <si>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</si>
  <si>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</si>
  <si>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</si>
  <si>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</si>
  <si>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</si>
  <si>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</si>
  <si>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</si>
  <si>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</si>
  <si>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</si>
  <si>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</si>
  <si>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</si>
  <si>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</si>
  <si>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</si>
  <si>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</si>
  <si>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</si>
  <si>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</si>
  <si>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</si>
  <si>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</si>
  <si>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</si>
  <si>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</si>
  <si>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</si>
  <si>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</si>
  <si>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</si>
  <si>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</si>
  <si>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</si>
  <si>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</si>
  <si>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</si>
  <si>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</si>
  <si>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</si>
  <si>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</si>
  <si>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</si>
  <si>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</si>
  <si>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</si>
  <si>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</si>
  <si>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</si>
  <si>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</si>
  <si>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</si>
  <si>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</si>
  <si>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</si>
  <si>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</si>
  <si>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</si>
  <si>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</si>
  <si>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</si>
  <si>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</si>
  <si>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</si>
  <si>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</si>
  <si>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</si>
  <si>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</si>
  <si>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</si>
  <si>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</si>
  <si>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</si>
  <si>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</si>
  <si>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</si>
  <si>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</si>
  <si>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</si>
  <si>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</si>
  <si>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</si>
  <si>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</si>
  <si>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</si>
  <si>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</si>
  <si>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</si>
  <si>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</si>
  <si>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</si>
  <si>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</si>
  <si>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</si>
  <si>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</si>
  <si>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</si>
  <si>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</si>
  <si>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</si>
  <si>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</si>
  <si>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</si>
  <si>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</si>
  <si>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</si>
  <si>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</si>
  <si>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</si>
  <si>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</si>
  <si>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</si>
  <si>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</si>
  <si>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</si>
  <si>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</si>
  <si>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</si>
  <si>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</si>
  <si>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</si>
  <si>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</si>
  <si>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</si>
  <si>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</si>
  <si>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</si>
  <si>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</si>
  <si>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</si>
  <si>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</si>
  <si>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</si>
  <si>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</si>
  <si>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</si>
  <si>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</si>
  <si>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</si>
  <si>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</si>
  <si>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</si>
  <si>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</si>
  <si>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</si>
  <si>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</si>
  <si>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</si>
  <si>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</si>
  <si>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</si>
  <si>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</si>
  <si>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</si>
  <si>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</si>
  <si>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</si>
  <si>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</si>
  <si>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</si>
  <si>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</si>
  <si>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</si>
  <si>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</si>
  <si>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</si>
  <si>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</si>
  <si>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</si>
  <si>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</si>
  <si>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</si>
  <si>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</si>
  <si>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</si>
  <si>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</si>
  <si>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</si>
  <si>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</si>
  <si>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</si>
  <si>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</si>
  <si>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</si>
  <si>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</si>
  <si>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</si>
  <si>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</si>
  <si>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</si>
  <si>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</si>
  <si>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</si>
  <si>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</si>
  <si>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</si>
  <si>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</si>
  <si>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</si>
  <si>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</si>
  <si>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</si>
  <si>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</si>
  <si>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</si>
  <si>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</si>
  <si>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</si>
  <si>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</si>
  <si>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</si>
  <si>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</si>
  <si>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</si>
  <si>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</si>
  <si>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</si>
  <si>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</si>
  <si>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</si>
  <si>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</si>
  <si>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</si>
  <si>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</si>
  <si>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</si>
  <si>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</si>
  <si>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</si>
  <si>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</si>
  <si>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</si>
  <si>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</si>
  <si>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</si>
  <si>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</si>
  <si>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</si>
  <si>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</si>
  <si>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</si>
  <si>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</si>
  <si>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</si>
  <si>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</si>
  <si>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</si>
  <si>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</si>
  <si>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</si>
  <si>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</si>
  <si>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</si>
  <si>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</si>
  <si>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</si>
  <si>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</si>
  <si>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</si>
  <si>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</si>
  <si>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</si>
  <si>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</si>
  <si>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</si>
  <si>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</si>
  <si>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</si>
  <si>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</si>
  <si>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</si>
  <si>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</si>
  <si>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</si>
  <si>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</si>
  <si>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</si>
  <si>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</si>
  <si>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</si>
  <si>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</si>
  <si>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</si>
  <si>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</si>
  <si>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</si>
  <si>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</si>
  <si>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</si>
  <si>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</si>
  <si>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</si>
  <si>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</si>
  <si>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</si>
  <si>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</si>
  <si>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</si>
  <si>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</si>
  <si>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</si>
  <si>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</si>
  <si>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</si>
  <si>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</si>
  <si>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</si>
  <si>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</si>
  <si>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</si>
  <si>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</si>
  <si>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</si>
  <si>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</si>
  <si>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</si>
  <si>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</si>
  <si>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</si>
  <si>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</si>
  <si>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</si>
  <si>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</si>
  <si>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</si>
  <si>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</si>
  <si>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</si>
  <si>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</si>
  <si>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</si>
  <si>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</si>
  <si>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</si>
  <si>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</si>
  <si>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</si>
  <si>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</si>
  <si>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</si>
  <si>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</si>
  <si>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</si>
  <si>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</si>
  <si>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</si>
  <si>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</si>
  <si>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</si>
  <si>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</si>
  <si>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</si>
  <si>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</si>
  <si>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</si>
  <si>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</si>
  <si>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</si>
  <si>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</si>
  <si>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</si>
  <si>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</si>
  <si>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</si>
  <si>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</si>
  <si>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</si>
  <si>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</si>
  <si>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</si>
  <si>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</si>
  <si>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</si>
  <si>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</si>
  <si>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</si>
  <si>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</si>
  <si>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</si>
  <si>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</si>
  <si>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</si>
  <si>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</si>
  <si>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</si>
  <si>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</si>
  <si>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</si>
  <si>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</si>
  <si>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</si>
  <si>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</si>
  <si>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</si>
  <si>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</si>
  <si>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</si>
  <si>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</si>
  <si>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</si>
  <si>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</si>
  <si>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</si>
  <si>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</si>
  <si>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</si>
  <si>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</si>
  <si>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</si>
  <si>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</si>
  <si>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</si>
  <si>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</si>
  <si>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</si>
  <si>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</si>
  <si>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</si>
  <si>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</si>
  <si>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</si>
  <si>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</si>
  <si>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</si>
  <si>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</si>
  <si>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</si>
  <si>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</si>
  <si>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</si>
  <si>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</si>
  <si>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</si>
  <si>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</si>
  <si>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</si>
  <si>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</si>
  <si>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</si>
  <si>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</si>
  <si>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</si>
  <si>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</si>
  <si>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</si>
  <si>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</si>
  <si>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</si>
  <si>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</si>
  <si>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</si>
  <si>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</si>
  <si>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</si>
  <si>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</si>
  <si>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</si>
  <si>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</si>
  <si>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</si>
  <si>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</si>
  <si>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</si>
  <si>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</si>
  <si>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</si>
  <si>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</si>
  <si>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</si>
  <si>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</si>
  <si>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</si>
  <si>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</si>
  <si>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</si>
  <si>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</si>
  <si>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</si>
  <si>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</si>
  <si>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</si>
  <si>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</si>
  <si>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</si>
  <si>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</si>
  <si>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</si>
  <si>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</si>
  <si>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</si>
  <si>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</si>
  <si>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</si>
  <si>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</si>
  <si>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</si>
  <si>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</si>
  <si>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</si>
  <si>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</si>
  <si>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</si>
  <si>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</si>
  <si>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</si>
  <si>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</si>
  <si>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</si>
  <si>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</si>
  <si>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</si>
  <si>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</si>
  <si>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</si>
  <si>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</si>
  <si>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</si>
  <si>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</si>
  <si>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</si>
  <si>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</si>
  <si>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</si>
  <si>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</si>
  <si>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</si>
  <si>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</si>
  <si>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</si>
  <si>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</si>
  <si>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</si>
  <si>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</si>
  <si>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</si>
  <si>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</si>
  <si>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</si>
  <si>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</si>
  <si>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</si>
  <si>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</si>
  <si>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</si>
  <si>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</si>
  <si>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</si>
  <si>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</si>
  <si>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</si>
  <si>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</si>
  <si>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</si>
  <si>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</si>
  <si>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</si>
  <si>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</si>
  <si>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</si>
  <si>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</si>
  <si>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</si>
  <si>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</si>
  <si>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</si>
  <si>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</si>
  <si>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</si>
  <si>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</si>
  <si>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</si>
  <si>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</si>
  <si>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</si>
  <si>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</si>
  <si>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</si>
  <si>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</si>
  <si>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</si>
  <si>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</si>
  <si>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</si>
  <si>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</si>
  <si>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</si>
  <si>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</si>
  <si>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</si>
  <si>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</si>
  <si>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</si>
  <si>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</si>
  <si>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</si>
  <si>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</si>
  <si>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</si>
  <si>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</si>
  <si>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</si>
  <si>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</si>
  <si>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</si>
  <si>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</si>
  <si>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</si>
  <si>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</si>
  <si>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</si>
  <si>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</si>
  <si>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</si>
  <si>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</si>
  <si>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</si>
  <si>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</si>
  <si>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</si>
  <si>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</si>
  <si>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</si>
  <si>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</si>
  <si>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</si>
  <si>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</si>
  <si>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</si>
  <si>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</si>
  <si>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</si>
  <si>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</si>
  <si>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</si>
  <si>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</si>
  <si>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</si>
  <si>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</si>
  <si>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</si>
  <si>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</si>
  <si>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</si>
  <si>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</si>
  <si>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</si>
  <si>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</si>
  <si>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</si>
  <si>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</si>
  <si>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</si>
  <si>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</si>
  <si>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</si>
  <si>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</si>
  <si>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</si>
  <si>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</si>
  <si>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</si>
  <si>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</si>
  <si>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</si>
  <si>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</si>
  <si>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</si>
  <si>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</si>
  <si>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</si>
  <si>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</si>
  <si>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</si>
  <si>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</si>
  <si>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</si>
  <si>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</si>
  <si>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</si>
  <si>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</si>
  <si>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</si>
  <si>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</si>
  <si>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</si>
  <si>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</si>
  <si>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</si>
  <si>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</si>
  <si>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</si>
  <si>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</si>
  <si>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</si>
  <si>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</si>
  <si>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</si>
  <si>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</si>
  <si>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</si>
  <si>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</si>
  <si>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</si>
  <si>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</si>
  <si>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</si>
  <si>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</si>
  <si>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</si>
  <si>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</si>
  <si>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</si>
  <si>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</si>
  <si>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</si>
  <si>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</si>
  <si>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</si>
  <si>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</si>
  <si>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</si>
  <si>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</si>
  <si>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</si>
  <si>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</si>
  <si>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</si>
  <si>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</si>
  <si>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</si>
  <si>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</si>
  <si>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</si>
  <si>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</si>
  <si>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</si>
  <si>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</si>
  <si>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</si>
  <si>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</si>
  <si>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</si>
  <si>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</si>
  <si>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</si>
  <si>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</si>
  <si>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</si>
  <si>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</si>
  <si>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</si>
  <si>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</si>
  <si>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</si>
  <si>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</si>
  <si>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</si>
  <si>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</si>
  <si>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</si>
  <si>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</si>
  <si>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</si>
  <si>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</si>
  <si>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</si>
  <si>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</si>
  <si>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</si>
  <si>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</si>
  <si>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</si>
  <si>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</si>
  <si>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</si>
  <si>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</si>
  <si>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</si>
  <si>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</si>
  <si>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</si>
  <si>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</si>
  <si>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</si>
  <si>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</si>
  <si>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</si>
  <si>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</si>
  <si>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</si>
  <si>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</si>
  <si>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</si>
  <si>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</si>
  <si>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</si>
  <si>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</si>
  <si>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</si>
  <si>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</si>
  <si>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</si>
  <si>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</si>
  <si>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</si>
  <si>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</si>
  <si>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</si>
  <si>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</si>
  <si>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</si>
  <si>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</si>
  <si>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</si>
  <si>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</si>
  <si>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</si>
  <si>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</si>
  <si>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</si>
  <si>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</si>
  <si>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</si>
  <si>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</si>
  <si>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</si>
  <si>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</si>
  <si>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</si>
  <si>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</si>
  <si>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</si>
  <si>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</si>
  <si>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</si>
  <si>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</si>
  <si>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</si>
  <si>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</si>
  <si>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</si>
  <si>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</si>
  <si>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</si>
  <si>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</si>
  <si>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</si>
  <si>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</si>
  <si>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</si>
  <si>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</si>
  <si>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</si>
  <si>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</si>
  <si>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</si>
  <si>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</si>
  <si>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</si>
  <si>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</si>
  <si>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</si>
  <si>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</si>
  <si>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</si>
  <si>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</si>
  <si>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</si>
  <si>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</si>
  <si>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</si>
  <si>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</si>
  <si>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</si>
  <si>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</si>
  <si>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</si>
  <si>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</si>
  <si>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</si>
  <si>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</si>
  <si>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</si>
  <si>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</si>
  <si>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</si>
  <si>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</si>
  <si>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</si>
  <si>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</si>
  <si>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</si>
  <si>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</si>
  <si>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</si>
  <si>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</si>
  <si>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</si>
  <si>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</si>
  <si>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</si>
  <si>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</si>
  <si>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</si>
  <si>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</si>
  <si>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</si>
  <si>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</si>
  <si>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</si>
  <si>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</si>
  <si>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</si>
  <si>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</si>
  <si>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</si>
  <si>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</si>
  <si>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</si>
  <si>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</si>
  <si>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</si>
  <si>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</si>
  <si>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</si>
  <si>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</si>
  <si>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</si>
  <si>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</si>
  <si>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</si>
  <si>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</si>
  <si>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</si>
  <si>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</si>
  <si>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</si>
  <si>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</si>
  <si>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</si>
  <si>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</si>
  <si>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</si>
  <si>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</si>
  <si>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</si>
  <si>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</si>
  <si>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</si>
  <si>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</si>
  <si>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</si>
  <si>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</si>
  <si>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</si>
  <si>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</si>
  <si>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</si>
  <si>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</si>
  <si>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</si>
  <si>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</si>
  <si>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</si>
  <si>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</si>
  <si>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</si>
  <si>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</si>
  <si>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</si>
  <si>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</si>
  <si>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</si>
  <si>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</si>
  <si>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</si>
  <si>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</si>
  <si>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</si>
  <si>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</si>
  <si>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</si>
  <si>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</si>
  <si>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</si>
  <si>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</si>
  <si>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</si>
  <si>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</si>
  <si>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</si>
  <si>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</si>
  <si>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</si>
  <si>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</si>
  <si>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</si>
  <si>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</si>
  <si>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</si>
  <si>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</si>
  <si>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</si>
  <si>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</si>
  <si>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</si>
  <si>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</si>
  <si>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</si>
  <si>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</si>
  <si>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</si>
  <si>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</si>
  <si>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</si>
  <si>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</si>
  <si>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</si>
  <si>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</si>
  <si>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</si>
  <si>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</si>
  <si>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</si>
  <si>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</si>
  <si>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</si>
  <si>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</si>
  <si>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</si>
  <si>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</si>
  <si>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</si>
  <si>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</si>
  <si>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</si>
  <si>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</si>
  <si>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</si>
  <si>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</si>
  <si>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</si>
  <si>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</si>
  <si>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</si>
  <si>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</si>
  <si>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</si>
  <si>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</si>
  <si>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</si>
  <si>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</si>
  <si>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</si>
  <si>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</si>
  <si>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</si>
  <si>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</si>
  <si>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</si>
  <si>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</si>
  <si>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</si>
  <si>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</si>
  <si>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</si>
  <si>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</si>
  <si>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</si>
  <si>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</si>
  <si>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</si>
  <si>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</si>
  <si>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</si>
  <si>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</si>
  <si>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</si>
  <si>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</si>
  <si>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</si>
  <si>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</si>
  <si>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</si>
  <si>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</si>
  <si>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</si>
  <si>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</si>
  <si>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</si>
  <si>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</si>
  <si>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</si>
  <si>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</si>
  <si>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</si>
  <si>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</si>
  <si>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</si>
  <si>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</si>
  <si>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</si>
  <si>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</si>
  <si>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</si>
  <si>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</si>
  <si>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</si>
  <si>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</si>
  <si>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</si>
  <si>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</si>
  <si>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</si>
  <si>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</si>
  <si>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</si>
  <si>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</si>
  <si>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</si>
  <si>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</si>
  <si>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</si>
  <si>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</si>
  <si>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</si>
  <si>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</si>
  <si>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</si>
  <si>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</si>
  <si>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</si>
  <si>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</si>
  <si>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</si>
  <si>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</si>
  <si>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</si>
  <si>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</si>
  <si>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</si>
  <si>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</si>
  <si>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</si>
  <si>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</si>
  <si>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</si>
  <si>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</si>
  <si>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</si>
  <si>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</si>
  <si>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</si>
  <si>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</si>
  <si>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</si>
  <si>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</si>
  <si>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</si>
  <si>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</si>
  <si>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</si>
  <si>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</si>
  <si>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</si>
  <si>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</si>
  <si>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</si>
  <si>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</si>
  <si>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</si>
  <si>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</si>
  <si>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</si>
  <si>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</si>
  <si>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</si>
  <si>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</si>
  <si>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</si>
  <si>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</si>
  <si>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</si>
  <si>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</si>
  <si>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</si>
  <si>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</si>
  <si>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</si>
  <si>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</si>
  <si>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</si>
  <si>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</si>
  <si>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</si>
  <si>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</si>
  <si>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</si>
  <si>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</si>
  <si>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</si>
  <si>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</si>
  <si>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</si>
  <si>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</si>
  <si>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</si>
  <si>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</si>
  <si>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</si>
  <si>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</si>
  <si>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</si>
  <si>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</si>
  <si>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</si>
  <si>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</si>
  <si>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</si>
  <si>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</si>
  <si>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</si>
  <si>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</si>
  <si>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</si>
  <si>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</si>
  <si>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</si>
  <si>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</si>
  <si>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</si>
  <si>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</si>
  <si>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</si>
  <si>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</si>
  <si>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</si>
  <si>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</si>
  <si>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</si>
  <si>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</si>
  <si>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</si>
  <si>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</si>
  <si>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</si>
  <si>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</si>
  <si>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</si>
  <si>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</si>
  <si>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</si>
  <si>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</si>
  <si>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</si>
  <si>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</si>
  <si>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</si>
  <si>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</si>
  <si>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</si>
  <si>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</si>
  <si>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</si>
  <si>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</si>
  <si>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</si>
  <si>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</si>
  <si>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</si>
  <si>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</si>
  <si>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</si>
  <si>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</si>
  <si>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</si>
  <si>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</si>
  <si>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</si>
  <si>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</si>
  <si>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</si>
  <si>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</si>
  <si>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</si>
  <si>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</si>
  <si>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</si>
  <si>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</si>
  <si>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</si>
  <si>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</si>
  <si>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</si>
  <si>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</si>
  <si>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</si>
  <si>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</si>
  <si>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</si>
  <si>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</si>
  <si>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</si>
  <si>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</si>
  <si>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</si>
  <si>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</si>
  <si>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</si>
  <si>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</si>
  <si>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</si>
  <si>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</si>
  <si>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</si>
  <si>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</si>
  <si>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</si>
  <si>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</si>
  <si>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</si>
  <si>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</si>
  <si>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</si>
  <si>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</si>
  <si>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</si>
  <si>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</si>
  <si>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</si>
  <si>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</si>
  <si>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</si>
  <si>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</si>
  <si>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</si>
  <si>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</si>
  <si>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</si>
  <si>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</si>
  <si>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</si>
  <si>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</si>
  <si>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</si>
  <si>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</si>
  <si>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</si>
  <si>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</si>
  <si>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</si>
  <si>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</si>
  <si>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</si>
  <si>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</si>
  <si>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</si>
  <si>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</si>
  <si>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</si>
  <si>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</si>
  <si>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</si>
  <si>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</si>
  <si>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</si>
  <si>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</si>
  <si>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</si>
  <si>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</si>
  <si>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</si>
  <si>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</si>
  <si>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</si>
  <si>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</si>
  <si>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</si>
  <si>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</si>
  <si>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</si>
  <si>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</si>
  <si>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</si>
  <si>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</si>
  <si>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</si>
  <si>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</si>
  <si>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</si>
  <si>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</si>
  <si>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</si>
  <si>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</si>
  <si>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</si>
  <si>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</si>
  <si>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</si>
  <si>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</si>
  <si>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</si>
  <si>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</si>
  <si>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</si>
  <si>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</si>
  <si>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</si>
  <si>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</si>
  <si>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</si>
  <si>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</si>
  <si>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</si>
  <si>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</si>
  <si>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</si>
  <si>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</si>
  <si>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</si>
  <si>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</si>
  <si>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</si>
  <si>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</si>
  <si>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</si>
  <si>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</si>
  <si>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</si>
  <si>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</si>
  <si>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</si>
  <si>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</si>
  <si>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</si>
  <si>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</si>
  <si>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</si>
  <si>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</si>
  <si>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</si>
  <si>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</si>
  <si>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</si>
  <si>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</si>
  <si>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</si>
  <si>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</si>
  <si>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</si>
  <si>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</si>
  <si>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</si>
  <si>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</si>
  <si>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</si>
  <si>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</si>
  <si>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</si>
  <si>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</si>
  <si>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</si>
  <si>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</si>
  <si>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</si>
  <si>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</si>
  <si>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</si>
  <si>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</si>
  <si>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</si>
  <si>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</si>
  <si>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</si>
  <si>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</si>
  <si>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</si>
  <si>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</si>
  <si>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</si>
  <si>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</si>
  <si>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</si>
  <si>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</si>
  <si>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</si>
  <si>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</si>
  <si>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</si>
  <si>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</si>
  <si>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</si>
  <si>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</si>
  <si>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</si>
  <si>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</si>
  <si>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</si>
  <si>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</si>
  <si>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</si>
  <si>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</si>
  <si>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</si>
  <si>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</si>
  <si>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</si>
  <si>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</si>
  <si>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</si>
  <si>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</si>
  <si>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</si>
  <si>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</si>
  <si>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</si>
  <si>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</si>
  <si>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</si>
  <si>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</si>
  <si>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</si>
  <si>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</si>
  <si>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</si>
  <si>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</si>
  <si>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</si>
  <si>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</si>
  <si>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</si>
  <si>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</si>
  <si>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</si>
  <si>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</si>
  <si>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</si>
  <si>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</si>
  <si>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</si>
  <si>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</si>
  <si>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</si>
  <si>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</si>
  <si>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</si>
  <si>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</si>
  <si>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</si>
  <si>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</si>
  <si>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</si>
  <si>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</si>
  <si>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</si>
  <si>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</si>
  <si>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</si>
  <si>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</si>
  <si>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</si>
  <si>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</si>
  <si>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</si>
  <si>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</si>
  <si>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</si>
  <si>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</si>
  <si>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</si>
  <si>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</si>
  <si>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</si>
  <si>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</si>
  <si>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</si>
  <si>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</si>
  <si>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</si>
  <si>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</si>
  <si>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</si>
  <si>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</si>
  <si>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</si>
  <si>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</si>
  <si>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</si>
  <si>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</si>
  <si>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</si>
  <si>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</si>
  <si>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</si>
  <si>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</si>
  <si>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</si>
  <si>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</si>
  <si>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</si>
  <si>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</si>
  <si>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</si>
  <si>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</si>
  <si>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</si>
  <si>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</si>
  <si>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</si>
  <si>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</si>
  <si>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</si>
  <si>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</si>
  <si>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</si>
  <si>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</si>
  <si>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</si>
  <si>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</si>
  <si>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</si>
  <si>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</si>
  <si>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</si>
  <si>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</si>
  <si>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</si>
  <si>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</si>
  <si>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</si>
  <si>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</si>
  <si>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</si>
  <si>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</si>
  <si>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</si>
  <si>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</si>
  <si>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</si>
  <si>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</si>
  <si>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</si>
  <si>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</si>
  <si>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</si>
  <si>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</si>
  <si>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</si>
  <si>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</si>
  <si>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</si>
  <si>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</si>
  <si>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</si>
  <si>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</si>
  <si>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</si>
  <si>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</si>
  <si>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</si>
  <si>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</si>
  <si>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</si>
  <si>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</si>
  <si>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</si>
  <si>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</si>
  <si>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</si>
  <si>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</si>
  <si>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</si>
  <si>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</si>
  <si>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</si>
  <si>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</si>
  <si>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</si>
  <si>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</si>
  <si>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</si>
  <si>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</si>
  <si>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</si>
  <si>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</si>
  <si>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</si>
  <si>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</si>
  <si>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</si>
  <si>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</si>
  <si>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</si>
  <si>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</si>
  <si>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</si>
  <si>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</si>
  <si>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</si>
  <si>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</si>
  <si>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</si>
  <si>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</si>
  <si>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</si>
  <si>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</si>
  <si>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</si>
  <si>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</si>
  <si>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</si>
  <si>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</si>
  <si>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</si>
  <si>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</si>
  <si>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</si>
  <si>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</si>
  <si>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</si>
  <si>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</si>
  <si>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</si>
  <si>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</si>
  <si>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</si>
  <si>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</si>
  <si>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</si>
  <si>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</si>
  <si>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</si>
  <si>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</si>
  <si>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</si>
  <si>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</si>
  <si>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</si>
  <si>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</si>
  <si>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</si>
  <si>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</si>
  <si>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</si>
  <si>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</si>
  <si>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</si>
  <si>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</si>
  <si>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</si>
  <si>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</si>
  <si>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</si>
  <si>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</si>
  <si>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</si>
  <si>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</si>
  <si>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</si>
  <si>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</si>
  <si>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</si>
  <si>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</si>
  <si>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</si>
  <si>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</si>
  <si>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</si>
  <si>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</si>
  <si>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</si>
  <si>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</si>
  <si>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</si>
  <si>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</si>
  <si>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</si>
  <si>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</si>
  <si>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</si>
  <si>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</si>
  <si>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</si>
  <si>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</si>
  <si>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</si>
  <si>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</si>
  <si>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</si>
  <si>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</si>
  <si>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</si>
  <si>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</si>
  <si>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</si>
  <si>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</si>
  <si>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</si>
  <si>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</si>
  <si>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</si>
  <si>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</si>
  <si>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</si>
  <si>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</si>
  <si>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</si>
  <si>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</si>
  <si>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</si>
  <si>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</si>
  <si>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</si>
  <si>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</si>
  <si>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</si>
  <si>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</si>
  <si>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</si>
  <si>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</si>
  <si>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</si>
  <si>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</si>
  <si>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</si>
  <si>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</si>
  <si>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</si>
  <si>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</si>
  <si>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</si>
  <si>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</si>
  <si>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</si>
  <si>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</si>
  <si>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</si>
  <si>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</si>
  <si>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</si>
  <si>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</si>
  <si>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</si>
  <si>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</si>
  <si>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</si>
  <si>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</si>
  <si>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</si>
  <si>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</si>
  <si>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</si>
  <si>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</si>
  <si>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</si>
  <si>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</si>
  <si>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</si>
  <si>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</si>
  <si>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</si>
  <si>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</si>
  <si>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</si>
  <si>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</si>
  <si>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</si>
  <si>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</si>
  <si>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</si>
  <si>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</si>
  <si>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</si>
  <si>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</si>
  <si>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</si>
  <si>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</si>
  <si>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</si>
  <si>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</si>
  <si>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</si>
  <si>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</si>
  <si>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</si>
  <si>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</si>
  <si>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</si>
  <si>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</si>
  <si>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</si>
  <si>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</si>
  <si>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</si>
  <si>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</si>
  <si>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</si>
  <si>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</si>
  <si>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</si>
  <si>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</si>
  <si>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</si>
  <si>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</si>
  <si>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</si>
  <si>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</si>
  <si>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</si>
  <si>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</si>
  <si>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</si>
  <si>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</si>
  <si>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</si>
  <si>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</si>
  <si>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</si>
  <si>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</si>
  <si>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</si>
  <si>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</si>
  <si>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</si>
  <si>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</si>
  <si>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</si>
  <si>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</si>
  <si>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</si>
  <si>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</si>
  <si>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</si>
  <si>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</si>
  <si>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</si>
  <si>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</si>
  <si>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</si>
  <si>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</si>
  <si>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</si>
  <si>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</si>
  <si>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</si>
  <si>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</si>
  <si>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</si>
  <si>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</si>
  <si>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</si>
  <si>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</si>
  <si>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</si>
  <si>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</si>
  <si>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</si>
  <si>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</si>
  <si>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</si>
  <si>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</si>
  <si>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</si>
  <si>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</si>
  <si>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</si>
  <si>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</si>
  <si>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</si>
  <si>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</si>
  <si>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</si>
  <si>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</si>
  <si>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</si>
  <si>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</si>
  <si>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</si>
  <si>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</si>
  <si>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</si>
  <si>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</si>
  <si>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</si>
  <si>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</si>
  <si>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</si>
  <si>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</si>
  <si>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</si>
  <si>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</si>
  <si>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</si>
  <si>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</si>
  <si>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</si>
  <si>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</si>
  <si>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</si>
  <si>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</si>
  <si>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</si>
  <si>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</si>
  <si>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</si>
  <si>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</si>
  <si>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</si>
  <si>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</si>
  <si>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</si>
  <si>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</si>
  <si>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</si>
  <si>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</si>
  <si>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</si>
  <si>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</si>
  <si>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</si>
  <si>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</si>
  <si>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</si>
  <si>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</si>
  <si>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</si>
  <si>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</si>
  <si>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</si>
  <si>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</si>
  <si>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</si>
  <si>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</si>
  <si>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</si>
  <si>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</si>
  <si>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</si>
  <si>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</si>
  <si>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</si>
  <si>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</si>
  <si>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</si>
  <si>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</si>
  <si>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</si>
  <si>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</si>
  <si>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</si>
  <si>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</si>
  <si>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</si>
  <si>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</si>
  <si>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</si>
  <si>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</si>
  <si>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</si>
  <si>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</si>
  <si>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</si>
  <si>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</si>
  <si>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</si>
  <si>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</si>
  <si>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</si>
  <si>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</si>
  <si>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</si>
  <si>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</si>
  <si>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</si>
  <si>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</si>
  <si>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</si>
  <si>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</si>
  <si>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</si>
  <si>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</si>
  <si>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</si>
  <si>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</si>
  <si>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</si>
  <si>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</si>
  <si>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</si>
  <si>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</si>
  <si>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</si>
  <si>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</si>
  <si>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</si>
  <si>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</si>
  <si>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</si>
  <si>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</si>
  <si>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</si>
  <si>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</si>
  <si>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</si>
  <si>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</si>
  <si>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</si>
  <si>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</si>
  <si>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</si>
  <si>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</si>
  <si>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</si>
  <si>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</si>
  <si>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</si>
  <si>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</si>
  <si>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</si>
  <si>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</si>
  <si>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</si>
  <si>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</si>
  <si>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</si>
  <si>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</si>
  <si>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</si>
  <si>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</si>
  <si>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</si>
  <si>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</si>
  <si>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</si>
  <si>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</si>
  <si>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</si>
  <si>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</si>
  <si>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</si>
  <si>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</si>
  <si>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</si>
  <si>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</si>
  <si>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</si>
  <si>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</si>
  <si>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</si>
  <si>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</si>
  <si>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</si>
  <si>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</si>
  <si>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</si>
  <si>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</si>
  <si>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</si>
  <si>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</si>
  <si>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</si>
  <si>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</si>
  <si>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</si>
  <si>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</si>
  <si>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</si>
  <si>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</si>
  <si>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</si>
  <si>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</si>
  <si>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</si>
  <si>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</si>
  <si>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</si>
  <si>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</si>
  <si>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</si>
  <si>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</si>
  <si>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</si>
  <si>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</si>
  <si>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</si>
  <si>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</si>
  <si>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</si>
  <si>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</si>
  <si>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</si>
  <si>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</si>
  <si>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</si>
  <si>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</si>
  <si>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</si>
  <si>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</si>
  <si>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</si>
  <si>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</si>
  <si>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</si>
  <si>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</si>
  <si>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</si>
  <si>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</si>
  <si>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</si>
  <si>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</si>
  <si>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</si>
  <si>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</si>
  <si>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</si>
  <si>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</si>
  <si>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</si>
  <si>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</si>
  <si>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</si>
  <si>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</si>
  <si>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</si>
  <si>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</si>
  <si>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</si>
  <si>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</si>
  <si>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</si>
  <si>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</si>
  <si>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</si>
  <si>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</si>
  <si>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</si>
  <si>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</si>
  <si>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</si>
  <si>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</si>
  <si>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</si>
  <si>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</si>
  <si>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</si>
  <si>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</si>
  <si>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</si>
  <si>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</si>
  <si>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</si>
  <si>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</si>
  <si>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</si>
  <si>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</si>
  <si>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</si>
  <si>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</si>
  <si>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</si>
  <si>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</si>
  <si>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</si>
  <si>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</si>
  <si>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</si>
  <si>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</si>
  <si>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</si>
  <si>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</si>
  <si>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</si>
  <si>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</si>
  <si>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</si>
  <si>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</si>
  <si>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</si>
  <si>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</si>
  <si>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</si>
  <si>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</si>
  <si>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</si>
  <si>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</si>
  <si>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</si>
  <si>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</si>
  <si>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</si>
  <si>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</si>
  <si>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</si>
  <si>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</si>
  <si>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</si>
  <si>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</si>
  <si>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</si>
  <si>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</si>
  <si>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</si>
  <si>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</si>
  <si>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</si>
  <si>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</si>
  <si>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</si>
  <si>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</si>
  <si>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</si>
  <si>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</si>
  <si>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</si>
  <si>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</si>
  <si>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</si>
  <si>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</si>
  <si>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</si>
  <si>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</si>
  <si>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</si>
  <si>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</si>
  <si>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</si>
  <si>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</si>
  <si>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</si>
  <si>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</si>
  <si>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</si>
  <si>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</si>
  <si>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</si>
  <si>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</si>
  <si>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</si>
  <si>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</si>
  <si>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</si>
  <si>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</si>
  <si>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</si>
  <si>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</si>
  <si>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</si>
  <si>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</si>
  <si>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</si>
  <si>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</si>
  <si>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</si>
  <si>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</si>
  <si>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</si>
  <si>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</si>
  <si>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</si>
  <si>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</si>
  <si>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</si>
  <si>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</si>
  <si>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</si>
  <si>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</si>
  <si>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</si>
  <si>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</si>
  <si>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</si>
  <si>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</si>
  <si>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</si>
  <si>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</si>
  <si>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</si>
  <si>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</si>
  <si>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</si>
  <si>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</si>
  <si>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</si>
  <si>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</si>
  <si>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</si>
  <si>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</si>
  <si>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</si>
  <si>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</si>
  <si>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</si>
  <si>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</si>
  <si>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</si>
  <si>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</si>
  <si>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</si>
  <si>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</si>
  <si>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</si>
  <si>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</si>
  <si>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</si>
  <si>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</si>
  <si>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</si>
  <si>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</si>
  <si>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</si>
  <si>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</si>
  <si>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</si>
  <si>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</si>
  <si>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</si>
  <si>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</si>
  <si>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</si>
  <si>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</si>
  <si>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</si>
  <si>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</si>
  <si>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</si>
  <si>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</si>
  <si>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</si>
  <si>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</si>
  <si>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</si>
  <si>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</si>
  <si>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</si>
  <si>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</si>
  <si>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</si>
  <si>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</si>
  <si>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</si>
  <si>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</si>
  <si>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</si>
  <si>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</si>
  <si>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</si>
  <si>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</si>
  <si>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</si>
  <si>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</si>
  <si>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</si>
  <si>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</si>
  <si>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</si>
  <si>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</si>
  <si>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</si>
  <si>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</si>
  <si>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</si>
  <si>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</si>
  <si>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</si>
  <si>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</si>
  <si>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</si>
  <si>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</si>
  <si>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</si>
  <si>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</si>
  <si>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</si>
  <si>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</si>
  <si>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</si>
  <si>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</si>
  <si>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</si>
  <si>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</si>
  <si>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</si>
  <si>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</si>
  <si>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</si>
  <si>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</si>
  <si>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</si>
  <si>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</si>
  <si>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</si>
  <si>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</si>
  <si>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</si>
  <si>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</si>
  <si>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</si>
  <si>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</si>
  <si>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</si>
  <si>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</si>
  <si>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</si>
  <si>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</si>
  <si>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</si>
  <si>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</si>
  <si>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</si>
  <si>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</si>
  <si>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</si>
  <si>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</si>
  <si>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</si>
  <si>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</si>
  <si>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</si>
  <si>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</si>
  <si>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</si>
  <si>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</si>
  <si>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</si>
  <si>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</si>
  <si>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</si>
  <si>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</si>
  <si>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</si>
  <si>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</si>
  <si>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</si>
  <si>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</si>
  <si>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</si>
  <si>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</si>
  <si>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</si>
  <si>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</si>
  <si>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</si>
  <si>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</si>
  <si>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</si>
  <si>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</si>
  <si>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</si>
  <si>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</si>
  <si>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</si>
  <si>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</si>
  <si>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</si>
  <si>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</si>
  <si>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</si>
  <si>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</si>
  <si>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</si>
  <si>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</si>
  <si>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</si>
  <si>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</si>
  <si>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</si>
  <si>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</si>
  <si>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</si>
  <si>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</si>
  <si>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</si>
  <si>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</si>
  <si>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</si>
  <si>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</si>
  <si>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</si>
  <si>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</si>
  <si>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</si>
  <si>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</si>
  <si>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</si>
  <si>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</si>
  <si>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</si>
  <si>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</si>
  <si>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</si>
  <si>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</si>
  <si>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</si>
  <si>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</si>
  <si>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</si>
  <si>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</si>
  <si>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</si>
  <si>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</si>
  <si>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</si>
  <si>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</si>
  <si>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</si>
  <si>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</si>
  <si>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</si>
  <si>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</si>
  <si>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</si>
  <si>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</si>
  <si>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</si>
  <si>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</si>
  <si>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</si>
  <si>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</si>
  <si>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</si>
  <si>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</si>
  <si>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</si>
  <si>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</si>
  <si>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</si>
  <si>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</si>
  <si>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</si>
  <si>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</si>
  <si>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</si>
  <si>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</si>
  <si>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</si>
  <si>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</si>
  <si>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</si>
  <si>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</si>
  <si>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</si>
  <si>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</si>
  <si>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</si>
  <si>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</si>
  <si>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</si>
  <si>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</si>
  <si>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</si>
  <si>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</si>
  <si>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</si>
  <si>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</si>
  <si>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</si>
  <si>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</si>
  <si>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</si>
  <si>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</si>
  <si>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</si>
  <si>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</si>
  <si>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</si>
  <si>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</si>
  <si>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</si>
  <si>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</si>
  <si>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</si>
  <si>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</si>
  <si>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</si>
  <si>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</si>
  <si>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</si>
  <si>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</si>
  <si>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</si>
  <si>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</si>
  <si>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</si>
  <si>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</si>
  <si>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</si>
  <si>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</si>
  <si>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</si>
  <si>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</si>
  <si>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</si>
  <si>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</si>
  <si>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</si>
  <si>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</si>
  <si>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</si>
  <si>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</si>
  <si>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</si>
  <si>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</si>
  <si>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</si>
  <si>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</si>
  <si>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</si>
  <si>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</si>
  <si>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</si>
  <si>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</si>
  <si>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</si>
  <si>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</si>
  <si>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</si>
  <si>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</si>
  <si>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</si>
  <si>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</si>
  <si>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</si>
  <si>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</si>
  <si>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</si>
  <si>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</si>
  <si>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</si>
  <si>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</si>
  <si>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</si>
  <si>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</si>
  <si>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</si>
  <si>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</si>
  <si>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</si>
  <si>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</si>
  <si>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</si>
  <si>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</si>
  <si>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</si>
  <si>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</si>
  <si>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</si>
  <si>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</si>
  <si>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</si>
  <si>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</si>
  <si>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</si>
  <si>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</si>
  <si>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</si>
  <si>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</si>
  <si>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</si>
  <si>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</si>
  <si>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</si>
  <si>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</si>
  <si>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</si>
  <si>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</si>
  <si>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</si>
  <si>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</si>
  <si>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</si>
  <si>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</si>
  <si>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</si>
  <si>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</si>
  <si>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</si>
  <si>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</si>
  <si>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</si>
  <si>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</si>
  <si>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</si>
  <si>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</si>
  <si>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</si>
  <si>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</si>
  <si>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</si>
  <si>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</si>
  <si>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</si>
  <si>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</si>
  <si>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</si>
  <si>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</si>
  <si>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</si>
  <si>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</si>
  <si>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</si>
  <si>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</si>
  <si>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</si>
  <si>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</si>
  <si>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</si>
  <si>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</si>
  <si>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</si>
  <si>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</si>
  <si>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</si>
  <si>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</si>
  <si>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</si>
  <si>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</si>
  <si>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</si>
  <si>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</si>
  <si>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</si>
  <si>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</si>
  <si>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</si>
  <si>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</si>
  <si>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</si>
  <si>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</si>
  <si>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</si>
  <si>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</si>
  <si>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</si>
  <si>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</si>
  <si>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</si>
  <si>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</si>
  <si>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</si>
  <si>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</si>
  <si>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</si>
  <si>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</si>
  <si>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</si>
  <si>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</si>
  <si>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</si>
  <si>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</si>
  <si>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</si>
  <si>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</si>
  <si>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</si>
  <si>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</si>
  <si>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</si>
  <si>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</si>
  <si>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</si>
  <si>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</si>
  <si>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</si>
  <si>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</si>
  <si>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</si>
  <si>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</si>
  <si>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</si>
  <si>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</si>
  <si>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</si>
  <si>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</si>
  <si>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</si>
  <si>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</si>
  <si>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</si>
  <si>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</si>
  <si>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</si>
  <si>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</si>
  <si>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</si>
  <si>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</si>
  <si>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</si>
  <si>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</si>
  <si>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</si>
  <si>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</si>
  <si>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</si>
  <si>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</si>
  <si>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</si>
  <si>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</si>
  <si>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</si>
  <si>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</si>
  <si>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</si>
  <si>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</si>
  <si>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</si>
  <si>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</si>
  <si>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</si>
  <si>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</si>
  <si>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</si>
  <si>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</si>
  <si>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</si>
  <si>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</si>
  <si>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</si>
  <si>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</si>
  <si>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</si>
  <si>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</si>
  <si>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</si>
  <si>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</si>
  <si>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</si>
  <si>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</si>
  <si>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</si>
  <si>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</si>
  <si>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</si>
  <si>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</si>
  <si>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</si>
  <si>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</si>
  <si>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</si>
  <si>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</si>
  <si>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</si>
  <si>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</si>
  <si>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</si>
  <si>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</si>
  <si>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</si>
  <si>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</si>
  <si>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</si>
  <si>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</si>
  <si>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</si>
  <si>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</si>
  <si>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</si>
  <si>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</si>
  <si>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</si>
  <si>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</si>
  <si>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</si>
  <si>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</si>
  <si>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</si>
  <si>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</si>
  <si>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</si>
  <si>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</si>
  <si>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</si>
  <si>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</si>
  <si>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</si>
  <si>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</si>
  <si>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</si>
  <si>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</si>
  <si>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</si>
  <si>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</si>
  <si>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</si>
  <si>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</si>
  <si>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</si>
  <si>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</si>
  <si>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</si>
  <si>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</si>
  <si>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</si>
  <si>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</si>
  <si>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</si>
  <si>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</si>
  <si>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</si>
  <si>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</si>
  <si>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</si>
  <si>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</si>
  <si>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</si>
  <si>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</si>
  <si>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</si>
  <si>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</si>
  <si>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</si>
  <si>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</si>
  <si>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</si>
  <si>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</si>
  <si>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</si>
  <si>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</si>
  <si>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</si>
  <si>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</si>
  <si>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</si>
  <si>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</si>
  <si>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</si>
  <si>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</si>
  <si>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</si>
  <si>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</si>
  <si>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</si>
  <si>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</si>
  <si>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</si>
  <si>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</si>
  <si>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</si>
  <si>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</si>
  <si>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</si>
  <si>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</si>
  <si>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</si>
  <si>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</si>
  <si>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</si>
  <si>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</si>
  <si>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</si>
  <si>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</si>
  <si>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</si>
  <si>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</si>
  <si>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</si>
  <si>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</si>
  <si>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</si>
  <si>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</si>
  <si>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</si>
  <si>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</si>
  <si>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</si>
  <si>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</si>
  <si>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</si>
  <si>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</si>
  <si>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</si>
  <si>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</si>
  <si>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</si>
  <si>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</si>
  <si>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</si>
  <si>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</si>
  <si>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</si>
  <si>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</si>
  <si>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</si>
  <si>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</si>
  <si>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</si>
  <si>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</si>
  <si>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</si>
  <si>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</si>
  <si>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</si>
  <si>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</si>
  <si>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</si>
  <si>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</si>
  <si>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</si>
  <si>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</si>
  <si>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</si>
  <si>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</si>
  <si>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</si>
  <si>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</si>
  <si>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</si>
  <si>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</si>
  <si>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</si>
  <si>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</si>
  <si>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</si>
  <si>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</si>
  <si>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</si>
  <si>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</si>
  <si>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</si>
  <si>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</si>
  <si>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</si>
  <si>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</si>
  <si>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</si>
  <si>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</si>
  <si>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</si>
  <si>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</si>
  <si>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</si>
  <si>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</si>
  <si>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</si>
  <si>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</si>
  <si>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</si>
  <si>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</si>
  <si>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</si>
  <si>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</si>
  <si>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</si>
  <si>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</si>
  <si>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</si>
  <si>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</si>
  <si>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</si>
  <si>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</si>
  <si>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</si>
  <si>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</si>
  <si>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</si>
  <si>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</si>
  <si>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</si>
  <si>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</si>
  <si>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</si>
  <si>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</si>
  <si>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</si>
  <si>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</si>
  <si>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</si>
  <si>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</si>
  <si>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</si>
  <si>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</si>
  <si>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</si>
  <si>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</si>
  <si>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</si>
  <si>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</si>
  <si>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</si>
  <si>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</si>
  <si>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</si>
  <si>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</si>
  <si>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</si>
  <si>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</si>
  <si>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</si>
  <si>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</si>
  <si>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</si>
  <si>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</si>
  <si>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</si>
  <si>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</si>
  <si>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</si>
  <si>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</si>
  <si>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</si>
  <si>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</si>
  <si>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</si>
  <si>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</si>
  <si>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</si>
  <si>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</si>
  <si>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</si>
  <si>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</si>
  <si>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</si>
  <si>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</si>
  <si>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</si>
  <si>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</si>
  <si>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</si>
  <si>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</si>
  <si>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</si>
  <si>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</si>
  <si>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</si>
  <si>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</si>
  <si>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</si>
  <si>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</si>
  <si>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</si>
  <si>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</si>
  <si>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</si>
  <si>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</si>
  <si>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</si>
  <si>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</si>
  <si>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</si>
  <si>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</si>
  <si>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</si>
  <si>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</si>
  <si>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</si>
  <si>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</si>
  <si>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</si>
  <si>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</si>
  <si>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</si>
  <si>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</si>
  <si>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</si>
  <si>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</si>
  <si>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</si>
  <si>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</si>
  <si>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</si>
  <si>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</si>
  <si>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</si>
  <si>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</si>
  <si>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</si>
  <si>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</si>
  <si>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</si>
  <si>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</si>
  <si>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</si>
  <si>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</si>
  <si>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</si>
  <si>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</si>
  <si>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</si>
  <si>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</si>
  <si>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</si>
  <si>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</si>
  <si>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</si>
  <si>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</si>
  <si>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</si>
  <si>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</si>
  <si>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</si>
  <si>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</si>
  <si>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</si>
  <si>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</si>
  <si>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</si>
  <si>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</si>
  <si>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</si>
  <si>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</si>
  <si>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</si>
  <si>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</si>
  <si>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</si>
  <si>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</si>
  <si>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</si>
  <si>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</si>
  <si>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</si>
  <si>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</si>
  <si>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</si>
  <si>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</si>
  <si>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</si>
  <si>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</si>
  <si>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</si>
  <si>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</si>
  <si>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</si>
  <si>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</si>
  <si>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</si>
  <si>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</si>
  <si>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</si>
  <si>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</si>
  <si>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</si>
  <si>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</si>
  <si>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</si>
  <si>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</si>
  <si>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</si>
  <si>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</si>
  <si>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</si>
  <si>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</si>
  <si>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</si>
  <si>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</si>
  <si>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</si>
  <si>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</si>
  <si>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</si>
  <si>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</si>
  <si>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</si>
  <si>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</si>
  <si>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</si>
  <si>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</si>
  <si>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</si>
  <si>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</si>
  <si>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</si>
  <si>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</si>
  <si>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</si>
  <si>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</si>
  <si>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</si>
  <si>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</si>
  <si>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</si>
  <si>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</si>
  <si>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</si>
  <si>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</si>
  <si>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</si>
  <si>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</si>
  <si>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</si>
  <si>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</si>
  <si>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</si>
  <si>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</si>
  <si>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</si>
  <si>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</si>
  <si>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</si>
  <si>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</si>
  <si>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</si>
  <si>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</si>
  <si>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</si>
  <si>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</si>
  <si>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</si>
  <si>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</si>
  <si>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</si>
  <si>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</si>
  <si>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</si>
  <si>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</si>
  <si>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</si>
  <si>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</si>
  <si>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</si>
  <si>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</si>
  <si>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</si>
  <si>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</si>
  <si>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</si>
  <si>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</si>
  <si>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</si>
  <si>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</si>
  <si>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</si>
  <si>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</si>
  <si>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</si>
  <si>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</si>
  <si>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</si>
  <si>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</si>
  <si>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</si>
  <si>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</si>
  <si>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</si>
  <si>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</si>
  <si>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</si>
  <si>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</si>
  <si>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</si>
  <si>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</si>
  <si>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</si>
  <si>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</si>
  <si>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</si>
  <si>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</si>
  <si>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</si>
  <si>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</si>
  <si>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</si>
  <si>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</si>
  <si>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</si>
  <si>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</si>
  <si>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</si>
  <si>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</si>
  <si>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</si>
  <si>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</si>
  <si>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</si>
  <si>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</si>
  <si>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</si>
  <si>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</si>
  <si>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</si>
  <si>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</si>
  <si>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</si>
  <si>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</si>
  <si>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</si>
  <si>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</si>
  <si>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</si>
  <si>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</si>
  <si>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</si>
  <si>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</si>
  <si>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</si>
  <si>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</si>
  <si>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</si>
  <si>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</si>
  <si>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</si>
  <si>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</si>
  <si>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</si>
  <si>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</si>
  <si>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</si>
  <si>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</si>
  <si>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</si>
  <si>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</si>
  <si>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</si>
  <si>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</si>
  <si>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</si>
  <si>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</si>
  <si>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</si>
  <si>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</si>
  <si>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</si>
  <si>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</si>
  <si>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</si>
  <si>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</si>
  <si>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</si>
  <si>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</si>
  <si>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</si>
  <si>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</si>
  <si>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</si>
  <si>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</si>
  <si>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</si>
  <si>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</si>
  <si>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</si>
  <si>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</si>
  <si>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</si>
  <si>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</si>
  <si>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</si>
  <si>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</si>
  <si>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</si>
  <si>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</si>
  <si>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</si>
  <si>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</si>
  <si>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</si>
  <si>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</si>
  <si>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</si>
  <si>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</si>
  <si>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</si>
  <si>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</si>
  <si>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</si>
  <si>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</si>
  <si>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</si>
  <si>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</si>
  <si>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</si>
  <si>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</si>
  <si>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</si>
  <si>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</si>
  <si>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</si>
  <si>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</si>
  <si>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</si>
  <si>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</si>
  <si>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</si>
  <si>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</si>
  <si>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</si>
  <si>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</si>
  <si>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</si>
  <si>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</si>
  <si>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</si>
  <si>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</si>
  <si>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</si>
  <si>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</si>
  <si>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</si>
  <si>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</si>
  <si>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</si>
  <si>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</si>
  <si>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</si>
  <si>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</si>
  <si>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</si>
  <si>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</si>
  <si>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</si>
  <si>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</si>
  <si>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</si>
  <si>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</si>
  <si>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</si>
  <si>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</si>
  <si>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</si>
  <si>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</si>
  <si>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</si>
  <si>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</si>
  <si>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</si>
  <si>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</si>
  <si>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</si>
  <si>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</si>
  <si>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</si>
  <si>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</si>
  <si>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</si>
  <si>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</si>
  <si>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</si>
  <si>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</si>
  <si>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</si>
  <si>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</si>
  <si>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</si>
  <si>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</si>
  <si>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</si>
  <si>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</si>
  <si>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</si>
  <si>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</si>
  <si>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</si>
  <si>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</si>
  <si>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</si>
  <si>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</si>
  <si>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</si>
  <si>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</si>
  <si>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</si>
  <si>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</si>
  <si>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</si>
  <si>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</si>
  <si>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</si>
  <si>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</si>
  <si>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</si>
  <si>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</si>
  <si>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</si>
  <si>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</si>
  <si>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</si>
  <si>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</si>
  <si>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</si>
  <si>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</si>
  <si>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</si>
  <si>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</si>
  <si>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</si>
  <si>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</si>
  <si>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</si>
  <si>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</si>
  <si>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</si>
  <si>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</si>
  <si>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</si>
  <si>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</si>
  <si>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</si>
  <si>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</si>
  <si>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</si>
  <si>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</si>
  <si>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</si>
  <si>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</si>
  <si>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</si>
  <si>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</si>
  <si>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</si>
  <si>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</si>
  <si>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</si>
  <si>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</si>
  <si>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</si>
  <si>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</si>
  <si>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</si>
  <si>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</si>
  <si>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</si>
  <si>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</si>
  <si>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</si>
  <si>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</si>
  <si>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</si>
  <si>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</si>
  <si>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</si>
  <si>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</si>
  <si>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</si>
  <si>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</si>
  <si>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</si>
  <si>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</si>
  <si>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</si>
  <si>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</si>
  <si>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</si>
  <si>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</si>
  <si>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</si>
  <si>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</si>
  <si>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</si>
  <si>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</si>
  <si>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</si>
  <si>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</si>
  <si>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</si>
  <si>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</si>
  <si>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</si>
  <si>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</si>
  <si>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</si>
  <si>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</si>
  <si>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</si>
  <si>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</si>
  <si>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</si>
  <si>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</si>
  <si>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</si>
  <si>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</si>
  <si>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</si>
  <si>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</si>
  <si>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</si>
  <si>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</si>
  <si>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</si>
  <si>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</si>
  <si>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</si>
  <si>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</si>
  <si>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</si>
  <si>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</si>
  <si>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</si>
  <si>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</si>
  <si>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</si>
  <si>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</si>
  <si>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</si>
  <si>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</si>
  <si>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</si>
  <si>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</si>
  <si>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</si>
  <si>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</si>
  <si>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</si>
  <si>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</si>
  <si>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</si>
  <si>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</si>
  <si>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</si>
  <si>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</si>
  <si>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</si>
  <si>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</si>
  <si>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</si>
  <si>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</si>
  <si>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</si>
  <si>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</si>
  <si>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</si>
  <si>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</si>
  <si>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</si>
  <si>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</si>
  <si>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</si>
  <si>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</si>
  <si>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</si>
  <si>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</si>
  <si>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</si>
  <si>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</si>
  <si>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</si>
  <si>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</si>
  <si>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</si>
  <si>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</si>
  <si>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</si>
  <si>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</si>
  <si>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</si>
  <si>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</si>
  <si>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</si>
  <si>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</si>
  <si>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</si>
  <si>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</si>
  <si>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</si>
  <si>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</si>
  <si>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</si>
  <si>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</si>
  <si>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</si>
  <si>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</si>
  <si>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</si>
  <si>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</si>
  <si>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</si>
  <si>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</si>
  <si>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</si>
  <si>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</si>
  <si>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</si>
  <si>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</si>
  <si>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</si>
  <si>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</si>
  <si>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</si>
  <si>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</si>
  <si>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</si>
  <si>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</si>
  <si>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</si>
  <si>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</si>
  <si>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</si>
  <si>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</si>
  <si>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</si>
  <si>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</si>
  <si>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</si>
  <si>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</si>
  <si>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</si>
  <si>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</si>
  <si>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</si>
  <si>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</si>
  <si>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</si>
  <si>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</si>
  <si>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</si>
  <si>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</si>
  <si>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</si>
  <si>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</si>
  <si>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</si>
  <si>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</si>
  <si>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</si>
  <si>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</si>
  <si>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</si>
  <si>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</si>
  <si>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</si>
  <si>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</si>
  <si>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</si>
  <si>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</si>
  <si>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</si>
  <si>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</si>
  <si>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</si>
  <si>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</si>
  <si>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</si>
  <si>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</si>
  <si>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</si>
  <si>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</si>
  <si>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</si>
  <si>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</si>
  <si>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</si>
  <si>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</si>
  <si>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</si>
  <si>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</si>
  <si>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</si>
  <si>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</si>
  <si>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</si>
  <si>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</si>
  <si>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</si>
  <si>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</si>
  <si>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</si>
  <si>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</si>
  <si>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</si>
  <si>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</si>
  <si>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</si>
  <si>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</si>
  <si>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</si>
  <si>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</si>
  <si>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</si>
  <si>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</si>
  <si>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</si>
  <si>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</si>
  <si>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</si>
  <si>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</si>
  <si>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</si>
  <si>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</si>
  <si>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</si>
  <si>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</si>
  <si>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</si>
  <si>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</si>
  <si>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</si>
  <si>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</si>
  <si>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</si>
  <si>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</si>
  <si>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</si>
  <si>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</si>
  <si>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</si>
  <si>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</si>
  <si>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</si>
  <si>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</si>
  <si>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</si>
  <si>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</si>
  <si>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</si>
  <si>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</si>
  <si>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</si>
  <si>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</si>
  <si>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</si>
  <si>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</si>
  <si>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</si>
  <si>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</si>
  <si>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</si>
  <si>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</si>
  <si>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</si>
  <si>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</si>
  <si>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</si>
  <si>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</si>
  <si>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</si>
  <si>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</si>
  <si>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</si>
  <si>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</si>
  <si>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</si>
  <si>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</si>
  <si>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</si>
  <si>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</si>
  <si>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</si>
  <si>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</si>
  <si>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</si>
  <si>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</si>
  <si>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</si>
  <si>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</si>
  <si>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</si>
  <si>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</si>
  <si>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</si>
  <si>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</si>
  <si>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</si>
  <si>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</si>
  <si>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</si>
  <si>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</si>
  <si>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</si>
  <si>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</si>
  <si>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</si>
  <si>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</si>
  <si>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</si>
  <si>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</si>
  <si>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</si>
  <si>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</si>
  <si>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</si>
  <si>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</si>
  <si>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</si>
  <si>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</si>
  <si>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</si>
  <si>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</si>
  <si>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</si>
  <si>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</si>
  <si>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</si>
  <si>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</si>
  <si>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</si>
  <si>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</si>
  <si>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</si>
  <si>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</si>
  <si>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</si>
  <si>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</si>
  <si>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</si>
  <si>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</si>
  <si>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</si>
  <si>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</si>
  <si>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</si>
  <si>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</si>
  <si>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</si>
  <si>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</si>
  <si>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</si>
  <si>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</si>
  <si>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</si>
  <si>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</si>
  <si>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</si>
  <si>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</si>
  <si>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</si>
  <si>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</si>
  <si>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</si>
  <si>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</si>
  <si>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</si>
  <si>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</si>
  <si>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</si>
  <si>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</si>
  <si>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</si>
  <si>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</si>
  <si>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</si>
  <si>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</si>
  <si>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</si>
  <si>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</si>
  <si>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</si>
  <si>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</si>
  <si>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</si>
  <si>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</si>
  <si>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</si>
  <si>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</si>
  <si>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</si>
  <si>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</si>
  <si>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</si>
  <si>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</si>
  <si>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</si>
  <si>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</si>
  <si>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</si>
  <si>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</si>
  <si>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</si>
  <si>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</si>
  <si>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</si>
  <si>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</si>
  <si>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</si>
  <si>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</si>
  <si>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</si>
  <si>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</si>
  <si>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</si>
  <si>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</si>
  <si>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</si>
  <si>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</si>
  <si>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</si>
  <si>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</si>
  <si>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</si>
  <si>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</si>
  <si>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</si>
  <si>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</si>
  <si>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</si>
  <si>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</si>
  <si>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</si>
  <si>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</si>
  <si>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</si>
  <si>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</si>
  <si>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</si>
  <si>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</si>
  <si>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</si>
  <si>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</si>
  <si>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</si>
  <si>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</si>
  <si>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</si>
  <si>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</si>
  <si>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</si>
  <si>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</si>
  <si>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</si>
  <si>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</si>
  <si>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</si>
  <si>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</si>
  <si>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</si>
  <si>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</si>
  <si>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</si>
  <si>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</si>
  <si>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</si>
  <si>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</si>
  <si>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</si>
  <si>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</si>
  <si>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</si>
  <si>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</si>
  <si>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</si>
  <si>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</si>
  <si>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</si>
  <si>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</si>
  <si>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</si>
  <si>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</si>
  <si>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</si>
  <si>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</si>
  <si>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</si>
  <si>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</si>
  <si>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</si>
  <si>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</si>
  <si>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</si>
  <si>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</si>
  <si>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</si>
  <si>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</si>
  <si>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</si>
  <si>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</si>
  <si>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</si>
  <si>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</si>
  <si>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</si>
  <si>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</si>
  <si>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</si>
  <si>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</si>
  <si>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</si>
  <si>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</si>
  <si>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</si>
  <si>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</si>
  <si>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</si>
  <si>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</si>
  <si>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</si>
  <si>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</si>
  <si>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</si>
  <si>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</si>
  <si>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</si>
  <si>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</si>
  <si>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</si>
  <si>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</si>
  <si>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</si>
  <si>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</si>
  <si>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</si>
  <si>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</si>
  <si>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</si>
  <si>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</si>
  <si>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</si>
  <si>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</si>
  <si>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</si>
  <si>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</si>
  <si>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</si>
  <si>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</si>
  <si>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</si>
  <si>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</si>
  <si>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</si>
  <si>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</si>
  <si>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</si>
  <si>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</si>
  <si>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</si>
  <si>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</si>
  <si>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</si>
  <si>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</si>
  <si>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</si>
  <si>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</si>
  <si>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</si>
  <si>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</si>
  <si>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</si>
  <si>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</si>
  <si>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</si>
  <si>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</si>
  <si>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</si>
  <si>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</si>
  <si>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</si>
  <si>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</si>
  <si>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</si>
  <si>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</si>
  <si>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</si>
  <si>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</si>
  <si>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</si>
  <si>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</si>
  <si>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</si>
  <si>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</si>
  <si>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</si>
  <si>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</si>
  <si>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</si>
  <si>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</si>
  <si>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</si>
  <si>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</si>
  <si>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</si>
  <si>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</si>
  <si>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</si>
  <si>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</si>
  <si>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</si>
  <si>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</si>
  <si>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</si>
  <si>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</si>
  <si>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</si>
  <si>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</si>
  <si>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</si>
  <si>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</si>
  <si>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</si>
  <si>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</si>
  <si>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</si>
  <si>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</si>
  <si>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</si>
  <si>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</si>
  <si>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</si>
  <si>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</si>
  <si>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</si>
  <si>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</si>
  <si>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</si>
  <si>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</si>
  <si>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</si>
  <si>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</si>
  <si>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</si>
  <si>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</si>
  <si>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</si>
  <si>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</si>
  <si>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</si>
  <si>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</si>
  <si>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</si>
  <si>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</si>
  <si>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</si>
  <si>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</si>
  <si>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</si>
  <si>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</si>
  <si>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</si>
  <si>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</si>
  <si>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</si>
  <si>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</si>
  <si>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</si>
  <si>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</si>
  <si>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</si>
  <si>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</si>
  <si>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</si>
  <si>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</si>
  <si>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</si>
  <si>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</si>
  <si>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</si>
  <si>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</si>
  <si>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</si>
  <si>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</si>
  <si>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</si>
  <si>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</si>
  <si>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</si>
  <si>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</si>
  <si>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</si>
  <si>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</si>
  <si>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</si>
  <si>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</si>
  <si>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</si>
  <si>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</si>
  <si>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</si>
  <si>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</si>
  <si>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</si>
  <si>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</si>
  <si>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</si>
  <si>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</si>
  <si>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</si>
  <si>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</si>
  <si>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</si>
  <si>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</si>
  <si>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</si>
  <si>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</si>
  <si>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</si>
  <si>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</si>
  <si>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</si>
  <si>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</si>
  <si>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</si>
  <si>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</si>
  <si>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</si>
  <si>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</si>
  <si>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</si>
  <si>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</si>
  <si>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</si>
  <si>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</si>
  <si>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</si>
  <si>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</si>
  <si>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</si>
  <si>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</si>
  <si>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</si>
  <si>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</si>
  <si>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</si>
  <si>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</si>
  <si>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</si>
  <si>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</si>
  <si>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</si>
  <si>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</si>
  <si>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</si>
  <si>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</si>
  <si>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</si>
  <si>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</si>
  <si>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</si>
  <si>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</si>
  <si>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</si>
  <si>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</si>
  <si>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</si>
  <si>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</si>
  <si>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</si>
  <si>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</si>
  <si>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</si>
  <si>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</si>
  <si>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</si>
  <si>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</si>
  <si>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</si>
  <si>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</si>
  <si>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</si>
  <si>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</si>
  <si>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</si>
  <si>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</si>
  <si>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</si>
  <si>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</si>
  <si>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</si>
  <si>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</si>
  <si>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</si>
  <si>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</si>
  <si>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</si>
  <si>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</si>
  <si>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</si>
  <si>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</si>
  <si>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</si>
  <si>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</si>
  <si>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</si>
  <si>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</si>
  <si>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</si>
  <si>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</si>
  <si>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</si>
  <si>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</si>
  <si>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</si>
  <si>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</si>
  <si>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</si>
  <si>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</si>
  <si>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</si>
  <si>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</si>
  <si>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</si>
  <si>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</si>
  <si>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</si>
  <si>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</si>
  <si>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</si>
  <si>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</si>
  <si>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</si>
  <si>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</si>
  <si>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</si>
  <si>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</si>
  <si>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</si>
  <si>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</si>
  <si>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</si>
  <si>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</si>
  <si>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</si>
  <si>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</si>
  <si>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</si>
  <si>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</si>
  <si>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</si>
  <si>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</si>
  <si>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</si>
  <si>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</si>
  <si>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</si>
  <si>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</si>
  <si>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</si>
  <si>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</si>
  <si>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</si>
  <si>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</si>
  <si>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</si>
  <si>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</si>
  <si>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</si>
  <si>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</si>
  <si>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</si>
  <si>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</si>
  <si>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</si>
  <si>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</si>
  <si>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</si>
  <si>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</si>
  <si>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</si>
  <si>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</si>
  <si>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</si>
  <si>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</si>
  <si>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</si>
  <si>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</si>
  <si>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</si>
  <si>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</si>
  <si>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</si>
  <si>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</si>
  <si>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</si>
  <si>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</si>
  <si>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</si>
  <si>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</si>
  <si>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</si>
  <si>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</si>
  <si>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</si>
  <si>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</si>
  <si>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</si>
  <si>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</si>
  <si>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</si>
  <si>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</si>
  <si>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</si>
  <si>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</si>
  <si>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</si>
  <si>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</si>
  <si>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</si>
  <si>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</si>
  <si>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</si>
  <si>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</si>
  <si>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</si>
  <si>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</si>
  <si>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</si>
  <si>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</si>
  <si>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</si>
  <si>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</si>
  <si>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</si>
  <si>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</si>
  <si>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</si>
  <si>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</si>
  <si>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</si>
  <si>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</si>
  <si>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</si>
  <si>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</si>
  <si>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</si>
  <si>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</si>
  <si>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</si>
  <si>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</si>
  <si>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</si>
  <si>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</si>
  <si>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</si>
  <si>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</si>
  <si>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</si>
  <si>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</si>
  <si>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</si>
  <si>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</si>
  <si>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</si>
  <si>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</si>
  <si>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</si>
  <si>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</si>
  <si>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</si>
  <si>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</si>
  <si>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</si>
  <si>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</si>
  <si>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</si>
  <si>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</si>
  <si>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</si>
  <si>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</si>
  <si>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</si>
  <si>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</si>
  <si>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</si>
  <si>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</si>
  <si>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</si>
  <si>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</si>
  <si>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</si>
  <si>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</si>
  <si>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</si>
  <si>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</si>
  <si>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</si>
  <si>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</si>
  <si>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</si>
  <si>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</si>
  <si>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</si>
  <si>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</si>
  <si>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</si>
  <si>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</si>
  <si>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</si>
  <si>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</si>
  <si>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</si>
  <si>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</si>
  <si>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</si>
  <si>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</si>
  <si>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</si>
  <si>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</si>
  <si>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</si>
  <si>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</si>
  <si>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</si>
  <si>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</si>
  <si>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</si>
  <si>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</si>
  <si>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</si>
  <si>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</si>
  <si>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</si>
  <si>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</si>
  <si>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</si>
  <si>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</si>
  <si>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</si>
  <si>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</si>
  <si>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</si>
  <si>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</si>
  <si>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</si>
  <si>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</si>
  <si>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</si>
  <si>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</si>
  <si>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</si>
  <si>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</si>
  <si>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</si>
  <si>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</si>
  <si>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</si>
  <si>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</si>
  <si>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</si>
  <si>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</si>
  <si>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</si>
  <si>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</si>
  <si>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</si>
  <si>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</si>
  <si>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</si>
  <si>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</si>
  <si>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</si>
  <si>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</si>
  <si>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</si>
  <si>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</si>
  <si>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</si>
  <si>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</si>
  <si>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</si>
  <si>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</si>
  <si>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</si>
  <si>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</si>
  <si>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</si>
  <si>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</si>
  <si>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</si>
  <si>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</si>
  <si>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</si>
  <si>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</si>
  <si>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</si>
  <si>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</si>
  <si>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</si>
  <si>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</si>
  <si>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</si>
  <si>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</si>
  <si>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</si>
  <si>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</si>
  <si>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</si>
  <si>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</si>
  <si>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</si>
  <si>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</si>
  <si>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</si>
  <si>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</si>
  <si>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</si>
  <si>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</si>
  <si>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</si>
  <si>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</si>
  <si>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</si>
  <si>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</si>
  <si>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</si>
  <si>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</si>
  <si>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</si>
  <si>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</si>
  <si>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</si>
  <si>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</si>
  <si>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</si>
  <si>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</si>
  <si>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</si>
  <si>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</si>
  <si>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</si>
  <si>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</si>
  <si>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</si>
  <si>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</si>
  <si>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</si>
  <si>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</si>
  <si>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</si>
  <si>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</si>
  <si>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</si>
  <si>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</si>
  <si>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</si>
  <si>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</si>
  <si>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</si>
  <si>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</si>
  <si>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</si>
  <si>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</si>
  <si>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</si>
  <si>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</si>
  <si>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</si>
  <si>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</si>
  <si>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</si>
  <si>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</si>
  <si>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</si>
  <si>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</si>
  <si>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</si>
  <si>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</si>
  <si>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</si>
  <si>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</si>
  <si>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</si>
  <si>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</si>
  <si>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</si>
  <si>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</si>
  <si>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</si>
  <si>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</si>
  <si>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</si>
  <si>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</si>
  <si>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</si>
  <si>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</si>
  <si>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</si>
  <si>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</si>
  <si>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</si>
  <si>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</si>
  <si>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</si>
  <si>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</si>
  <si>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</si>
  <si>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</si>
  <si>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</si>
  <si>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</si>
  <si>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</si>
  <si>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</si>
  <si>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</si>
  <si>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</si>
  <si>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</si>
  <si>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</si>
  <si>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</si>
  <si>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</si>
  <si>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</si>
  <si>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</si>
  <si>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</si>
  <si>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</si>
  <si>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</si>
  <si>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</si>
  <si>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</si>
  <si>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</si>
  <si>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</si>
  <si>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</si>
  <si>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</si>
  <si>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</si>
  <si>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</si>
  <si>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</si>
  <si>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</si>
  <si>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</si>
  <si>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</si>
  <si>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</si>
  <si>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</si>
  <si>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</si>
  <si>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</si>
  <si>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</si>
  <si>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</si>
  <si>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</si>
  <si>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</si>
  <si>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</si>
  <si>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</si>
  <si>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</si>
  <si>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</si>
  <si>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</si>
  <si>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</si>
  <si>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</si>
  <si>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</si>
  <si>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</si>
  <si>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</si>
  <si>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</si>
  <si>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</si>
  <si>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</si>
  <si>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</si>
  <si>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</si>
  <si>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</si>
  <si>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</si>
  <si>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</si>
  <si>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</si>
  <si>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</si>
  <si>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</si>
  <si>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</si>
  <si>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</si>
  <si>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</si>
  <si>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</si>
  <si>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</si>
  <si>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</si>
  <si>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</si>
  <si>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</si>
  <si>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</si>
  <si>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</si>
  <si>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</si>
  <si>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</si>
  <si>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</si>
  <si>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</si>
  <si>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</si>
  <si>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</si>
  <si>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</si>
  <si>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</si>
  <si>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</si>
  <si>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</si>
  <si>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</si>
  <si>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</si>
  <si>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</si>
  <si>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</si>
  <si>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</si>
  <si>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</si>
  <si>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</si>
  <si>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</si>
  <si>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</si>
  <si>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</si>
  <si>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</si>
  <si>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</si>
  <si>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</si>
  <si>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</si>
  <si>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</si>
  <si>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</si>
  <si>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</si>
  <si>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</si>
  <si>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</si>
  <si>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</si>
  <si>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</si>
  <si>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</si>
  <si>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</si>
  <si>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</si>
  <si>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</si>
  <si>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</si>
  <si>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</si>
  <si>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</si>
  <si>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</si>
  <si>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</si>
  <si>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</si>
  <si>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</si>
  <si>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</si>
  <si>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</si>
  <si>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</si>
  <si>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</si>
  <si>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</si>
  <si>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</si>
  <si>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</si>
  <si>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</si>
  <si>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</si>
  <si>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</si>
  <si>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</si>
  <si>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</si>
  <si>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</si>
  <si>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</si>
  <si>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</si>
  <si>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</si>
  <si>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</si>
  <si>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</si>
  <si>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</si>
  <si>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</si>
  <si>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</si>
  <si>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</si>
  <si>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</si>
  <si>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</si>
  <si>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</si>
  <si>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</si>
  <si>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</si>
  <si>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</si>
  <si>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</si>
  <si>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</si>
  <si>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</si>
  <si>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</si>
  <si>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</si>
  <si>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</si>
  <si>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</si>
  <si>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</si>
  <si>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</si>
  <si>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</si>
  <si>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</si>
  <si>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</si>
  <si>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</si>
  <si>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</si>
  <si>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</si>
  <si>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</si>
  <si>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</si>
  <si>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</si>
  <si>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</si>
  <si>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</si>
  <si>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</si>
  <si>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</si>
  <si>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</si>
  <si>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</si>
  <si>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</si>
  <si>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</si>
  <si>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</si>
  <si>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</si>
  <si>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</si>
  <si>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</si>
  <si>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</si>
  <si>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</si>
  <si>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</si>
  <si>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</si>
  <si>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</si>
  <si>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</si>
  <si>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</si>
  <si>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</si>
  <si>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</si>
  <si>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</si>
  <si>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</si>
  <si>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</si>
  <si>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</si>
  <si>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</si>
  <si>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</si>
  <si>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</si>
  <si>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</si>
  <si>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</si>
  <si>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</si>
  <si>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</si>
  <si>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</si>
  <si>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</si>
  <si>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</si>
  <si>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</si>
  <si>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</si>
  <si>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</si>
  <si>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</si>
  <si>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</si>
  <si>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</si>
  <si>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</si>
  <si>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</si>
  <si>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</si>
  <si>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</si>
  <si>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</si>
  <si>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</si>
  <si>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</si>
  <si>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</si>
  <si>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</si>
  <si>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</si>
  <si>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</si>
  <si>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</si>
  <si>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</si>
  <si>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</si>
  <si>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</si>
  <si>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</si>
  <si>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</si>
  <si>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</si>
  <si>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</si>
  <si>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</si>
  <si>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</si>
  <si>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</si>
  <si>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</si>
  <si>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</si>
  <si>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</si>
  <si>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</si>
  <si>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</si>
  <si>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</si>
  <si>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</si>
  <si>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</si>
  <si>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</si>
  <si>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</si>
  <si>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</si>
  <si>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</si>
  <si>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</si>
  <si>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</si>
  <si>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</si>
  <si>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</si>
  <si>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</si>
  <si>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</si>
  <si>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</si>
  <si>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</si>
  <si>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</si>
  <si>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</si>
  <si>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</si>
  <si>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</si>
  <si>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</si>
  <si>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</si>
  <si>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</si>
  <si>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</si>
  <si>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</si>
  <si>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</si>
  <si>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</si>
  <si>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</si>
  <si>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</si>
  <si>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</si>
  <si>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</si>
  <si>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</si>
  <si>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</si>
  <si>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</si>
  <si>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</si>
  <si>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</si>
  <si>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</si>
  <si>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</si>
  <si>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</si>
  <si>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</si>
  <si>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</si>
  <si>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</si>
  <si>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</si>
  <si>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</si>
  <si>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</si>
  <si>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</si>
  <si>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</si>
  <si>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</si>
  <si>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</si>
  <si>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</si>
  <si>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</si>
  <si>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</si>
  <si>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</si>
  <si>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</si>
  <si>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</si>
  <si>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</si>
  <si>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</si>
  <si>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</si>
  <si>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</si>
  <si>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</si>
  <si>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</si>
  <si>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</si>
  <si>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</si>
  <si>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</si>
  <si>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</si>
  <si>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</si>
  <si>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</si>
  <si>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</si>
  <si>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</si>
  <si>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</si>
  <si>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</si>
  <si>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</si>
  <si>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</si>
  <si>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</si>
  <si>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</si>
  <si>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</si>
  <si>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</si>
  <si>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</si>
  <si>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</si>
  <si>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</si>
  <si>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</si>
  <si>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</si>
  <si>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</si>
  <si>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</si>
  <si>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</si>
  <si>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</si>
  <si>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</si>
  <si>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</si>
  <si>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</si>
  <si>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</si>
  <si>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</si>
  <si>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</si>
  <si>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</si>
  <si>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</si>
  <si>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</si>
  <si>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</si>
  <si>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</si>
  <si>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</si>
  <si>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</si>
  <si>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</si>
  <si>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</si>
  <si>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</si>
  <si>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</si>
  <si>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</si>
  <si>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</si>
  <si>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</si>
  <si>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</si>
  <si>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</si>
  <si>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</si>
  <si>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</si>
  <si>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</si>
  <si>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</si>
  <si>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</si>
  <si>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</si>
  <si>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</si>
  <si>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</si>
  <si>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</si>
  <si>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</si>
  <si>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</si>
  <si>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</si>
  <si>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</si>
  <si>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</si>
  <si>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</si>
  <si>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</si>
  <si>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</si>
  <si>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</si>
  <si>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</si>
  <si>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</si>
  <si>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</si>
  <si>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</si>
  <si>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</si>
  <si>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</si>
  <si>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</si>
  <si>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</si>
  <si>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</si>
  <si>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</si>
  <si>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</si>
  <si>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</si>
  <si>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</si>
  <si>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</si>
  <si>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</si>
  <si>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</si>
  <si>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</si>
  <si>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</si>
  <si>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</si>
  <si>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</si>
  <si>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</si>
  <si>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</si>
  <si>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</si>
  <si>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</si>
  <si>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</si>
  <si>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</si>
  <si>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</si>
  <si>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</si>
  <si>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</si>
  <si>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</si>
  <si>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</si>
  <si>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</si>
  <si>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</si>
  <si>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</si>
  <si>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</si>
  <si>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</si>
  <si>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</si>
  <si>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</si>
  <si>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</si>
  <si>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</si>
  <si>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</si>
  <si>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</si>
  <si>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</si>
  <si>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</si>
  <si>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</si>
  <si>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</si>
  <si>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</si>
  <si>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</si>
  <si>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</si>
  <si>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</si>
  <si>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</si>
  <si>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</si>
  <si>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</si>
  <si>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</si>
  <si>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</si>
  <si>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</si>
  <si>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</si>
  <si>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</si>
  <si>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</si>
  <si>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</si>
  <si>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</si>
  <si>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</si>
  <si>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</si>
  <si>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</si>
  <si>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</si>
  <si>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</si>
  <si>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</si>
  <si>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</si>
  <si>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</si>
  <si>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</si>
  <si>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</si>
  <si>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</si>
  <si>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</si>
  <si>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</si>
  <si>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</si>
  <si>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</si>
  <si>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</si>
  <si>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</si>
  <si>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</si>
  <si>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</si>
  <si>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</si>
  <si>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</si>
  <si>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</si>
  <si>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</si>
  <si>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</si>
  <si>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</si>
  <si>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</si>
  <si>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</si>
  <si>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</si>
  <si>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</si>
  <si>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</si>
  <si>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</si>
  <si>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</si>
  <si>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</si>
  <si>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</si>
  <si>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</si>
  <si>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</si>
  <si>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</si>
  <si>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</si>
  <si>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</si>
  <si>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</si>
  <si>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</si>
  <si>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</si>
  <si>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</si>
  <si>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</si>
  <si>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</si>
  <si>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</si>
  <si>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</si>
  <si>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</si>
  <si>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</si>
  <si>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</si>
  <si>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</si>
  <si>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</si>
  <si>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</si>
  <si>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</si>
  <si>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</si>
  <si>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</si>
  <si>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</si>
  <si>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</si>
  <si>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</si>
  <si>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</si>
  <si>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</si>
  <si>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</si>
  <si>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</si>
  <si>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</si>
  <si>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</si>
  <si>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</si>
  <si>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</si>
  <si>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</si>
  <si>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</si>
  <si>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</si>
  <si>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</si>
  <si>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</si>
  <si>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</si>
  <si>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</si>
  <si>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</si>
  <si>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</si>
  <si>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</si>
  <si>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</si>
  <si>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</si>
  <si>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</si>
  <si>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</si>
  <si>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</si>
  <si>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</si>
  <si>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</si>
  <si>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</si>
  <si>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</si>
  <si>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</si>
  <si>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</si>
  <si>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</si>
  <si>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</si>
  <si>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</si>
  <si>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</si>
  <si>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</si>
  <si>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</si>
  <si>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</si>
  <si>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</si>
  <si>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</si>
  <si>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</si>
  <si>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</si>
  <si>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</si>
  <si>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</si>
  <si>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</si>
  <si>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</si>
  <si>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</si>
  <si>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</si>
  <si>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</si>
  <si>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</si>
  <si>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</si>
  <si>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</si>
  <si>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</si>
  <si>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</si>
  <si>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</si>
  <si>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</si>
  <si>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</si>
  <si>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</si>
  <si>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</si>
  <si>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</si>
  <si>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</si>
  <si>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</si>
  <si>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</si>
  <si>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</si>
  <si>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</si>
  <si>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</si>
  <si>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</si>
  <si>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</si>
  <si>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</si>
  <si>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</si>
  <si>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</si>
  <si>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</si>
  <si>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</si>
  <si>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</si>
  <si>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</si>
  <si>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</si>
  <si>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</si>
  <si>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</si>
  <si>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</si>
  <si>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</si>
  <si>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</si>
  <si>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</si>
  <si>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</si>
  <si>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</si>
  <si>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</si>
  <si>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</si>
  <si>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</si>
  <si>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</si>
  <si>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</si>
  <si>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</si>
  <si>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</si>
  <si>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</si>
  <si>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</si>
  <si>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</si>
  <si>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</si>
  <si>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</si>
  <si>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</si>
  <si>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</si>
  <si>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</si>
  <si>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</si>
  <si>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</si>
  <si>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</si>
  <si>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</si>
  <si>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</si>
  <si>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</si>
  <si>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</si>
  <si>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</si>
  <si>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</si>
  <si>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</si>
  <si>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</si>
  <si>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</si>
  <si>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</si>
  <si>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</si>
  <si>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</si>
  <si>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</si>
  <si>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</si>
  <si>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</si>
  <si>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</si>
  <si>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</si>
  <si>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</si>
  <si>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</si>
  <si>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</si>
  <si>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</si>
  <si>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</si>
  <si>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</si>
  <si>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</si>
  <si>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</si>
  <si>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</si>
  <si>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</si>
  <si>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</si>
  <si>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</si>
  <si>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</si>
  <si>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</si>
  <si>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</si>
  <si>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</si>
  <si>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</si>
  <si>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</si>
  <si>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</si>
  <si>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</si>
  <si>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</si>
  <si>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</si>
  <si>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</si>
  <si>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</si>
  <si>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</si>
  <si>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</si>
  <si>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</si>
  <si>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</si>
  <si>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</si>
  <si>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</si>
  <si>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</si>
  <si>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</si>
  <si>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</si>
  <si>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</si>
  <si>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</si>
  <si>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</si>
  <si>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</si>
  <si>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</si>
  <si>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</si>
  <si>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</si>
  <si>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</si>
  <si>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</si>
  <si>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</si>
  <si>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</si>
  <si>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</si>
  <si>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</si>
  <si>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</si>
  <si>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</si>
  <si>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</si>
  <si>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</si>
  <si>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</si>
  <si>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</si>
  <si>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</si>
  <si>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</si>
  <si>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</si>
  <si>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</si>
  <si>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</si>
  <si>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</si>
  <si>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</si>
  <si>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</si>
  <si>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</si>
  <si>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</si>
  <si>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</si>
  <si>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</si>
  <si>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</si>
  <si>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</si>
  <si>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</si>
  <si>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</si>
  <si>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</si>
  <si>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</si>
  <si>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</si>
  <si>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</si>
  <si>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</si>
  <si>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</si>
  <si>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</si>
  <si>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</si>
  <si>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</si>
  <si>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</si>
  <si>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</si>
  <si>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</si>
  <si>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</si>
  <si>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</si>
  <si>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</si>
  <si>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</si>
  <si>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</si>
  <si>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</si>
  <si>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</si>
  <si>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</si>
  <si>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</si>
  <si>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</si>
  <si>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</si>
  <si>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</si>
  <si>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</si>
  <si>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</si>
  <si>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</si>
  <si>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</si>
  <si>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</si>
  <si>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</si>
  <si>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</si>
  <si>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</si>
  <si>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</si>
  <si>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</si>
  <si>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</si>
  <si>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</si>
  <si>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</si>
  <si>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</si>
  <si>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</si>
  <si>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</si>
  <si>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</si>
  <si>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</si>
  <si>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</si>
  <si>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</si>
  <si>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</si>
  <si>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</si>
  <si>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</si>
  <si>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</si>
  <si>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</si>
  <si>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</si>
  <si>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</si>
  <si>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</si>
  <si>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</si>
  <si>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</si>
  <si>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</si>
  <si>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</si>
  <si>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</si>
  <si>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</si>
  <si>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</si>
  <si>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</si>
  <si>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</si>
  <si>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</si>
  <si>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</si>
  <si>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</si>
  <si>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</si>
  <si>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</si>
  <si>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</si>
  <si>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</si>
  <si>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</si>
  <si>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</si>
  <si>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</si>
  <si>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</si>
  <si>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</si>
  <si>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</si>
  <si>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</si>
  <si>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</si>
  <si>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</si>
  <si>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</si>
  <si>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</si>
  <si>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</si>
  <si>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</si>
  <si>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</si>
  <si>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</si>
  <si>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</si>
  <si>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</si>
  <si>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</si>
  <si>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</si>
  <si>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</si>
  <si>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</si>
  <si>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</si>
  <si>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</si>
  <si>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</si>
  <si>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</si>
  <si>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</si>
  <si>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</si>
  <si>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</si>
  <si>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</si>
  <si>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</si>
  <si>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</si>
  <si>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</si>
  <si>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</si>
  <si>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</si>
  <si>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</si>
  <si>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</si>
  <si>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</si>
  <si>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</si>
  <si>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</si>
  <si>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</si>
  <si>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</si>
  <si>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</si>
  <si>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</si>
  <si>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</si>
  <si>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</si>
  <si>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</si>
  <si>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</si>
  <si>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</si>
  <si>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</si>
  <si>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</si>
  <si>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</si>
  <si>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</si>
  <si>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</si>
  <si>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</si>
  <si>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</si>
  <si>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</si>
  <si>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</si>
  <si>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</si>
  <si>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</si>
  <si>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</si>
  <si>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</si>
  <si>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</si>
  <si>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</si>
  <si>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</si>
  <si>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</si>
  <si>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</si>
  <si>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</si>
  <si>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</si>
  <si>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</si>
  <si>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</si>
  <si>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</si>
  <si>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</si>
  <si>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</si>
  <si>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</si>
  <si>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</si>
  <si>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</si>
  <si>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</si>
  <si>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</si>
  <si>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</si>
  <si>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</si>
  <si>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</si>
  <si>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</si>
  <si>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</si>
  <si>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</si>
  <si>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</si>
  <si>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</si>
  <si>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</si>
  <si>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</si>
  <si>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</si>
  <si>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</si>
  <si>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</si>
  <si>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</si>
  <si>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</si>
  <si>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</si>
  <si>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</si>
  <si>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</si>
  <si>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</si>
  <si>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</si>
  <si>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</si>
  <si>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</si>
  <si>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</si>
  <si>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</si>
  <si>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</si>
  <si>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</si>
  <si>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</si>
  <si>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</si>
  <si>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</si>
  <si>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</si>
  <si>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</si>
  <si>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</si>
  <si>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</si>
  <si>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</si>
  <si>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</si>
  <si>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</si>
  <si>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</si>
  <si>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</si>
  <si>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</si>
  <si>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</si>
  <si>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</si>
  <si>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</si>
  <si>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</si>
  <si>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</si>
  <si>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</si>
  <si>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</si>
  <si>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</si>
  <si>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</si>
  <si>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</si>
  <si>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</si>
  <si>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</si>
  <si>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</si>
  <si>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</si>
  <si>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</si>
  <si>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</si>
  <si>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</si>
  <si>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</si>
  <si>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</si>
  <si>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</si>
  <si>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</si>
  <si>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</si>
  <si>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</si>
  <si>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</si>
  <si>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</si>
  <si>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</si>
  <si>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</si>
  <si>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</si>
  <si>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</si>
  <si>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</si>
  <si>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</si>
  <si>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</si>
  <si>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</si>
  <si>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</si>
  <si>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</si>
  <si>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</si>
  <si>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</si>
  <si>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</si>
  <si>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</si>
  <si>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</si>
  <si>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</si>
  <si>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</si>
  <si>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</si>
  <si>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</si>
  <si>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</si>
  <si>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</si>
  <si>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</si>
  <si>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</si>
  <si>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</si>
  <si>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</si>
  <si>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</si>
  <si>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</si>
  <si>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</si>
  <si>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</si>
  <si>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</si>
  <si>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</si>
  <si>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</si>
  <si>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</si>
  <si>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</si>
  <si>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</si>
  <si>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</si>
  <si>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</si>
  <si>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</si>
  <si>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</si>
  <si>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</si>
  <si>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</si>
  <si>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</si>
  <si>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</si>
  <si>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</si>
  <si>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</si>
  <si>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</si>
  <si>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</si>
  <si>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</si>
  <si>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</si>
  <si>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</si>
  <si>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</si>
  <si>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</si>
  <si>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</si>
  <si>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</si>
  <si>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</si>
  <si>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</si>
  <si>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</si>
  <si>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</si>
  <si>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</si>
  <si>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</si>
  <si>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</si>
  <si>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</si>
  <si>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</si>
  <si>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</si>
  <si>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</si>
  <si>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</si>
  <si>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</si>
  <si>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</si>
  <si>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</si>
  <si>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</si>
  <si>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</si>
  <si>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</si>
  <si>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</si>
  <si>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</si>
  <si>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</si>
  <si>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</si>
  <si>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</si>
  <si>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</si>
  <si>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</si>
  <si>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</si>
  <si>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</si>
  <si>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</si>
  <si>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</si>
  <si>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</si>
  <si>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</si>
  <si>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</si>
  <si>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</si>
  <si>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</si>
  <si>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</si>
  <si>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</si>
  <si>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</si>
  <si>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</si>
  <si>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</si>
  <si>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</si>
  <si>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</si>
  <si>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</si>
  <si>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</si>
  <si>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</si>
  <si>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</si>
  <si>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</si>
  <si>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</si>
  <si>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</si>
  <si>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</si>
  <si>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</si>
  <si>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</si>
  <si>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</si>
  <si>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</si>
  <si>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</si>
  <si>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</si>
  <si>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</si>
  <si>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</si>
  <si>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</si>
  <si>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</si>
  <si>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</si>
  <si>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</si>
  <si>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</si>
  <si>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</si>
  <si>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</si>
  <si>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</si>
  <si>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</si>
  <si>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</si>
  <si>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</si>
  <si>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</si>
  <si>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</si>
  <si>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</si>
  <si>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</si>
  <si>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</si>
  <si>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</si>
  <si>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</si>
  <si>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</si>
  <si>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</si>
  <si>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</si>
  <si>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</si>
  <si>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</si>
  <si>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</si>
  <si>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</si>
  <si>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</si>
  <si>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</si>
  <si>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</si>
  <si>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</si>
  <si>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</si>
  <si>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</si>
  <si>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</si>
  <si>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</si>
  <si>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</si>
  <si>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</si>
  <si>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</si>
  <si>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</si>
  <si>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</si>
  <si>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</si>
  <si>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</si>
  <si>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</si>
  <si>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</si>
  <si>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</si>
  <si>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</si>
  <si>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</si>
  <si>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</si>
  <si>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</si>
  <si>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</si>
  <si>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</si>
  <si>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</si>
  <si>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</si>
  <si>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</si>
  <si>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</si>
  <si>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</si>
  <si>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</si>
  <si>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</si>
  <si>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</si>
  <si>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</si>
  <si>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</si>
  <si>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</si>
  <si>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</si>
  <si>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</si>
  <si>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</si>
  <si>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</si>
  <si>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</si>
  <si>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</si>
  <si>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</si>
  <si>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</si>
  <si>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</si>
  <si>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</si>
  <si>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</si>
  <si>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</si>
  <si>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</si>
  <si>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</si>
  <si>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</si>
  <si>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</si>
  <si>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</si>
  <si>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</si>
  <si>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</si>
  <si>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</si>
  <si>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</si>
  <si>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</si>
  <si>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</si>
  <si>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</si>
  <si>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</si>
  <si>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</si>
  <si>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</si>
  <si>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</si>
  <si>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</si>
  <si>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</si>
  <si>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</si>
  <si>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</si>
  <si>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</si>
  <si>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</si>
  <si>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</si>
  <si>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</si>
  <si>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</si>
  <si>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</si>
  <si>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</si>
  <si>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</si>
  <si>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</si>
  <si>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</si>
  <si>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</si>
  <si>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</si>
  <si>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</si>
  <si>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</si>
  <si>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</si>
  <si>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</si>
  <si>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</si>
  <si>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</si>
  <si>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</si>
  <si>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</si>
  <si>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</si>
  <si>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</si>
  <si>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</si>
  <si>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</si>
  <si>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</si>
  <si>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</si>
  <si>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</si>
  <si>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</si>
  <si>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</si>
  <si>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</si>
  <si>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</si>
  <si>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</si>
  <si>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</si>
  <si>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</si>
  <si>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</si>
  <si>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</si>
  <si>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</si>
  <si>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</si>
  <si>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</si>
  <si>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</si>
  <si>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</si>
  <si>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</si>
  <si>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</si>
  <si>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</si>
  <si>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</si>
  <si>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</si>
  <si>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</si>
  <si>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</si>
  <si>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</si>
  <si>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</si>
  <si>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</si>
  <si>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</si>
  <si>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</si>
  <si>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</si>
  <si>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</si>
  <si>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</si>
  <si>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</si>
  <si>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</si>
  <si>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</si>
  <si>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</si>
  <si>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</si>
  <si>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</si>
  <si>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</si>
  <si>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</si>
  <si>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</si>
  <si>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</si>
  <si>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</si>
  <si>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</si>
  <si>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</si>
  <si>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</si>
  <si>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</si>
  <si>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</si>
  <si>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</si>
  <si>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</si>
  <si>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</si>
  <si>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</si>
  <si>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</si>
  <si>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</si>
  <si>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</si>
  <si>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</si>
  <si>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</si>
  <si>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</si>
  <si>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</si>
  <si>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</si>
  <si>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</si>
  <si>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</si>
  <si>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</si>
  <si>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</si>
  <si>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</si>
  <si>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</si>
  <si>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</si>
  <si>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</si>
  <si>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</si>
  <si>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</si>
  <si>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</si>
  <si>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</si>
  <si>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</si>
  <si>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</si>
  <si>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</si>
  <si>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</si>
  <si>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</si>
  <si>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</si>
  <si>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</si>
  <si>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</si>
  <si>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</si>
  <si>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</si>
  <si>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</si>
  <si>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</si>
  <si>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</si>
  <si>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</si>
  <si>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</si>
  <si>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</si>
  <si>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</si>
  <si>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</si>
  <si>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</si>
  <si>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</si>
  <si>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</si>
  <si>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</si>
  <si>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</si>
  <si>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</si>
  <si>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</si>
  <si>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</si>
  <si>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</si>
  <si>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</si>
  <si>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</si>
  <si>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</si>
  <si>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</si>
  <si>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</si>
  <si>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</si>
  <si>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</si>
  <si>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</si>
  <si>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</si>
  <si>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</si>
  <si>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</si>
  <si>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</si>
  <si>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</si>
  <si>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</si>
  <si>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</si>
  <si>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</si>
  <si>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</si>
  <si>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</si>
  <si>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</si>
  <si>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</si>
  <si>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</si>
  <si>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</si>
  <si>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</si>
  <si>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</si>
  <si>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</si>
  <si>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</si>
  <si>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</si>
  <si>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</si>
  <si>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</si>
  <si>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</si>
  <si>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</si>
  <si>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</si>
  <si>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</si>
  <si>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</si>
  <si>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</si>
  <si>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</si>
  <si>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</si>
  <si>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</si>
  <si>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</si>
  <si>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</si>
  <si>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</si>
  <si>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</si>
  <si>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</si>
  <si>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</si>
  <si>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</si>
  <si>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</si>
  <si>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</si>
  <si>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</si>
  <si>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</si>
  <si>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</si>
  <si>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</si>
  <si>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</si>
  <si>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</si>
  <si>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</si>
  <si>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</si>
  <si>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</si>
  <si>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</si>
  <si>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</si>
  <si>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</si>
  <si>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</si>
  <si>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</si>
  <si>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</si>
  <si>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</si>
  <si>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</si>
  <si>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</si>
  <si>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</si>
  <si>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</si>
  <si>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</si>
  <si>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</si>
  <si>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</si>
  <si>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</si>
  <si>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</si>
  <si>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</si>
  <si>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</si>
  <si>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</si>
  <si>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</si>
  <si>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</si>
  <si>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</si>
  <si>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</si>
  <si>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</si>
  <si>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</si>
  <si>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</si>
  <si>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</si>
  <si>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</si>
  <si>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</si>
  <si>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</si>
  <si>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</si>
  <si>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</si>
  <si>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</si>
  <si>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</si>
  <si>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</si>
  <si>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</si>
  <si>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</si>
  <si>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</si>
  <si>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</si>
  <si>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</si>
  <si>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</si>
  <si>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</si>
  <si>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</si>
  <si>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</si>
  <si>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</si>
  <si>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</si>
  <si>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</si>
  <si>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</si>
  <si>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</si>
  <si>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</si>
  <si>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</si>
  <si>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</si>
  <si>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</si>
  <si>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</si>
  <si>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</si>
  <si>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</si>
  <si>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</si>
  <si>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</si>
  <si>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</si>
  <si>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</si>
  <si>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</si>
  <si>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</si>
  <si>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</si>
  <si>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</si>
  <si>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</si>
  <si>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</si>
  <si>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</si>
  <si>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</si>
  <si>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</si>
  <si>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</si>
  <si>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</si>
  <si>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</si>
  <si>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</si>
  <si>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</si>
  <si>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</si>
  <si>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</si>
  <si>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</si>
  <si>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</si>
  <si>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</si>
  <si>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</si>
  <si>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</si>
  <si>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</si>
  <si>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</si>
  <si>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</si>
  <si>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</si>
  <si>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</si>
  <si>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</si>
  <si>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</si>
  <si>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</si>
  <si>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</si>
  <si>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</si>
  <si>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</si>
  <si>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</si>
  <si>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</si>
  <si>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</si>
  <si>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</si>
  <si>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</si>
  <si>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</si>
  <si>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</si>
  <si>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</si>
  <si>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</si>
  <si>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</si>
  <si>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</si>
  <si>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</si>
  <si>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</si>
  <si>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</si>
  <si>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</si>
  <si>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</si>
  <si>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</si>
  <si>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</si>
  <si>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</si>
  <si>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</si>
  <si>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</si>
  <si>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</si>
  <si>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</si>
  <si>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</si>
  <si>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</si>
  <si>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</si>
  <si>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</si>
  <si>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</si>
  <si>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</si>
  <si>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</si>
  <si>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</si>
  <si>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</si>
  <si>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</si>
  <si>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</si>
  <si>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</si>
  <si>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</si>
  <si>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</si>
  <si>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</si>
  <si>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</si>
  <si>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</si>
  <si>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</si>
  <si>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</si>
  <si>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</si>
  <si>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</si>
  <si>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</si>
  <si>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</si>
  <si>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</si>
  <si>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</si>
  <si>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</si>
  <si>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</si>
  <si>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</si>
  <si>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</si>
  <si>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</si>
  <si>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</si>
  <si>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</si>
  <si>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</si>
  <si>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</si>
  <si>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</si>
  <si>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</si>
  <si>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</si>
  <si>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</si>
  <si>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</si>
  <si>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</si>
  <si>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</si>
  <si>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</si>
  <si>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</si>
  <si>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</si>
  <si>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</si>
  <si>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</si>
  <si>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</si>
  <si>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</si>
  <si>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</si>
  <si>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</si>
  <si>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</si>
  <si>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</si>
  <si>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</si>
  <si>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</si>
  <si>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</si>
  <si>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</si>
  <si>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</si>
  <si>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</si>
  <si>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</si>
  <si>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</si>
  <si>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</si>
  <si>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</si>
  <si>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</si>
  <si>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</si>
  <si>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</si>
  <si>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</si>
  <si>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</si>
  <si>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</si>
  <si>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</si>
  <si>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</si>
  <si>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</si>
  <si>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</si>
  <si>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</si>
  <si>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</si>
  <si>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</si>
  <si>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</si>
  <si>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</si>
  <si>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</si>
  <si>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</si>
  <si>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</si>
  <si>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</si>
  <si>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</si>
  <si>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</si>
  <si>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</si>
  <si>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</si>
  <si>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</si>
  <si>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</si>
  <si>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</si>
  <si>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</si>
  <si>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</si>
  <si>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</si>
  <si>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</si>
  <si>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</si>
  <si>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</si>
  <si>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</si>
  <si>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</si>
  <si>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</si>
  <si>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</si>
  <si>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</si>
  <si>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</si>
  <si>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</si>
  <si>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</si>
  <si>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</si>
  <si>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</si>
  <si>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</si>
  <si>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</si>
  <si>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</si>
  <si>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</si>
  <si>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</si>
  <si>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</si>
  <si>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</si>
  <si>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</si>
  <si>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</si>
  <si>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</si>
  <si>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</si>
  <si>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</si>
  <si>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</si>
  <si>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</si>
  <si>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</si>
  <si>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</si>
  <si>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</si>
  <si>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</si>
  <si>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</si>
  <si>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</si>
  <si>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</si>
  <si>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</si>
  <si>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</si>
  <si>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</si>
  <si>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</si>
  <si>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</si>
  <si>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</si>
  <si>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</si>
  <si>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</si>
  <si>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</si>
  <si>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</si>
  <si>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</si>
  <si>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</si>
  <si>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</si>
  <si>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</si>
  <si>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</si>
  <si>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</si>
  <si>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</si>
  <si>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</si>
  <si>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</si>
  <si>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</si>
  <si>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</si>
  <si>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</si>
  <si>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</si>
  <si>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</si>
  <si>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</si>
  <si>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</si>
  <si>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</si>
  <si>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</si>
  <si>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</si>
  <si>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</si>
  <si>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</si>
  <si>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</si>
  <si>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</si>
  <si>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</si>
  <si>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</si>
  <si>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</si>
  <si>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</si>
  <si>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</si>
  <si>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</si>
  <si>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</si>
  <si>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</si>
  <si>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</si>
  <si>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</si>
  <si>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</si>
  <si>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</si>
  <si>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</si>
  <si>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</si>
  <si>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</si>
  <si>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</si>
  <si>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</si>
  <si>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</si>
  <si>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</si>
  <si>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</si>
  <si>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</si>
  <si>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</si>
  <si>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</si>
  <si>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</si>
  <si>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</si>
  <si>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</si>
  <si>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</si>
  <si>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</si>
  <si>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</si>
  <si>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</si>
  <si>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</si>
  <si>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</si>
  <si>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</si>
  <si>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</si>
  <si>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</si>
  <si>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</si>
  <si>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</si>
  <si>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</si>
  <si>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</si>
  <si>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</si>
  <si>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</si>
  <si>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</si>
  <si>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</si>
  <si>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</si>
  <si>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</si>
  <si>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</si>
  <si>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</si>
  <si>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</si>
  <si>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</si>
  <si>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</si>
  <si>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</si>
  <si>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</si>
  <si>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</si>
  <si>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</si>
  <si>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</si>
  <si>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</si>
  <si>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</si>
  <si>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</si>
  <si>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</si>
  <si>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</si>
  <si>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</si>
  <si>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</si>
  <si>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</si>
  <si>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</si>
  <si>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</si>
  <si>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</si>
  <si>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</si>
  <si>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</si>
  <si>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</si>
  <si>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</si>
  <si>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</si>
  <si>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</si>
  <si>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</si>
  <si>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</si>
  <si>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</si>
  <si>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</si>
  <si>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</si>
  <si>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</si>
  <si>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</si>
  <si>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</si>
  <si>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</si>
  <si>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</si>
  <si>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</si>
  <si>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</si>
  <si>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</si>
  <si>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</si>
  <si>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</si>
  <si>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</si>
  <si>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</si>
  <si>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</si>
  <si>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</si>
  <si>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</si>
  <si>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</si>
  <si>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</si>
  <si>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</si>
  <si>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</si>
  <si>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</si>
  <si>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</si>
  <si>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</si>
  <si>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</si>
  <si>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</si>
  <si>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</si>
  <si>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</si>
  <si>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</si>
  <si>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</si>
  <si>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</si>
  <si>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</si>
  <si>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</si>
  <si>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</si>
  <si>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</si>
  <si>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</si>
  <si>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</si>
  <si>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</si>
  <si>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</si>
  <si>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</si>
  <si>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</si>
  <si>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</si>
  <si>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</si>
  <si>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</si>
  <si>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</si>
  <si>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</si>
  <si>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</si>
  <si>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</si>
  <si>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</si>
  <si>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</si>
  <si>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</si>
  <si>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</si>
  <si>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</si>
  <si>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</si>
  <si>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</si>
  <si>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</si>
  <si>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</si>
  <si>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</si>
  <si>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</si>
  <si>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</si>
  <si>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</si>
  <si>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</si>
  <si>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</si>
  <si>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</si>
  <si>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</si>
  <si>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</si>
  <si>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</si>
  <si>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</si>
  <si>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</si>
  <si>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</si>
  <si>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</si>
  <si>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</si>
  <si>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</si>
  <si>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</si>
  <si>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</si>
  <si>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</si>
  <si>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</si>
  <si>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</si>
  <si>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</si>
  <si>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</si>
  <si>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</si>
  <si>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</si>
  <si>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</si>
  <si>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</si>
  <si>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</si>
  <si>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</si>
  <si>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</si>
  <si>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</si>
  <si>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</si>
  <si>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</si>
  <si>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</si>
  <si>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</si>
  <si>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</si>
  <si>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</si>
  <si>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</si>
  <si>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</si>
  <si>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</si>
  <si>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</si>
  <si>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</si>
  <si>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</si>
  <si>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</si>
  <si>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</si>
  <si>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</si>
  <si>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</si>
  <si>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</si>
  <si>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</si>
  <si>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</si>
  <si>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</si>
  <si>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</si>
  <si>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</si>
  <si>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</si>
  <si>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</si>
  <si>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</si>
  <si>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</si>
  <si>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</si>
  <si>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</si>
  <si>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</si>
  <si>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</si>
  <si>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</si>
  <si>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</si>
  <si>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</si>
  <si>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</si>
  <si>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</si>
  <si>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</si>
  <si>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</si>
  <si>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</si>
  <si>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</si>
  <si>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</si>
  <si>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</si>
  <si>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</si>
  <si>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</si>
  <si>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</si>
  <si>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</si>
  <si>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</si>
  <si>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</si>
  <si>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</si>
  <si>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</si>
  <si>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</si>
  <si>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</si>
  <si>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</si>
  <si>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</si>
  <si>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</si>
  <si>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</si>
  <si>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</si>
  <si>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</si>
  <si>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</si>
  <si>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</si>
  <si>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</si>
  <si>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</si>
  <si>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</si>
  <si>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</si>
  <si>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</si>
  <si>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</si>
  <si>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</si>
  <si>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</si>
  <si>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</si>
  <si>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</si>
  <si>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</si>
  <si>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</si>
  <si>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</si>
  <si>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</si>
  <si>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</si>
  <si>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</si>
  <si>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</si>
  <si>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</si>
  <si>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</si>
  <si>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</si>
  <si>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</si>
  <si>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</si>
  <si>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</si>
  <si>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</si>
  <si>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</si>
  <si>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</si>
  <si>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</si>
  <si>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</si>
  <si>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</si>
  <si>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</si>
  <si>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</si>
  <si>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</si>
  <si>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</si>
  <si>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</si>
  <si>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</si>
  <si>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</si>
  <si>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</si>
  <si>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</si>
  <si>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</si>
  <si>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</si>
  <si>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</si>
  <si>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</si>
  <si>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</si>
  <si>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</si>
  <si>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</si>
  <si>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</si>
  <si>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</si>
  <si>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</si>
  <si>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</si>
  <si>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</si>
  <si>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</si>
  <si>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</si>
  <si>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</si>
  <si>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</si>
  <si>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</si>
  <si>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</si>
  <si>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</si>
  <si>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</si>
  <si>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</si>
  <si>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</si>
  <si>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</si>
  <si>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</si>
  <si>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</si>
  <si>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</si>
  <si>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</si>
  <si>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</si>
  <si>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</si>
  <si>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</si>
  <si>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</si>
  <si>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</si>
  <si>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</si>
  <si>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</si>
  <si>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</si>
  <si>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</si>
  <si>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</si>
  <si>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</si>
  <si>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</si>
  <si>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</si>
  <si>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</si>
  <si>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</si>
  <si>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</si>
  <si>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</si>
  <si>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</si>
  <si>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</si>
  <si>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</si>
  <si>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</si>
  <si>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</si>
  <si>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</si>
  <si>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</si>
  <si>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</si>
  <si>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</si>
  <si>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</si>
  <si>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</si>
  <si>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</si>
  <si>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</si>
  <si>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</si>
  <si>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</si>
  <si>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</si>
  <si>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</si>
  <si>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</si>
  <si>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</si>
  <si>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</si>
  <si>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</si>
  <si>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</si>
  <si>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</si>
  <si>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</si>
  <si>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</si>
  <si>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</si>
  <si>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</si>
  <si>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</si>
  <si>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</si>
  <si>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</si>
  <si>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</si>
  <si>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</si>
  <si>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</si>
  <si>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</si>
  <si>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</si>
  <si>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</si>
  <si>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</si>
  <si>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</si>
  <si>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</si>
  <si>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</si>
  <si>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</si>
  <si>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</si>
  <si>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</si>
  <si>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</si>
  <si>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</si>
  <si>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</si>
  <si>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</si>
  <si>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</si>
  <si>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</si>
  <si>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</si>
  <si>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</si>
  <si>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</si>
  <si>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</si>
  <si>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</si>
  <si>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</si>
  <si>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</si>
  <si>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</si>
  <si>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</si>
  <si>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</si>
  <si>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</si>
  <si>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</si>
  <si>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</si>
  <si>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</si>
  <si>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</si>
  <si>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</si>
  <si>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</si>
  <si>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</si>
  <si>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</si>
  <si>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</si>
  <si>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</si>
  <si>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</si>
  <si>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</si>
  <si>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</si>
  <si>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</si>
  <si>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</si>
  <si>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</si>
  <si>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</si>
  <si>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</si>
  <si>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</si>
  <si>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</si>
  <si>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</si>
  <si>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</si>
  <si>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</si>
  <si>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</si>
  <si>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</si>
  <si>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</si>
  <si>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</si>
  <si>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</si>
  <si>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</si>
  <si>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</si>
  <si>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</si>
  <si>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</si>
  <si>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</si>
  <si>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</si>
  <si>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</si>
  <si>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</si>
  <si>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</si>
  <si>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</si>
  <si>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</si>
  <si>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</si>
  <si>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</si>
  <si>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</si>
  <si>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</si>
  <si>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</si>
  <si>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</si>
  <si>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</si>
  <si>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</si>
  <si>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</si>
  <si>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</si>
  <si>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</si>
  <si>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</si>
  <si>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</si>
  <si>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</si>
  <si>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</si>
  <si>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</si>
  <si>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</si>
  <si>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</si>
  <si>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</si>
  <si>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</si>
  <si>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</si>
  <si>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</si>
  <si>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</si>
  <si>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</si>
  <si>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</si>
  <si>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</si>
  <si>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</si>
  <si>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</si>
  <si>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</si>
  <si>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</si>
  <si>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</si>
  <si>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</si>
  <si>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</si>
  <si>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</si>
  <si>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</si>
  <si>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</si>
  <si>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</si>
  <si>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</si>
  <si>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</si>
  <si>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</si>
  <si>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</si>
  <si>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</si>
  <si>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</si>
  <si>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</si>
  <si>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</si>
  <si>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</si>
  <si>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</si>
  <si>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</si>
  <si>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</si>
  <si>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</si>
  <si>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</si>
  <si>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</si>
  <si>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</si>
  <si>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</si>
  <si>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</si>
  <si>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</si>
  <si>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</si>
  <si>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</si>
  <si>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</si>
  <si>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</si>
  <si>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</si>
  <si>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</si>
  <si>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</si>
  <si>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</si>
  <si>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</si>
  <si>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</si>
  <si>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</si>
  <si>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</si>
  <si>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</si>
  <si>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</si>
  <si>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</si>
  <si>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</si>
  <si>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</si>
  <si>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</si>
  <si>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</si>
  <si>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</si>
  <si>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</si>
  <si>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</si>
  <si>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</si>
  <si>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</si>
  <si>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</si>
  <si>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</si>
  <si>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</si>
  <si>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</si>
  <si>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</si>
  <si>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</si>
  <si>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</si>
  <si>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</si>
  <si>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</si>
  <si>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</si>
  <si>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</si>
  <si>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</si>
  <si>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</si>
  <si>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</si>
  <si>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</si>
  <si>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</si>
  <si>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</si>
  <si>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</si>
  <si>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</si>
  <si>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</si>
  <si>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</si>
  <si>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</si>
  <si>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</si>
  <si>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</si>
  <si>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</si>
  <si>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</si>
  <si>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</si>
  <si>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</si>
  <si>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</si>
  <si>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</si>
  <si>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</si>
  <si>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</si>
  <si>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</si>
  <si>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</si>
  <si>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</si>
  <si>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</si>
  <si>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</si>
  <si>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</si>
  <si>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</si>
  <si>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</si>
  <si>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</si>
  <si>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</si>
  <si>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</si>
  <si>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</si>
  <si>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</si>
  <si>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</si>
  <si>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</si>
  <si>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</si>
  <si>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</si>
  <si>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</si>
  <si>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</si>
  <si>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</si>
  <si>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</si>
  <si>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</si>
  <si>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</si>
  <si>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</si>
  <si>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</si>
  <si>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</si>
  <si>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</si>
  <si>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</si>
  <si>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</si>
  <si>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</si>
  <si>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</si>
  <si>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</si>
  <si>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</si>
  <si>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</si>
  <si>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</si>
  <si>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</si>
  <si>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</si>
  <si>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</si>
  <si>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</si>
  <si>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</si>
  <si>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</si>
  <si>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</si>
  <si>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</si>
  <si>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</si>
  <si>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</si>
  <si>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</si>
  <si>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</si>
  <si>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</si>
  <si>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</si>
  <si>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</si>
  <si>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</si>
  <si>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</si>
  <si>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</si>
  <si>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</si>
  <si>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</si>
  <si>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</si>
  <si>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</si>
  <si>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</si>
  <si>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</si>
  <si>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</si>
  <si>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</si>
  <si>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</si>
  <si>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</si>
  <si>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</si>
  <si>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</si>
  <si>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</si>
  <si>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</si>
  <si>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</si>
  <si>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</si>
  <si>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</si>
  <si>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</si>
  <si>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</si>
  <si>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</si>
  <si>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</si>
  <si>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</si>
  <si>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</si>
  <si>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</si>
  <si>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</si>
  <si>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</si>
  <si>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</si>
  <si>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</si>
  <si>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</si>
  <si>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</si>
  <si>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</si>
  <si>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</si>
  <si>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</si>
  <si>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</si>
  <si>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</si>
  <si>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</si>
  <si>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</si>
  <si>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</si>
  <si>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</si>
  <si>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</si>
  <si>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</si>
  <si>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</si>
  <si>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</si>
  <si>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</si>
  <si>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</si>
  <si>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</si>
  <si>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</si>
  <si>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</si>
  <si>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</si>
  <si>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</si>
  <si>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</si>
  <si>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</si>
  <si>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</si>
  <si>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</si>
  <si>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</si>
  <si>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</si>
  <si>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</si>
  <si>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</si>
  <si>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</si>
  <si>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</si>
  <si>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</si>
  <si>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</si>
  <si>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</si>
  <si>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</si>
  <si>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</si>
  <si>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</si>
  <si>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</si>
  <si>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</si>
  <si>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</si>
  <si>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</si>
  <si>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</si>
  <si>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</si>
  <si>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</si>
  <si>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</si>
  <si>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</si>
  <si>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</si>
  <si>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</si>
  <si>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</si>
  <si>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</si>
  <si>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</si>
  <si>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</si>
  <si>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</si>
  <si>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</si>
  <si>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</si>
  <si>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</si>
  <si>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</si>
  <si>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</si>
  <si>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</si>
  <si>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</si>
  <si>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</si>
  <si>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</si>
  <si>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</si>
  <si>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</si>
  <si>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</si>
  <si>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</si>
  <si>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</si>
  <si>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</si>
  <si>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</si>
  <si>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</si>
  <si>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</si>
  <si>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</si>
  <si>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</si>
  <si>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</si>
  <si>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</si>
  <si>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</si>
  <si>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</si>
  <si>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</si>
  <si>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</si>
  <si>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</si>
  <si>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</si>
  <si>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</si>
  <si>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</si>
  <si>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</si>
  <si>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</si>
  <si>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</si>
  <si>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</si>
  <si>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</si>
  <si>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</si>
  <si>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</si>
  <si>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</si>
  <si>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</si>
  <si>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</si>
  <si>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</si>
  <si>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</si>
  <si>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</si>
  <si>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</si>
  <si>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</si>
  <si>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</si>
  <si>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</si>
  <si>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</si>
  <si>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</si>
  <si>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</si>
  <si>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</si>
  <si>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</si>
  <si>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</si>
  <si>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</si>
  <si>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</si>
  <si>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</si>
  <si>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</si>
  <si>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</si>
  <si>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</si>
  <si>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</si>
  <si>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</si>
  <si>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</si>
  <si>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</si>
  <si>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</si>
  <si>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</si>
  <si>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</si>
  <si>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</si>
  <si>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</si>
  <si>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</si>
  <si>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</si>
  <si>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</si>
  <si>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</si>
  <si>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</si>
  <si>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</si>
  <si>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</si>
  <si>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</si>
  <si>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</si>
  <si>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</si>
  <si>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</si>
  <si>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</si>
  <si>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</si>
  <si>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</si>
  <si>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</si>
  <si>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</si>
  <si>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</si>
  <si>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</si>
  <si>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</si>
  <si>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</si>
  <si>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</si>
  <si>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</si>
  <si>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</si>
  <si>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</si>
  <si>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</si>
  <si>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</si>
  <si>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</si>
  <si>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</si>
  <si>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</si>
  <si>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</si>
  <si>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</si>
  <si>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</si>
  <si>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</si>
  <si>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</si>
  <si>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</si>
  <si>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</si>
  <si>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</si>
  <si>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</si>
  <si>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</si>
  <si>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</si>
  <si>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</si>
  <si>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</si>
  <si>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</si>
  <si>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</si>
  <si>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</si>
  <si>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</si>
  <si>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</si>
  <si>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</si>
  <si>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</si>
  <si>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</si>
  <si>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</si>
  <si>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</si>
  <si>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</si>
  <si>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</si>
  <si>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</si>
  <si>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</si>
  <si>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</si>
  <si>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</si>
  <si>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</si>
  <si>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</si>
  <si>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</si>
  <si>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</si>
  <si>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</si>
  <si>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</si>
  <si>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</si>
  <si>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</si>
  <si>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</si>
  <si>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</si>
  <si>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</si>
  <si>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</si>
  <si>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</si>
  <si>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</si>
  <si>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</si>
  <si>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</si>
  <si>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</si>
  <si>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</si>
  <si>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</si>
  <si>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</si>
  <si>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</si>
  <si>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</si>
  <si>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</si>
  <si>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</si>
  <si>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</si>
  <si>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</si>
  <si>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</si>
  <si>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</si>
  <si>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</si>
  <si>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</si>
  <si>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</si>
  <si>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</si>
  <si>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</si>
  <si>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</si>
  <si>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</si>
  <si>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</si>
  <si>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</si>
  <si>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</si>
  <si>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</si>
  <si>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</si>
  <si>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</si>
  <si>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</si>
  <si>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</si>
  <si>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</si>
  <si>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</si>
  <si>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</si>
  <si>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</si>
  <si>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</si>
  <si>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</si>
  <si>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</si>
  <si>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</si>
  <si>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</si>
  <si>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</si>
  <si>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</si>
  <si>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</si>
  <si>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</si>
  <si>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</si>
  <si>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</si>
  <si>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</si>
  <si>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</si>
  <si>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</si>
  <si>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</si>
  <si>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</si>
  <si>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</si>
  <si>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</si>
  <si>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</si>
  <si>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</si>
  <si>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</si>
  <si>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</si>
  <si>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</si>
  <si>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</si>
  <si>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</si>
  <si>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</si>
  <si>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</si>
  <si>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</si>
  <si>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</si>
  <si>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</si>
  <si>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</si>
  <si>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</si>
  <si>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</si>
  <si>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</si>
  <si>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</si>
  <si>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</si>
  <si>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</si>
  <si>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</si>
  <si>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</si>
  <si>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</si>
  <si>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</si>
  <si>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</si>
  <si>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</si>
  <si>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</si>
  <si>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</si>
  <si>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</si>
  <si>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</si>
  <si>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</si>
  <si>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</si>
  <si>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</si>
  <si>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</si>
  <si>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</si>
  <si>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</si>
  <si>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</si>
  <si>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</si>
  <si>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</si>
  <si>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</si>
  <si>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</si>
  <si>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</si>
  <si>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</si>
  <si>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</si>
  <si>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</si>
  <si>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</si>
  <si>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</si>
  <si>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</si>
  <si>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</si>
  <si>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</si>
  <si>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</si>
  <si>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</si>
  <si>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</si>
  <si>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</si>
  <si>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</si>
  <si>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</si>
  <si>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</si>
  <si>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</si>
  <si>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</si>
  <si>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</si>
  <si>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</si>
  <si>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</si>
  <si>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</si>
  <si>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</si>
  <si>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</si>
  <si>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</si>
  <si>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</si>
  <si>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</si>
  <si>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</si>
  <si>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</si>
  <si>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</si>
  <si>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</si>
  <si>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</si>
  <si>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</si>
  <si>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</si>
  <si>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</si>
  <si>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</si>
  <si>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</si>
  <si>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</si>
  <si>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</si>
  <si>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</si>
  <si>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</si>
  <si>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</si>
  <si>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</si>
  <si>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</si>
  <si>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</si>
  <si>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</si>
  <si>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</si>
  <si>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</si>
  <si>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</si>
  <si>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</si>
  <si>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</si>
  <si>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</si>
  <si>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</si>
  <si>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</si>
  <si>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</si>
  <si>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</si>
  <si>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</si>
  <si>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</si>
  <si>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</si>
  <si>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</si>
  <si>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</si>
  <si>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</si>
  <si>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</si>
  <si>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</si>
  <si>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</si>
  <si>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</si>
  <si>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</si>
  <si>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</si>
  <si>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</si>
  <si>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</si>
  <si>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</si>
  <si>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</si>
  <si>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</si>
  <si>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</si>
  <si>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</si>
  <si>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</si>
  <si>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</si>
  <si>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</si>
  <si>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</si>
  <si>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</si>
  <si>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</si>
  <si>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</si>
  <si>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</si>
  <si>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</si>
  <si>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</si>
  <si>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</si>
  <si>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</si>
  <si>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</si>
  <si>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</si>
  <si>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</si>
  <si>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</si>
  <si>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</si>
  <si>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</si>
  <si>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</si>
  <si>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</si>
  <si>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</si>
  <si>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</si>
  <si>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</si>
  <si>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</si>
  <si>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</si>
  <si>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</si>
  <si>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</si>
  <si>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</si>
  <si>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</si>
  <si>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</si>
  <si>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</si>
  <si>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</si>
  <si>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</si>
  <si>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</si>
  <si>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</si>
  <si>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</si>
  <si>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</si>
  <si>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</si>
  <si>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</si>
  <si>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</si>
  <si>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</si>
  <si>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</si>
  <si>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</si>
  <si>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</si>
  <si>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</si>
  <si>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</si>
  <si>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</si>
  <si>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</si>
  <si>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</si>
  <si>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</si>
  <si>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</si>
  <si>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</si>
  <si>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</si>
  <si>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</si>
  <si>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</si>
  <si>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</si>
  <si>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</si>
  <si>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</si>
  <si>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</si>
  <si>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</si>
  <si>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</si>
  <si>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</si>
  <si>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</si>
  <si>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</si>
  <si>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</si>
  <si>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</si>
  <si>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</si>
  <si>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</si>
  <si>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</si>
  <si>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</si>
  <si>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</si>
  <si>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</si>
  <si>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</si>
  <si>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</si>
  <si>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</si>
  <si>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</si>
  <si>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</si>
  <si>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</si>
  <si>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</si>
  <si>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</si>
  <si>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</si>
  <si>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</si>
  <si>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</si>
  <si>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</si>
  <si>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</si>
  <si>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</si>
  <si>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</si>
  <si>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</si>
  <si>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</si>
  <si>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</si>
  <si>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</si>
  <si>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</si>
  <si>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</si>
  <si>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</si>
  <si>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</si>
  <si>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</si>
  <si>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</si>
  <si>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</si>
  <si>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</si>
  <si>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</si>
  <si>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</si>
  <si>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</si>
  <si>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</si>
  <si>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</si>
  <si>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</si>
  <si>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</si>
  <si>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</si>
  <si>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</si>
  <si>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</si>
  <si>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</si>
  <si>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</si>
  <si>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</si>
  <si>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</si>
  <si>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</si>
  <si>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</si>
  <si>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</si>
  <si>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</si>
  <si>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</si>
  <si>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</si>
  <si>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</si>
  <si>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</si>
  <si>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</si>
  <si>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</si>
  <si>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</si>
  <si>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</si>
  <si>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</si>
  <si>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</si>
  <si>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</si>
  <si>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</si>
  <si>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</si>
  <si>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</si>
  <si>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</si>
  <si>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</si>
  <si>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</si>
  <si>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</si>
  <si>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</si>
  <si>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</si>
  <si>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</si>
  <si>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</si>
  <si>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</si>
  <si>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</si>
  <si>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</si>
  <si>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</si>
  <si>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</si>
  <si>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</si>
  <si>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</si>
  <si>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</si>
  <si>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</si>
  <si>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</si>
  <si>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</si>
  <si>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</si>
  <si>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</si>
  <si>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</si>
  <si>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</si>
  <si>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</si>
  <si>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</si>
  <si>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</si>
  <si>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</si>
  <si>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</si>
  <si>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</si>
  <si>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</si>
  <si>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</si>
  <si>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</si>
  <si>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</si>
  <si>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</si>
  <si>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</si>
  <si>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</si>
  <si>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</si>
  <si>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</si>
  <si>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</si>
  <si>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</si>
  <si>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</si>
  <si>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</si>
  <si>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</si>
  <si>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</si>
  <si>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</si>
  <si>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</si>
  <si>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</si>
  <si>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</si>
  <si>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</si>
  <si>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</si>
  <si>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</si>
  <si>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</si>
  <si>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</si>
  <si>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</si>
  <si>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</si>
  <si>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</si>
  <si>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</si>
  <si>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</si>
  <si>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</si>
  <si>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</si>
  <si>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</si>
  <si>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</si>
  <si>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</si>
  <si>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</si>
  <si>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</si>
  <si>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</si>
  <si>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</si>
  <si>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</si>
  <si>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</si>
  <si>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</si>
  <si>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</si>
  <si>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</si>
  <si>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</si>
  <si>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</si>
  <si>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</si>
  <si>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</si>
  <si>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</si>
  <si>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</si>
  <si>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</si>
  <si>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</si>
  <si>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</si>
  <si>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</si>
  <si>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</si>
  <si>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</si>
  <si>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</si>
  <si>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</si>
  <si>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</si>
  <si>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</si>
  <si>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</si>
  <si>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</si>
  <si>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</si>
  <si>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</si>
  <si>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</si>
  <si>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</si>
  <si>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</si>
  <si>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</si>
  <si>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</si>
  <si>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</si>
  <si>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</si>
  <si>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</si>
  <si>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</si>
  <si>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</si>
  <si>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</si>
  <si>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</si>
  <si>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</si>
  <si>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</si>
  <si>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</si>
  <si>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</si>
  <si>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</si>
  <si>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</si>
  <si>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</si>
  <si>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</si>
  <si>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</si>
  <si>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</si>
  <si>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</si>
  <si>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</si>
  <si>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</si>
  <si>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</si>
  <si>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</si>
  <si>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</si>
  <si>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</si>
  <si>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</si>
  <si>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</si>
  <si>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</si>
  <si>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</si>
  <si>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</si>
  <si>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</si>
  <si>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</si>
  <si>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</si>
  <si>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</si>
  <si>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</si>
  <si>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</si>
  <si>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</si>
  <si>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</si>
  <si>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</si>
  <si>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</si>
  <si>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</si>
  <si>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</si>
  <si>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</si>
  <si>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</si>
  <si>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</si>
  <si>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</si>
  <si>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</si>
  <si>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</si>
  <si>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</si>
  <si>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</si>
  <si>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</si>
  <si>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</si>
  <si>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</si>
  <si>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</si>
  <si>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</si>
  <si>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</si>
  <si>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</si>
  <si>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</si>
  <si>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</si>
  <si>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</si>
  <si>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</si>
  <si>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</si>
  <si>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</si>
  <si>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</si>
  <si>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</si>
  <si>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</si>
  <si>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</si>
  <si>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</si>
  <si>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</si>
  <si>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</si>
  <si>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</si>
  <si>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</si>
  <si>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</si>
  <si>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</si>
  <si>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</si>
  <si>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</si>
  <si>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</si>
  <si>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</si>
  <si>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</si>
  <si>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</si>
  <si>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</si>
  <si>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</si>
  <si>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</si>
  <si>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</si>
  <si>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</si>
  <si>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</si>
  <si>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</si>
  <si>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</si>
  <si>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</si>
  <si>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</si>
  <si>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</si>
  <si>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</si>
  <si>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</si>
  <si>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</si>
  <si>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</si>
  <si>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</si>
  <si>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</si>
  <si>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</si>
  <si>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</si>
  <si>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</si>
  <si>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</si>
  <si>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</si>
  <si>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</si>
  <si>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</si>
  <si>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</si>
  <si>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</si>
  <si>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</si>
  <si>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</si>
  <si>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</si>
  <si>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</si>
  <si>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</si>
  <si>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</si>
  <si>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</si>
  <si>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</si>
  <si>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</si>
  <si>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</si>
  <si>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</si>
  <si>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</si>
  <si>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</si>
  <si>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</si>
  <si>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</si>
  <si>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</si>
  <si>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</si>
  <si>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</si>
  <si>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</si>
  <si>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</si>
  <si>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</si>
  <si>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</si>
  <si>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</si>
  <si>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</si>
  <si>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</si>
  <si>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</si>
  <si>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</si>
  <si>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</si>
  <si>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</si>
  <si>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</si>
  <si>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</si>
  <si>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</si>
  <si>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</si>
  <si>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</si>
  <si>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</si>
  <si>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</si>
  <si>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</si>
  <si>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</si>
  <si>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</si>
  <si>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</si>
  <si>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</si>
  <si>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</si>
  <si>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</si>
  <si>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</si>
  <si>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</si>
  <si>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</si>
  <si>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</si>
  <si>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</si>
  <si>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</si>
  <si>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</si>
  <si>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</si>
  <si>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</si>
  <si>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</si>
  <si>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</si>
  <si>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</si>
  <si>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</si>
  <si>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</si>
  <si>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</si>
  <si>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</si>
  <si>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</si>
  <si>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</si>
  <si>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</si>
  <si>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</si>
  <si>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</si>
  <si>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</si>
  <si>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</si>
  <si>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</si>
  <si>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</si>
  <si>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</si>
  <si>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</si>
  <si>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</si>
  <si>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</si>
  <si>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</si>
  <si>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</si>
  <si>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</si>
  <si>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</si>
  <si>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</si>
  <si>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</si>
  <si>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</si>
  <si>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</si>
  <si>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</si>
  <si>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</si>
  <si>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</si>
  <si>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</si>
  <si>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</si>
  <si>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</si>
  <si>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</si>
  <si>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</si>
  <si>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</si>
  <si>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</si>
  <si>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</si>
  <si>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</si>
  <si>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</si>
  <si>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</si>
  <si>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</si>
  <si>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</si>
  <si>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</si>
  <si>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</si>
  <si>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</si>
  <si>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</si>
  <si>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</si>
  <si>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</si>
  <si>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</si>
  <si>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</si>
  <si>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</si>
  <si>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</si>
  <si>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</si>
  <si>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</si>
  <si>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</si>
  <si>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</si>
  <si>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</si>
  <si>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</si>
  <si>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</si>
  <si>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</si>
  <si>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</si>
  <si>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</si>
  <si>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</si>
  <si>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</si>
  <si>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</si>
  <si>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</si>
  <si>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</si>
  <si>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</si>
  <si>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</si>
  <si>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</si>
  <si>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</si>
  <si>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</si>
  <si>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</si>
  <si>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</si>
  <si>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</si>
  <si>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</si>
  <si>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</si>
  <si>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</si>
  <si>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</si>
  <si>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</si>
  <si>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</si>
  <si>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</si>
  <si>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</si>
  <si>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</si>
  <si>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</si>
  <si>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</si>
  <si>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</si>
  <si>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</si>
  <si>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</si>
  <si>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</si>
  <si>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</si>
  <si>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</si>
  <si>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</si>
  <si>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</si>
  <si>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</si>
  <si>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</si>
  <si>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</si>
  <si>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</si>
  <si>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</si>
  <si>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</si>
  <si>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</si>
  <si>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</si>
  <si>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</si>
  <si>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</si>
  <si>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</si>
  <si>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</si>
  <si>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</si>
  <si>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</si>
  <si>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</si>
  <si>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</si>
  <si>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</si>
  <si>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</si>
  <si>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</si>
  <si>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</si>
  <si>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</si>
  <si>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</si>
  <si>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</si>
  <si>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</si>
  <si>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</si>
  <si>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</si>
  <si>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</si>
  <si>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</si>
  <si>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</si>
  <si>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</si>
  <si>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</si>
  <si>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</si>
  <si>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</si>
  <si>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</si>
  <si>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</si>
  <si>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</si>
  <si>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</si>
  <si>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</si>
  <si>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</si>
  <si>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</si>
  <si>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</si>
  <si>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</si>
  <si>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</si>
  <si>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</si>
  <si>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</si>
  <si>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</si>
  <si>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</si>
  <si>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</si>
  <si>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</si>
  <si>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</si>
  <si>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</si>
  <si>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</si>
  <si>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</si>
  <si>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</si>
  <si>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</si>
  <si>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</si>
  <si>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</si>
  <si>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</si>
  <si>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</si>
  <si>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</si>
  <si>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</si>
  <si>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</si>
  <si>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</si>
  <si>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</si>
  <si>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</si>
  <si>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</si>
  <si>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</si>
  <si>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</si>
  <si>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</si>
  <si>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</si>
  <si>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</si>
  <si>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</si>
  <si>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</si>
  <si>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</si>
  <si>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</si>
  <si>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</si>
  <si>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</si>
  <si>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</si>
  <si>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</si>
  <si>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</si>
  <si>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</si>
  <si>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</si>
  <si>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</si>
  <si>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</si>
  <si>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</si>
  <si>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</si>
  <si>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</si>
  <si>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</si>
  <si>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</si>
  <si>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</si>
  <si>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</si>
  <si>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</si>
  <si>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</si>
  <si>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</si>
  <si>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</si>
  <si>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</si>
  <si>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</si>
  <si>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</si>
  <si>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</si>
  <si>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</si>
  <si>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</si>
  <si>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</si>
  <si>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</si>
  <si>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</si>
  <si>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</si>
  <si>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</si>
  <si>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</si>
  <si>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</si>
  <si>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</si>
  <si>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</si>
  <si>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</si>
  <si>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</si>
  <si>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</si>
  <si>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</si>
  <si>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</si>
  <si>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</si>
  <si>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</si>
  <si>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</si>
  <si>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</si>
  <si>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</si>
  <si>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</si>
  <si>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</si>
  <si>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</si>
  <si>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</si>
  <si>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</si>
  <si>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</si>
  <si>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</si>
  <si>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</si>
  <si>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</si>
  <si>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</si>
  <si>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</si>
  <si>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</si>
  <si>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</si>
  <si>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</si>
  <si>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</si>
  <si>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</si>
  <si>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</si>
  <si>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</si>
  <si>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</si>
  <si>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</si>
  <si>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</si>
  <si>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</si>
  <si>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</si>
  <si>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</si>
  <si>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</si>
  <si>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</si>
  <si>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</si>
  <si>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</si>
  <si>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</si>
  <si>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</si>
  <si>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</si>
  <si>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</si>
  <si>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</si>
  <si>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</si>
  <si>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</si>
  <si>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</si>
  <si>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</si>
  <si>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</si>
  <si>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</si>
  <si>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</si>
  <si>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</si>
  <si>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</si>
  <si>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</si>
  <si>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</si>
  <si>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</si>
  <si>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</si>
  <si>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</si>
  <si>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</si>
  <si>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</si>
  <si>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</si>
  <si>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</si>
  <si>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</si>
  <si>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</si>
  <si>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</si>
  <si>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</si>
  <si>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</si>
  <si>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</si>
  <si>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</si>
  <si>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</si>
  <si>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</si>
  <si>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</si>
  <si>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</si>
  <si>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</si>
  <si>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</si>
  <si>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</si>
  <si>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</si>
  <si>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</si>
  <si>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</si>
  <si>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</si>
  <si>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</si>
  <si>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</si>
  <si>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</si>
  <si>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</si>
  <si>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</si>
  <si>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</si>
  <si>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</si>
  <si>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</si>
  <si>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</si>
  <si>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</si>
  <si>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</si>
  <si>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</si>
  <si>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</si>
  <si>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</si>
  <si>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</si>
  <si>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</si>
  <si>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</si>
  <si>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</si>
  <si>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</si>
  <si>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</si>
  <si>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</si>
  <si>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</si>
  <si>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</si>
  <si>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</si>
  <si>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</si>
  <si>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</si>
  <si>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</si>
  <si>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</si>
  <si>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</si>
  <si>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</si>
  <si>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</si>
  <si>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</si>
  <si>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</si>
  <si>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</si>
  <si>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</si>
  <si>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</si>
  <si>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</si>
  <si>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</si>
  <si>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</si>
  <si>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</si>
  <si>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</si>
  <si>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</si>
  <si>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</si>
  <si>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</si>
  <si>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</si>
  <si>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</si>
  <si>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</si>
  <si>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</si>
  <si>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</si>
  <si>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</si>
  <si>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</si>
  <si>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</si>
  <si>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</si>
  <si>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</si>
  <si>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</si>
  <si>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</si>
  <si>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</si>
  <si>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</si>
  <si>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</si>
  <si>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</si>
  <si>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</si>
  <si>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</si>
  <si>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</si>
  <si>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</si>
  <si>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</si>
  <si>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</si>
  <si>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</si>
  <si>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</si>
  <si>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</si>
  <si>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</si>
  <si>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</si>
  <si>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</si>
  <si>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</si>
  <si>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</si>
  <si>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</si>
  <si>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</si>
  <si>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</si>
  <si>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</si>
  <si>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</si>
  <si>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</si>
  <si>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</si>
  <si>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</si>
  <si>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</si>
  <si>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</si>
  <si>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</si>
  <si>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</si>
  <si>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</si>
  <si>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</si>
  <si>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</si>
  <si>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</si>
  <si>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</si>
  <si>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</si>
  <si>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</si>
  <si>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</si>
  <si>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</si>
  <si>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</si>
  <si>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</si>
  <si>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</si>
  <si>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</si>
  <si>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</si>
  <si>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</si>
  <si>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</si>
  <si>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</si>
  <si>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</si>
  <si>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</si>
  <si>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</si>
  <si>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</si>
  <si>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</si>
  <si>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</si>
  <si>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</si>
  <si>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</si>
  <si>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</si>
  <si>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</si>
  <si>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</si>
  <si>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</si>
  <si>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</si>
  <si>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</si>
  <si>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</si>
  <si>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</si>
  <si>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</si>
  <si>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</si>
  <si>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</si>
  <si>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</si>
  <si>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</si>
  <si>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</si>
  <si>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</si>
  <si>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</si>
  <si>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</si>
  <si>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</si>
  <si>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</si>
  <si>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</si>
  <si>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</si>
  <si>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</si>
  <si>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</si>
  <si>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</si>
  <si>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</si>
  <si>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</si>
  <si>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</si>
  <si>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</si>
  <si>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</si>
  <si>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</si>
  <si>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</si>
  <si>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</si>
  <si>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</si>
  <si>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</si>
  <si>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</si>
  <si>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</si>
  <si>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</si>
  <si>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</si>
  <si>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</si>
  <si>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</si>
  <si>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</si>
  <si>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</si>
  <si>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</si>
  <si>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</si>
  <si>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</si>
  <si>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</si>
  <si>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</si>
  <si>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</si>
  <si>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</si>
  <si>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</si>
  <si>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</si>
  <si>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</si>
  <si>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</si>
  <si>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</si>
  <si>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</si>
  <si>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</si>
  <si>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</si>
  <si>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</si>
  <si>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</si>
  <si>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</si>
  <si>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</si>
  <si>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</si>
  <si>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</si>
  <si>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</si>
  <si>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</si>
  <si>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</si>
  <si>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</si>
  <si>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</si>
  <si>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</si>
  <si>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</si>
  <si>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</si>
  <si>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</si>
  <si>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</si>
  <si>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</si>
  <si>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</si>
  <si>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</si>
  <si>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</si>
  <si>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</si>
  <si>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</si>
  <si>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</si>
  <si>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</si>
  <si>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</si>
  <si>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</si>
  <si>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</si>
  <si>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</si>
  <si>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</si>
  <si>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</si>
  <si>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</si>
  <si>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</si>
  <si>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</si>
  <si>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</si>
  <si>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</si>
  <si>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</si>
  <si>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</si>
  <si>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</si>
  <si>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</si>
  <si>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</si>
  <si>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</si>
  <si>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</si>
  <si>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</si>
  <si>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</si>
  <si>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</si>
  <si>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</si>
  <si>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</si>
  <si>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</si>
  <si>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</si>
  <si>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</si>
  <si>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</si>
  <si>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</si>
  <si>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</si>
  <si>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</si>
  <si>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</si>
  <si>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</si>
  <si>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</si>
  <si>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</si>
  <si>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</si>
  <si>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</si>
  <si>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</si>
  <si>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</si>
  <si>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</si>
  <si>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</si>
  <si>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</si>
  <si>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</si>
  <si>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</si>
  <si>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</si>
  <si>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</si>
  <si>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</si>
  <si>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</si>
  <si>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</si>
  <si>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</si>
  <si>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</si>
  <si>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</si>
  <si>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</si>
  <si>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</si>
  <si>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</si>
  <si>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</si>
  <si>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</si>
  <si>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</si>
  <si>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</si>
  <si>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</si>
  <si>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</si>
  <si>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</si>
  <si>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</si>
  <si>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</si>
  <si>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</si>
  <si>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</si>
  <si>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</si>
  <si>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</si>
  <si>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</si>
  <si>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</si>
  <si>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</si>
  <si>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</si>
  <si>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</si>
  <si>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</si>
  <si>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</si>
  <si>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</si>
  <si>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</si>
  <si>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</si>
  <si>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</si>
  <si>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</si>
  <si>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</si>
  <si>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</si>
  <si>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</si>
  <si>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</si>
  <si>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</si>
  <si>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</si>
  <si>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</si>
  <si>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</si>
  <si>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</si>
  <si>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</si>
  <si>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</si>
  <si>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</si>
  <si>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</si>
  <si>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</si>
  <si>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</si>
  <si>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</si>
  <si>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</si>
  <si>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</si>
  <si>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</si>
  <si>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</si>
  <si>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</si>
  <si>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</si>
  <si>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</si>
  <si>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</si>
  <si>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</si>
  <si>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</si>
  <si>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</si>
  <si>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</si>
  <si>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</si>
  <si>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</si>
  <si>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</si>
  <si>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</si>
  <si>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</si>
  <si>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</si>
  <si>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</si>
  <si>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</si>
  <si>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</si>
  <si>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</si>
  <si>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</si>
  <si>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</si>
  <si>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</si>
  <si>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</si>
  <si>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</si>
  <si>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</si>
  <si>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</si>
  <si>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</si>
  <si>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</si>
  <si>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</si>
  <si>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</si>
  <si>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</si>
  <si>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</si>
  <si>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</si>
  <si>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</si>
  <si>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</si>
  <si>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</si>
  <si>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</si>
  <si>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</si>
  <si>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</si>
  <si>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</si>
  <si>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</si>
  <si>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</si>
  <si>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</si>
  <si>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</si>
  <si>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</si>
  <si>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</si>
  <si>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</si>
  <si>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</si>
  <si>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</si>
  <si>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</si>
  <si>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</si>
  <si>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</si>
  <si>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</si>
  <si>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</si>
  <si>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</si>
  <si>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</si>
  <si>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</si>
  <si>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</si>
  <si>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</si>
  <si>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</si>
  <si>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</si>
  <si>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</si>
  <si>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</si>
  <si>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</si>
  <si>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</si>
  <si>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</si>
  <si>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</si>
  <si>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</si>
  <si>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</si>
  <si>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</si>
  <si>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</si>
  <si>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</si>
  <si>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</si>
  <si>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</si>
  <si>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</si>
  <si>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</si>
  <si>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</si>
  <si>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</si>
  <si>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</si>
  <si>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</si>
  <si>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</si>
  <si>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</si>
  <si>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</si>
  <si>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</si>
  <si>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</si>
  <si>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</si>
  <si>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</si>
  <si>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</si>
  <si>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</si>
  <si>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</si>
  <si>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</si>
  <si>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</si>
  <si>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</si>
  <si>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</si>
  <si>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</si>
  <si>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</si>
  <si>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</si>
  <si>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</si>
  <si>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</si>
  <si>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</si>
  <si>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</si>
  <si>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</si>
  <si>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</si>
  <si>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</si>
  <si>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</si>
  <si>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</si>
  <si>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</si>
  <si>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</si>
  <si>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</si>
  <si>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</si>
  <si>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</si>
  <si>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</si>
  <si>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</si>
  <si>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</si>
  <si>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</si>
  <si>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</si>
  <si>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</si>
  <si>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</si>
  <si>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</si>
  <si>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</si>
  <si>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</si>
  <si>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</si>
  <si>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</si>
  <si>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</si>
  <si>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</si>
  <si>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</si>
  <si>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</si>
  <si>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</si>
  <si>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</si>
  <si>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</si>
  <si>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</si>
  <si>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</si>
  <si>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</si>
  <si>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</si>
  <si>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</si>
  <si>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</si>
  <si>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</si>
  <si>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</si>
  <si>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</si>
  <si>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</si>
  <si>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</si>
  <si>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</si>
  <si>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</si>
  <si>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</si>
  <si>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</si>
  <si>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</si>
  <si>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</si>
  <si>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</si>
  <si>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</si>
  <si>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</si>
  <si>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</si>
  <si>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</si>
  <si>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</si>
  <si>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</si>
  <si>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</si>
  <si>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</si>
  <si>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</si>
  <si>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</si>
  <si>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</si>
  <si>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</si>
  <si>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</si>
  <si>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</si>
  <si>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</si>
  <si>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</si>
  <si>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</si>
  <si>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</si>
  <si>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</si>
  <si>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</si>
  <si>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</si>
  <si>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</si>
  <si>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</si>
  <si>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</si>
  <si>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</si>
  <si>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</si>
  <si>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</si>
  <si>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</si>
  <si>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</si>
  <si>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</si>
  <si>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</si>
  <si>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</si>
  <si>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</si>
  <si>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</si>
  <si>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</si>
  <si>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</si>
  <si>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</si>
  <si>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</si>
  <si>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</si>
  <si>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</si>
  <si>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</si>
  <si>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</si>
  <si>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</si>
  <si>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</si>
  <si>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</si>
  <si>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</si>
  <si>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</si>
  <si>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</si>
  <si>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</si>
  <si>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</si>
  <si>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</si>
  <si>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</si>
  <si>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</si>
  <si>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</si>
  <si>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</si>
  <si>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</si>
  <si>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</si>
  <si>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</si>
  <si>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</si>
  <si>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</si>
  <si>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</si>
  <si>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</si>
  <si>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</si>
  <si>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</si>
  <si>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</si>
  <si>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</si>
  <si>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</si>
  <si>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</si>
  <si>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</si>
  <si>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</si>
  <si>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</si>
  <si>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</si>
  <si>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</si>
  <si>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</si>
  <si>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</si>
  <si>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</si>
  <si>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</si>
  <si>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</si>
  <si>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</si>
  <si>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</si>
  <si>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</si>
  <si>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</si>
  <si>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</si>
  <si>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</si>
  <si>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</si>
  <si>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</si>
  <si>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</si>
  <si>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</si>
  <si>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</si>
  <si>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</si>
  <si>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</si>
  <si>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</si>
  <si>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</si>
  <si>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</si>
  <si>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</si>
  <si>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</si>
  <si>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</si>
  <si>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</si>
  <si>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</si>
  <si>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</si>
  <si>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</si>
  <si>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</si>
  <si>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</si>
  <si>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</si>
  <si>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</si>
  <si>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</si>
  <si>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</si>
  <si>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</si>
  <si>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</si>
  <si>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</si>
  <si>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</si>
  <si>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</si>
  <si>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</si>
  <si>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</si>
  <si>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</si>
  <si>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</si>
  <si>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</si>
  <si>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</si>
  <si>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</si>
  <si>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</si>
  <si>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</si>
  <si>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</si>
  <si>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</si>
  <si>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</si>
  <si>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</si>
  <si>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</si>
  <si>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</si>
  <si>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</si>
  <si>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</si>
  <si>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</si>
  <si>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</si>
  <si>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</si>
  <si>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</si>
  <si>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</si>
  <si>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</si>
  <si>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</si>
  <si>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</si>
  <si>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</si>
  <si>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</si>
  <si>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</si>
  <si>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</si>
  <si>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</si>
  <si>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</si>
  <si>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</si>
  <si>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</si>
  <si>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</si>
  <si>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</si>
  <si>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</si>
  <si>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</si>
  <si>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</si>
  <si>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</si>
  <si>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</si>
  <si>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</si>
  <si>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</si>
  <si>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</si>
  <si>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</si>
  <si>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</si>
  <si>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</si>
  <si>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</si>
  <si>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</si>
  <si>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</si>
  <si>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</si>
  <si>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</si>
  <si>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</si>
  <si>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</si>
  <si>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</si>
  <si>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</si>
  <si>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</si>
  <si>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</si>
  <si>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</si>
  <si>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</si>
  <si>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</si>
  <si>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</si>
  <si>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</si>
  <si>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</si>
  <si>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</si>
  <si>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</si>
  <si>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</si>
  <si>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</si>
  <si>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</si>
  <si>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</si>
  <si>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</si>
  <si>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</si>
  <si>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</si>
  <si>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</si>
  <si>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</si>
  <si>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</si>
  <si>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</si>
  <si>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</si>
  <si>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</si>
  <si>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</si>
  <si>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</si>
  <si>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</si>
  <si>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</si>
  <si>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</si>
  <si>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</si>
  <si>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</si>
  <si>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</si>
  <si>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</si>
  <si>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</si>
  <si>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</si>
  <si>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</si>
  <si>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</si>
  <si>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</si>
  <si>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</si>
  <si>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</si>
  <si>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</si>
  <si>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</si>
  <si>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</si>
  <si>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</si>
  <si>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</si>
  <si>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</si>
  <si>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</si>
  <si>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</si>
  <si>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</si>
  <si>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</si>
  <si>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</si>
  <si>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</si>
  <si>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</si>
  <si>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</si>
  <si>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</si>
  <si>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</si>
  <si>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</si>
  <si>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</si>
  <si>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</si>
  <si>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</si>
  <si>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</si>
  <si>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</si>
  <si>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</si>
  <si>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</si>
  <si>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</si>
  <si>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</si>
  <si>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</si>
  <si>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</si>
  <si>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</si>
  <si>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</si>
  <si>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</si>
  <si>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</si>
  <si>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</si>
  <si>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</si>
  <si>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</si>
  <si>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</si>
  <si>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</si>
  <si>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</si>
  <si>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</si>
  <si>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</si>
  <si>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</si>
  <si>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</si>
  <si>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</si>
  <si>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</si>
  <si>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</si>
  <si>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</si>
  <si>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</si>
  <si>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</si>
  <si>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</si>
  <si>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</si>
  <si>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</si>
  <si>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</si>
  <si>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</si>
  <si>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</si>
  <si>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</si>
  <si>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</si>
  <si>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</si>
  <si>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</si>
  <si>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</si>
  <si>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</si>
  <si>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</si>
  <si>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</si>
  <si>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</si>
  <si>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</si>
  <si>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</si>
  <si>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</si>
  <si>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</si>
  <si>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</si>
  <si>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</si>
  <si>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</si>
  <si>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</si>
  <si>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</si>
  <si>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</si>
  <si>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</si>
  <si>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</si>
  <si>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</si>
  <si>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</si>
  <si>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</si>
  <si>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</si>
  <si>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</si>
  <si>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</si>
  <si>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</si>
  <si>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</si>
  <si>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</si>
  <si>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</si>
  <si>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</si>
  <si>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</si>
  <si>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</si>
  <si>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</si>
  <si>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</si>
  <si>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</si>
  <si>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</si>
  <si>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</si>
  <si>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</si>
  <si>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</si>
  <si>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</si>
  <si>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</si>
  <si>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</si>
  <si>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</si>
  <si>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</si>
  <si>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</si>
  <si>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</si>
  <si>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</si>
  <si>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</si>
  <si>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</si>
  <si>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</si>
  <si>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</si>
  <si>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</si>
  <si>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</si>
  <si>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</si>
  <si>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</si>
  <si>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</si>
  <si>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</si>
  <si>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</si>
  <si>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</si>
  <si>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</si>
  <si>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</si>
  <si>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</si>
  <si>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</si>
  <si>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</si>
  <si>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</si>
  <si>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</si>
  <si>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</si>
  <si>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</si>
  <si>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</si>
  <si>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</si>
  <si>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</si>
  <si>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</si>
  <si>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</si>
  <si>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</si>
  <si>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</si>
  <si>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</si>
  <si>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</si>
  <si>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</si>
  <si>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</si>
  <si>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</si>
  <si>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</si>
  <si>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</si>
  <si>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</si>
  <si>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</si>
  <si>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</si>
  <si>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</si>
  <si>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</si>
  <si>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</si>
  <si>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</si>
  <si>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</si>
  <si>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</si>
  <si>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</si>
  <si>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</si>
  <si>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</si>
  <si>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</si>
  <si>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</si>
  <si>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</si>
  <si>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</si>
  <si>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</si>
  <si>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</si>
  <si>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</si>
  <si>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</si>
  <si>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</si>
  <si>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</si>
  <si>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</si>
  <si>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</si>
  <si>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</si>
  <si>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</si>
  <si>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</si>
  <si>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</si>
  <si>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</si>
  <si>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</si>
  <si>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</si>
  <si>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</si>
  <si>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</si>
  <si>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</si>
  <si>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</si>
  <si>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</si>
  <si>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</si>
  <si>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</si>
  <si>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</si>
  <si>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</si>
  <si>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</si>
  <si>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</si>
  <si>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</si>
  <si>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</si>
  <si>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</si>
  <si>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</si>
  <si>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</si>
  <si>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</si>
  <si>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</si>
  <si>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</si>
  <si>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</si>
  <si>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</si>
  <si>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</si>
  <si>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</si>
  <si>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</si>
  <si>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</si>
  <si>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</si>
  <si>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</si>
  <si>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</si>
  <si>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</si>
  <si>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</si>
  <si>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</si>
  <si>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</si>
  <si>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</si>
  <si>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</si>
  <si>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</si>
  <si>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</si>
  <si>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</si>
  <si>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</si>
  <si>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</si>
  <si>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</si>
  <si>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</si>
  <si>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</si>
  <si>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</si>
  <si>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</si>
  <si>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</si>
  <si>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</si>
  <si>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</si>
  <si>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</si>
  <si>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</si>
  <si>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</si>
  <si>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</si>
  <si>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</si>
  <si>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</si>
  <si>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</si>
  <si>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</si>
  <si>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</si>
  <si>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</si>
  <si>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</si>
  <si>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</si>
  <si>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</si>
  <si>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</si>
  <si>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</si>
  <si>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</si>
  <si>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</si>
  <si>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</si>
  <si>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</si>
  <si>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</si>
  <si>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</si>
  <si>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</si>
  <si>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</si>
  <si>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</si>
  <si>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</si>
  <si>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</si>
  <si>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</si>
  <si>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</si>
  <si>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</si>
  <si>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</si>
  <si>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</si>
  <si>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</si>
  <si>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</si>
  <si>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</si>
  <si>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</si>
  <si>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</si>
  <si>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</si>
  <si>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</si>
  <si>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</si>
  <si>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</si>
  <si>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</si>
  <si>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</si>
  <si>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</si>
  <si>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</si>
  <si>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</si>
  <si>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</si>
  <si>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</si>
  <si>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</si>
  <si>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</si>
  <si>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</si>
  <si>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</si>
  <si>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</si>
  <si>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</si>
  <si>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</si>
  <si>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</si>
  <si>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</si>
  <si>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</si>
  <si>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</si>
  <si>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</si>
  <si>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</si>
  <si>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</si>
  <si>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</si>
  <si>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</si>
  <si>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</si>
  <si>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</si>
  <si>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</si>
  <si>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</si>
  <si>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</si>
  <si>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</si>
  <si>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</si>
  <si>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</si>
  <si>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</si>
  <si>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</si>
  <si>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</si>
  <si>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</si>
  <si>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</si>
  <si>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</si>
  <si>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</si>
  <si>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</si>
  <si>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</si>
  <si>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</si>
  <si>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</si>
  <si>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</si>
  <si>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</si>
  <si>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</si>
  <si>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</si>
  <si>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</si>
  <si>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</si>
  <si>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</si>
  <si>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</si>
  <si>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</si>
  <si>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</si>
  <si>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</si>
  <si>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</si>
  <si>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</si>
  <si>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</si>
  <si>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</si>
  <si>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</si>
  <si>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</si>
  <si>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</si>
  <si>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</si>
  <si>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</si>
  <si>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</si>
  <si>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</si>
  <si>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</si>
  <si>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</si>
  <si>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</si>
  <si>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</si>
  <si>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</si>
  <si>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</si>
  <si>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</si>
  <si>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</si>
  <si>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</si>
  <si>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</si>
  <si>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</si>
  <si>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</si>
  <si>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</si>
  <si>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</si>
  <si>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</si>
  <si>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</si>
  <si>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</si>
  <si>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</si>
  <si>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</si>
  <si>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</si>
  <si>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</si>
  <si>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</si>
  <si>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</si>
  <si>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</si>
  <si>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</si>
  <si>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</si>
  <si>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</si>
  <si>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</si>
  <si>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</si>
  <si>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</si>
  <si>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</si>
  <si>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</si>
  <si>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</si>
  <si>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</si>
  <si>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</si>
  <si>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</si>
  <si>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</si>
  <si>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</si>
  <si>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</si>
  <si>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</si>
  <si>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</si>
  <si>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</si>
  <si>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</si>
  <si>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</si>
  <si>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</si>
  <si>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</si>
  <si>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</si>
  <si>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</si>
  <si>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</si>
  <si>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</si>
  <si>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</si>
  <si>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</si>
  <si>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</si>
  <si>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</si>
  <si>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</si>
  <si>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</si>
  <si>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</si>
  <si>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</si>
  <si>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</si>
  <si>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</si>
  <si>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</si>
  <si>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</si>
  <si>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</si>
  <si>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</si>
  <si>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</si>
  <si>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</si>
  <si>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</si>
  <si>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</si>
  <si>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</si>
  <si>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</si>
  <si>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</si>
  <si>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</si>
  <si>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</si>
  <si>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</si>
  <si>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</si>
  <si>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</si>
  <si>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</si>
  <si>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</si>
  <si>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</si>
  <si>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</si>
  <si>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</si>
  <si>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</si>
  <si>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</si>
  <si>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</si>
  <si>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</si>
  <si>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</si>
  <si>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</si>
  <si>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</si>
  <si>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</si>
  <si>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</si>
  <si>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</si>
  <si>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</si>
  <si>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</si>
  <si>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</si>
  <si>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</si>
  <si>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</si>
  <si>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</si>
  <si>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</si>
  <si>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</si>
  <si>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</si>
  <si>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</si>
  <si>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</si>
  <si>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</si>
  <si>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</si>
  <si>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</si>
  <si>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</si>
  <si>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</si>
  <si>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</si>
  <si>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</si>
  <si>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</si>
  <si>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</si>
  <si>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</si>
  <si>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</si>
  <si>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</si>
  <si>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</si>
  <si>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</si>
  <si>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</si>
  <si>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</si>
  <si>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</si>
  <si>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</si>
  <si>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</si>
  <si>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</si>
  <si>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</si>
  <si>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</si>
  <si>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</si>
  <si>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</si>
  <si>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</si>
  <si>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</si>
  <si>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</si>
  <si>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</si>
  <si>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</si>
  <si>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</si>
  <si>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</si>
  <si>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</si>
  <si>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</si>
  <si>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</si>
  <si>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</si>
  <si>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</si>
  <si>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</si>
  <si>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</si>
  <si>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</si>
  <si>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</si>
  <si>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</si>
  <si>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</si>
  <si>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</si>
  <si>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</si>
  <si>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</si>
  <si>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</si>
  <si>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</si>
  <si>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</si>
  <si>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</si>
  <si>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</si>
  <si>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</si>
  <si>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</si>
  <si>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</si>
  <si>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</si>
  <si>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</si>
  <si>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</si>
  <si>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</si>
  <si>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</si>
  <si>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</si>
  <si>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</si>
  <si>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</si>
  <si>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</si>
  <si>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</si>
  <si>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</si>
  <si>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</si>
  <si>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</si>
  <si>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</si>
  <si>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</si>
  <si>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</si>
  <si>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</si>
  <si>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</si>
  <si>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</si>
  <si>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</si>
  <si>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</si>
  <si>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</si>
  <si>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</si>
  <si>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</si>
  <si>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</si>
  <si>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</si>
  <si>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</si>
  <si>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</si>
  <si>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</si>
  <si>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</si>
  <si>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</si>
  <si>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</si>
  <si>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</si>
  <si>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</si>
  <si>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</si>
  <si>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</si>
  <si>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</si>
  <si>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</si>
  <si>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</si>
  <si>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</si>
  <si>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</si>
  <si>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</si>
  <si>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</si>
  <si>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</si>
  <si>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</si>
  <si>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</si>
  <si>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</si>
  <si>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</si>
  <si>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</si>
  <si>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</si>
  <si>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</si>
  <si>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</si>
  <si>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</si>
  <si>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</si>
  <si>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</si>
  <si>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</si>
  <si>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</si>
  <si>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</si>
  <si>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</si>
  <si>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</si>
  <si>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</si>
  <si>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</si>
  <si>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</si>
  <si>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</si>
  <si>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</si>
  <si>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</si>
  <si>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</si>
  <si>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</si>
  <si>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</si>
  <si>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</si>
  <si>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</si>
  <si>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</si>
  <si>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</si>
  <si>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</si>
  <si>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</si>
  <si>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</si>
  <si>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</si>
  <si>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</si>
  <si>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</si>
  <si>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</si>
  <si>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</si>
  <si>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</si>
  <si>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</si>
  <si>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</si>
  <si>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</si>
  <si>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</si>
  <si>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</si>
  <si>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</si>
  <si>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</si>
  <si>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</si>
  <si>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</si>
  <si>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</si>
  <si>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</si>
  <si>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</si>
  <si>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</si>
  <si>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</si>
  <si>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</si>
  <si>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</si>
  <si>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</si>
  <si>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</si>
  <si>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</si>
  <si>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</si>
  <si>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</si>
  <si>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</si>
  <si>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</si>
  <si>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</si>
  <si>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</si>
  <si>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</si>
  <si>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</si>
  <si>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</si>
  <si>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</si>
  <si>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</si>
  <si>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</si>
  <si>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</si>
  <si>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</si>
  <si>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</si>
  <si>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</si>
  <si>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</si>
  <si>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</si>
  <si>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</si>
  <si>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</si>
  <si>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</si>
  <si>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</si>
  <si>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</si>
  <si>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</si>
  <si>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</si>
  <si>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</si>
  <si>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</si>
  <si>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</si>
  <si>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</si>
  <si>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</si>
  <si>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</si>
  <si>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</si>
  <si>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</si>
  <si>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</si>
  <si>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</si>
  <si>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</si>
  <si>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</si>
  <si>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</si>
  <si>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</si>
  <si>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</si>
  <si>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</si>
  <si>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</si>
  <si>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</si>
  <si>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</si>
  <si>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</si>
  <si>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</si>
  <si>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</si>
  <si>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</si>
  <si>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</si>
  <si>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</si>
  <si>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</si>
  <si>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</si>
  <si>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</si>
  <si>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</si>
  <si>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</si>
  <si>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</si>
  <si>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</si>
  <si>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</si>
  <si>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</si>
  <si>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</si>
  <si>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</si>
  <si>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</si>
  <si>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</si>
  <si>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</si>
  <si>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</si>
  <si>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</si>
  <si>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</si>
  <si>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</si>
  <si>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</si>
  <si>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</si>
  <si>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</si>
  <si>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</si>
  <si>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</si>
  <si>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</si>
  <si>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</si>
  <si>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</si>
  <si>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</si>
  <si>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</si>
  <si>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</si>
  <si>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</si>
  <si>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</si>
  <si>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</si>
  <si>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</si>
  <si>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</si>
  <si>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</si>
  <si>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</si>
  <si>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</si>
  <si>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</si>
  <si>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</si>
  <si>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</si>
  <si>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</si>
  <si>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</si>
  <si>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</si>
  <si>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</si>
  <si>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</si>
  <si>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</si>
  <si>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</si>
  <si>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</si>
  <si>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</si>
  <si>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</si>
  <si>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</si>
  <si>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</si>
  <si>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</si>
  <si>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</si>
  <si>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</si>
  <si>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</si>
  <si>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</si>
  <si>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</si>
  <si>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</si>
  <si>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</si>
  <si>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</si>
  <si>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</si>
  <si>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</si>
  <si>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</si>
  <si>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</si>
  <si>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</si>
  <si>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</si>
  <si>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</si>
  <si>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</si>
  <si>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</si>
  <si>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</si>
  <si>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</si>
  <si>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</si>
  <si>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</si>
  <si>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</si>
  <si>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</si>
  <si>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</si>
  <si>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</si>
  <si>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</si>
  <si>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</si>
  <si>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</si>
  <si>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</si>
  <si>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</si>
  <si>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</si>
  <si>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</si>
  <si>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</si>
  <si>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</si>
  <si>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</si>
  <si>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</si>
  <si>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</si>
  <si>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</si>
  <si>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</si>
  <si>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</si>
  <si>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</si>
  <si>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</si>
  <si>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</si>
  <si>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</si>
  <si>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</si>
  <si>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</si>
  <si>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</si>
  <si>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</si>
  <si>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</si>
  <si>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</si>
  <si>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</si>
  <si>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</si>
  <si>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</si>
  <si>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</si>
  <si>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</si>
  <si>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</si>
  <si>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</si>
  <si>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</si>
  <si>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</si>
  <si>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</si>
  <si>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</si>
  <si>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</si>
  <si>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</si>
  <si>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</si>
  <si>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</si>
  <si>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</si>
  <si>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</si>
  <si>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</si>
  <si>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</si>
  <si>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</si>
  <si>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</si>
  <si>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</si>
  <si>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</si>
  <si>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</si>
  <si>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</si>
  <si>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</si>
  <si>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</si>
  <si>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</si>
  <si>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</si>
  <si>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</si>
  <si>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</si>
  <si>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</si>
  <si>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</si>
  <si>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</si>
  <si>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</si>
  <si>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</si>
  <si>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</si>
  <si>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</si>
  <si>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</si>
  <si>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</si>
  <si>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</si>
  <si>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</si>
  <si>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</si>
  <si>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</si>
  <si>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</si>
  <si>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</si>
  <si>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</si>
  <si>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</si>
  <si>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</si>
  <si>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</si>
  <si>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</si>
  <si>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</si>
  <si>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</si>
  <si>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</si>
  <si>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</si>
  <si>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</si>
  <si>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</si>
  <si>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</si>
  <si>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</si>
  <si>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</si>
  <si>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</si>
  <si>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</si>
  <si>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</si>
  <si>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</si>
  <si>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</si>
  <si>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</si>
  <si>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</si>
  <si>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</si>
  <si>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</si>
  <si>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</si>
  <si>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</si>
  <si>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</si>
  <si>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</si>
  <si>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</si>
  <si>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</si>
  <si>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</si>
  <si>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</si>
  <si>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</si>
  <si>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</si>
  <si>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</si>
  <si>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</si>
  <si>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</si>
  <si>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</si>
  <si>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</si>
  <si>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</si>
  <si>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</si>
  <si>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</si>
  <si>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</si>
  <si>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</si>
  <si>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</si>
  <si>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</si>
  <si>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</si>
  <si>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</si>
  <si>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</si>
  <si>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</si>
  <si>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</si>
  <si>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</si>
  <si>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</si>
  <si>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</si>
  <si>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</si>
  <si>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</si>
  <si>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</si>
  <si>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</si>
  <si>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</si>
  <si>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</si>
  <si>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</si>
  <si>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</si>
  <si>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</si>
  <si>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</si>
  <si>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</si>
  <si>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</si>
  <si>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</si>
  <si>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</si>
  <si>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</si>
  <si>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</si>
  <si>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</si>
  <si>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</si>
  <si>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</si>
  <si>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</si>
  <si>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</si>
  <si>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</si>
  <si>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</si>
  <si>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</si>
  <si>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</si>
  <si>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</si>
  <si>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</si>
  <si>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</si>
  <si>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</si>
  <si>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</si>
  <si>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</si>
  <si>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</si>
  <si>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</si>
  <si>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</si>
  <si>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</si>
  <si>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</si>
  <si>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</si>
  <si>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</si>
  <si>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</si>
  <si>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</si>
  <si>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</si>
  <si>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</si>
  <si>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</si>
  <si>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</si>
  <si>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</si>
  <si>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</si>
  <si>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</si>
  <si>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</si>
  <si>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</si>
  <si>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</si>
  <si>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</si>
  <si>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</si>
  <si>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</si>
  <si>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</si>
  <si>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</si>
  <si>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</si>
  <si>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</si>
  <si>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</si>
  <si>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</si>
  <si>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</si>
  <si>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</si>
  <si>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</si>
  <si>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</si>
  <si>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</si>
  <si>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</si>
  <si>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</si>
  <si>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</si>
  <si>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</si>
  <si>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</si>
  <si>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</si>
  <si>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</si>
  <si>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</si>
  <si>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</si>
  <si>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</si>
  <si>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</si>
  <si>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</si>
  <si>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</si>
  <si>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</si>
  <si>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</si>
  <si>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</si>
  <si>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</si>
  <si>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</si>
  <si>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</si>
  <si>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</si>
  <si>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</si>
  <si>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</si>
  <si>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</si>
  <si>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</si>
  <si>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</si>
  <si>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</si>
  <si>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</si>
  <si>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</si>
  <si>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</si>
  <si>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</si>
  <si>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</si>
  <si>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</si>
  <si>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</si>
  <si>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</si>
  <si>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</si>
  <si>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</si>
  <si>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</si>
  <si>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</si>
  <si>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</si>
  <si>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</si>
  <si>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</si>
  <si>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</si>
  <si>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</si>
  <si>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</si>
  <si>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</si>
  <si>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</si>
  <si>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</si>
  <si>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</si>
  <si>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</si>
  <si>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</si>
  <si>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</si>
  <si>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</si>
  <si>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</si>
  <si>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</si>
  <si>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</si>
  <si>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</si>
  <si>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</si>
  <si>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</si>
  <si>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</si>
  <si>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</si>
  <si>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</si>
  <si>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</si>
  <si>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</si>
  <si>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</si>
  <si>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</si>
  <si>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</si>
  <si>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</si>
  <si>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</si>
  <si>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</si>
  <si>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</si>
  <si>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</si>
  <si>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</si>
  <si>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</si>
  <si>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</si>
  <si>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</si>
  <si>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</si>
  <si>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</si>
  <si>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</si>
  <si>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</si>
  <si>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</si>
  <si>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</si>
  <si>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</si>
  <si>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</si>
  <si>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</si>
  <si>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</si>
  <si>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</si>
  <si>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</si>
  <si>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</si>
  <si>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</si>
  <si>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</si>
  <si>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</si>
  <si>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</si>
  <si>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</si>
  <si>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</si>
  <si>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</si>
  <si>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</si>
  <si>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</si>
  <si>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</si>
  <si>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</si>
  <si>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</si>
  <si>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</si>
  <si>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</si>
  <si>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</si>
  <si>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</si>
  <si>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</si>
  <si>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</si>
  <si>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</si>
  <si>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</si>
  <si>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</si>
  <si>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</si>
  <si>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</si>
  <si>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</si>
  <si>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</si>
  <si>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</si>
  <si>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</si>
  <si>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</si>
  <si>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</si>
  <si>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</si>
  <si>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</si>
  <si>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</si>
  <si>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</si>
  <si>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</si>
  <si>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</si>
  <si>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</si>
  <si>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</si>
  <si>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</si>
  <si>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</si>
  <si>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</si>
  <si>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</si>
  <si>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</si>
  <si>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</si>
  <si>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</si>
  <si>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</si>
  <si>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</si>
  <si>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</si>
  <si>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</si>
  <si>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</si>
  <si>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</si>
  <si>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</si>
  <si>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</si>
  <si>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</si>
  <si>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</si>
  <si>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</si>
  <si>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</si>
  <si>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</si>
  <si>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</si>
  <si>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</si>
  <si>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</si>
  <si>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</si>
  <si>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</si>
  <si>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</si>
  <si>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</si>
  <si>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</si>
  <si>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</si>
  <si>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</si>
  <si>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</si>
  <si>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</si>
  <si>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</si>
  <si>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</si>
  <si>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</si>
  <si>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</si>
  <si>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</si>
  <si>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</si>
  <si>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</si>
  <si>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</si>
  <si>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</si>
  <si>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</si>
  <si>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</si>
  <si>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</si>
  <si>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</si>
  <si>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</si>
  <si>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</si>
  <si>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</si>
  <si>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</si>
  <si>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</si>
  <si>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</si>
  <si>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</si>
  <si>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</si>
  <si>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</si>
  <si>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</si>
  <si>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</si>
  <si>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</si>
  <si>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</si>
  <si>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</si>
  <si>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</si>
  <si>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</si>
  <si>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</si>
  <si>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</si>
  <si>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</si>
  <si>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</si>
  <si>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</si>
  <si>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</si>
  <si>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</si>
  <si>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</si>
  <si>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</si>
  <si>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</si>
  <si>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</si>
  <si>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</si>
  <si>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</si>
  <si>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</si>
  <si>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</si>
  <si>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</si>
  <si>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</si>
  <si>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</si>
  <si>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</si>
  <si>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</si>
  <si>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</si>
  <si>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</si>
  <si>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</si>
  <si>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</si>
  <si>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</si>
  <si>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</si>
  <si>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</si>
  <si>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</si>
  <si>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</si>
  <si>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</si>
  <si>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</si>
  <si>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</si>
  <si>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</si>
  <si>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</si>
  <si>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</si>
  <si>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</si>
  <si>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</si>
  <si>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</si>
  <si>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</si>
  <si>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</si>
  <si>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</si>
  <si>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</si>
  <si>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</si>
  <si>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</si>
  <si>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</si>
  <si>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</si>
  <si>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</si>
  <si>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</si>
  <si>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</si>
  <si>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</si>
  <si>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</si>
  <si>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</si>
  <si>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</si>
  <si>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</si>
  <si>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</si>
  <si>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</si>
  <si>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</si>
  <si>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</si>
  <si>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</si>
  <si>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</si>
  <si>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</si>
  <si>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</si>
  <si>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</si>
  <si>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</si>
  <si>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</si>
  <si>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</si>
  <si>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</si>
  <si>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</si>
  <si>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</si>
  <si>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</si>
  <si>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</si>
  <si>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</si>
  <si>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</si>
  <si>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</si>
  <si>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</si>
  <si>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</si>
  <si>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</si>
  <si>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</si>
  <si>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</si>
  <si>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</si>
  <si>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</si>
  <si>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</si>
  <si>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</si>
  <si>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</si>
  <si>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</si>
  <si>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</si>
  <si>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</si>
  <si>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</si>
  <si>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</si>
  <si>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</si>
  <si>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</si>
  <si>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</si>
  <si>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</si>
  <si>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</si>
  <si>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</si>
  <si>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</si>
  <si>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</si>
  <si>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</si>
  <si>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</si>
  <si>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</si>
  <si>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</si>
  <si>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</si>
  <si>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</si>
  <si>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</si>
  <si>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</si>
  <si>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</si>
  <si>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</si>
  <si>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</si>
  <si>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</si>
  <si>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</si>
  <si>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</si>
  <si>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</si>
  <si>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</si>
  <si>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</si>
  <si>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</si>
  <si>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</si>
  <si>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</si>
  <si>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</si>
  <si>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</si>
  <si>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</si>
  <si>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</si>
  <si>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</si>
  <si>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</si>
  <si>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</si>
  <si>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</si>
  <si>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</si>
  <si>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</si>
  <si>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</si>
  <si>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</si>
  <si>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</si>
  <si>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</si>
  <si>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</si>
  <si>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</si>
  <si>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</si>
  <si>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</si>
  <si>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</si>
  <si>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</si>
  <si>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</si>
  <si>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</si>
  <si>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</si>
  <si>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</si>
  <si>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</si>
  <si>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</si>
  <si>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</si>
  <si>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</si>
  <si>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</si>
  <si>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</si>
  <si>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</si>
  <si>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</si>
  <si>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</si>
  <si>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</si>
  <si>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</si>
  <si>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</si>
  <si>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</si>
  <si>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</si>
  <si>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</si>
  <si>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</si>
  <si>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</si>
  <si>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</si>
  <si>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</si>
  <si>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</si>
  <si>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</si>
  <si>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</si>
  <si>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</si>
  <si>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</si>
  <si>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</si>
  <si>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</si>
  <si>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</si>
  <si>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</si>
  <si>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</si>
  <si>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</si>
  <si>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</si>
  <si>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</si>
  <si>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</si>
  <si>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</si>
  <si>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</si>
  <si>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</si>
  <si>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</si>
  <si>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</si>
  <si>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</si>
  <si>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</si>
  <si>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</si>
  <si>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</si>
  <si>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</si>
  <si>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</si>
  <si>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</si>
  <si>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</si>
  <si>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</si>
  <si>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</si>
  <si>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</si>
  <si>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</si>
  <si>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</si>
  <si>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</si>
  <si>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</si>
  <si>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</si>
  <si>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</si>
  <si>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</si>
  <si>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</si>
  <si>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</si>
  <si>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</si>
  <si>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</si>
  <si>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</si>
  <si>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</si>
  <si>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</si>
  <si>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</si>
  <si>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</si>
  <si>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</si>
  <si>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</si>
  <si>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</si>
  <si>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</si>
  <si>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</si>
  <si>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</si>
  <si>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</si>
  <si>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</si>
  <si>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</si>
  <si>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</si>
  <si>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</si>
  <si>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</si>
  <si>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</si>
  <si>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</si>
  <si>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</si>
  <si>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</si>
  <si>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</si>
  <si>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</si>
  <si>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</si>
  <si>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</si>
  <si>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</si>
  <si>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</si>
  <si>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</si>
  <si>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</si>
  <si>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</si>
  <si>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</si>
  <si>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</si>
  <si>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</si>
  <si>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</si>
  <si>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</si>
  <si>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</si>
  <si>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</si>
  <si>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</si>
  <si>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</si>
  <si>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</si>
  <si>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</si>
  <si>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</si>
  <si>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</si>
  <si>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</si>
  <si>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</si>
  <si>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</si>
  <si>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</si>
  <si>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</si>
  <si>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</si>
  <si>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</si>
  <si>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</si>
  <si>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</si>
  <si>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</si>
  <si>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</si>
  <si>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</si>
  <si>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</si>
  <si>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</si>
  <si>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</si>
  <si>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</si>
  <si>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</si>
  <si>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</si>
  <si>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</si>
  <si>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</si>
  <si>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</si>
  <si>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</si>
  <si>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</si>
  <si>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</si>
  <si>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</si>
  <si>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</si>
  <si>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</si>
  <si>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</si>
  <si>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</si>
  <si>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</si>
  <si>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</si>
  <si>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</si>
  <si>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</si>
  <si>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</si>
  <si>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</si>
  <si>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</si>
  <si>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</si>
  <si>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</si>
  <si>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</si>
  <si>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</si>
  <si>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</si>
  <si>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</si>
  <si>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</si>
  <si>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</si>
  <si>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</si>
  <si>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</si>
  <si>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</si>
  <si>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</si>
  <si>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</si>
  <si>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</si>
  <si>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</si>
  <si>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</si>
  <si>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</si>
  <si>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</si>
  <si>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</si>
  <si>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</si>
  <si>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</si>
  <si>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</si>
  <si>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</si>
  <si>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</si>
  <si>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</si>
  <si>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</si>
  <si>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</si>
  <si>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</si>
  <si>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</si>
  <si>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</si>
  <si>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</si>
  <si>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</si>
  <si>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</si>
  <si>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</si>
  <si>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</si>
  <si>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</si>
  <si>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</si>
  <si>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</si>
  <si>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</si>
  <si>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</si>
  <si>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</si>
  <si>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</si>
  <si>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</si>
  <si>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</si>
  <si>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</si>
  <si>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</si>
  <si>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</si>
  <si>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</si>
  <si>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</si>
  <si>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</si>
  <si>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</si>
  <si>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</si>
  <si>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</si>
  <si>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</si>
  <si>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</si>
  <si>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</si>
  <si>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</si>
  <si>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</si>
  <si>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</si>
  <si>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</si>
  <si>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</si>
  <si>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</si>
  <si>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</si>
  <si>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</si>
  <si>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</si>
  <si>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</si>
  <si>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</si>
  <si>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</si>
  <si>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</si>
  <si>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</si>
  <si>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</si>
  <si>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</si>
  <si>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</si>
  <si>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</si>
  <si>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</si>
  <si>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</si>
  <si>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</si>
  <si>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</si>
  <si>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</si>
  <si>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</si>
  <si>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</si>
  <si>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</si>
  <si>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</si>
  <si>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</si>
  <si>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</si>
  <si>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</si>
  <si>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</si>
  <si>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</si>
  <si>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</si>
  <si>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</si>
  <si>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</si>
  <si>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</si>
  <si>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</si>
  <si>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</si>
  <si>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</si>
  <si>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</si>
  <si>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</si>
  <si>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</si>
  <si>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</si>
  <si>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</si>
  <si>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</si>
  <si>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</si>
  <si>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</si>
  <si>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</si>
  <si>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</si>
  <si>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</si>
  <si>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</si>
  <si>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</si>
  <si>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</si>
  <si>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</si>
  <si>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</si>
  <si>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</si>
  <si>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</si>
  <si>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</si>
  <si>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</si>
  <si>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</si>
  <si>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</si>
  <si>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</si>
  <si>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</si>
  <si>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</si>
  <si>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</si>
  <si>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</si>
  <si>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</si>
  <si>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</si>
  <si>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</si>
  <si>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</si>
  <si>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</si>
  <si>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</si>
  <si>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</si>
  <si>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</si>
  <si>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</si>
  <si>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</si>
  <si>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</si>
  <si>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</si>
  <si>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</si>
  <si>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</si>
  <si>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</si>
  <si>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</si>
  <si>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</si>
  <si>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</si>
  <si>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</si>
  <si>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</si>
  <si>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</si>
  <si>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</si>
  <si>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</si>
  <si>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</si>
  <si>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</si>
  <si>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</si>
  <si>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</si>
  <si>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</si>
  <si>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</si>
  <si>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</si>
  <si>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</si>
  <si>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</si>
  <si>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</si>
  <si>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</si>
  <si>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</si>
  <si>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</si>
  <si>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</si>
  <si>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</si>
  <si>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</si>
  <si>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</si>
  <si>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</si>
  <si>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</si>
  <si>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</si>
  <si>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</si>
  <si>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</si>
  <si>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</si>
  <si>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</si>
  <si>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</si>
  <si>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</si>
  <si>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</si>
  <si>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</si>
  <si>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</si>
  <si>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</si>
  <si>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</si>
  <si>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</si>
  <si>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</si>
  <si>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</si>
  <si>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</si>
  <si>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</si>
  <si>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</si>
  <si>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</si>
  <si>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</si>
  <si>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</si>
  <si>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</si>
  <si>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</si>
  <si>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</si>
  <si>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</si>
  <si>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</si>
  <si>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</si>
  <si>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</si>
  <si>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</si>
  <si>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</si>
  <si>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</si>
  <si>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</si>
  <si>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</si>
  <si>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</si>
  <si>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</si>
  <si>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</si>
  <si>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</si>
  <si>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</si>
  <si>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</si>
  <si>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</si>
  <si>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</si>
  <si>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</si>
  <si>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</si>
  <si>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</si>
  <si>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</si>
  <si>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</si>
  <si>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</si>
  <si>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</si>
  <si>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</si>
  <si>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</si>
  <si>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</si>
  <si>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</si>
  <si>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</si>
  <si>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</si>
  <si>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</si>
  <si>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</si>
  <si>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</si>
  <si>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</si>
  <si>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</si>
  <si>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</si>
  <si>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</si>
  <si>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</si>
  <si>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</si>
  <si>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</si>
  <si>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</si>
  <si>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</si>
  <si>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</si>
  <si>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</si>
  <si>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</si>
  <si>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</si>
  <si>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</si>
  <si>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</si>
  <si>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</si>
  <si>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</si>
  <si>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</si>
  <si>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</si>
  <si>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</si>
  <si>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</si>
  <si>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</si>
  <si>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</si>
  <si>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</si>
  <si>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</si>
  <si>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</si>
  <si>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</si>
  <si>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</si>
  <si>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</si>
  <si>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</si>
  <si>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</si>
  <si>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</si>
  <si>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</si>
  <si>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</si>
  <si>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</si>
  <si>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</si>
  <si>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</si>
  <si>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</si>
  <si>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</si>
  <si>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</si>
  <si>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</si>
  <si>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</si>
  <si>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</si>
  <si>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</si>
  <si>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</si>
  <si>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</si>
  <si>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</si>
  <si>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</si>
  <si>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</si>
  <si>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</si>
  <si>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</si>
  <si>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</si>
  <si>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</si>
  <si>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</si>
  <si>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</si>
  <si>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</si>
  <si>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</si>
  <si>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</si>
  <si>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</si>
  <si>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</si>
  <si>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</si>
  <si>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</si>
  <si>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</si>
  <si>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</si>
  <si>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</si>
  <si>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</si>
  <si>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</si>
  <si>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</si>
  <si>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</si>
  <si>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</si>
  <si>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</si>
  <si>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</si>
  <si>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</si>
  <si>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</si>
  <si>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</si>
  <si>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</si>
  <si>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</si>
  <si>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</si>
  <si>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</si>
  <si>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</si>
  <si>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</si>
  <si>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</si>
  <si>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</si>
  <si>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</si>
  <si>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</si>
  <si>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</si>
  <si>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</si>
  <si>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</si>
  <si>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</si>
  <si>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</si>
  <si>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</si>
  <si>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</si>
  <si>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</si>
  <si>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</si>
  <si>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</si>
  <si>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</si>
  <si>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</si>
  <si>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</si>
  <si>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</si>
  <si>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</si>
  <si>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</si>
  <si>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</si>
  <si>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</si>
  <si>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</si>
  <si>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</si>
  <si>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</si>
  <si>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</si>
  <si>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</si>
  <si>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</si>
  <si>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</si>
  <si>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</si>
  <si>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</si>
  <si>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</si>
  <si>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</si>
  <si>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</si>
  <si>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</si>
  <si>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</si>
  <si>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</si>
  <si>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</si>
  <si>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</si>
  <si>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</si>
  <si>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</si>
  <si>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</si>
  <si>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</si>
  <si>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</si>
  <si>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</si>
  <si>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</si>
  <si>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</si>
  <si>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</si>
  <si>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</si>
  <si>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</si>
  <si>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</si>
  <si>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</si>
  <si>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</si>
  <si>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</si>
  <si>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</si>
  <si>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</si>
  <si>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</si>
  <si>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</si>
  <si>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</si>
  <si>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</si>
  <si>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</si>
  <si>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</si>
  <si>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</si>
  <si>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</si>
  <si>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</si>
  <si>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</si>
  <si>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</si>
  <si>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</si>
  <si>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</si>
  <si>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</si>
  <si>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</si>
  <si>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</si>
  <si>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</si>
  <si>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</si>
  <si>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</si>
  <si>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</si>
  <si>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</si>
  <si>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</si>
  <si>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</si>
  <si>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</si>
  <si>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</si>
  <si>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</si>
  <si>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</si>
  <si>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</si>
  <si>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</si>
  <si>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</si>
  <si>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</si>
  <si>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</si>
  <si>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</si>
  <si>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</si>
  <si>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</si>
  <si>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</si>
  <si>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</si>
  <si>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</si>
  <si>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</si>
  <si>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</si>
  <si>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</si>
  <si>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</si>
  <si>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</si>
  <si>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</si>
  <si>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</si>
  <si>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</si>
  <si>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</si>
  <si>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</si>
  <si>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</si>
  <si>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</si>
  <si>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</si>
  <si>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</si>
  <si>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</si>
  <si>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</si>
  <si>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</si>
  <si>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</si>
  <si>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</si>
  <si>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</si>
  <si>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</si>
  <si>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</si>
  <si>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</si>
  <si>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</si>
  <si>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</si>
  <si>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</si>
  <si>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</si>
  <si>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</si>
  <si>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</si>
  <si>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</si>
  <si>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</si>
  <si>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</si>
  <si>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</si>
  <si>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</si>
  <si>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</si>
  <si>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</si>
  <si>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</si>
  <si>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</si>
  <si>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</si>
  <si>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</si>
  <si>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</si>
  <si>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</si>
  <si>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</si>
  <si>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</si>
  <si>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</si>
  <si>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</si>
  <si>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</si>
  <si>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</si>
  <si>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</si>
  <si>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</si>
  <si>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</si>
  <si>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</si>
  <si>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</si>
  <si>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</si>
  <si>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</si>
  <si>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</si>
  <si>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</si>
  <si>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</si>
  <si>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</si>
  <si>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</si>
  <si>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</si>
  <si>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</si>
  <si>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</si>
  <si>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</si>
  <si>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</si>
  <si>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</si>
  <si>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</si>
  <si>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</si>
  <si>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</si>
  <si>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</si>
  <si>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</si>
  <si>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</si>
  <si>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</si>
  <si>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</si>
  <si>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</si>
  <si>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</si>
  <si>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</si>
  <si>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</si>
  <si>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</si>
  <si>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</si>
  <si>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</si>
  <si>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</si>
  <si>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</si>
  <si>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</si>
  <si>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</si>
  <si>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</si>
  <si>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</si>
  <si>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</si>
  <si>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</si>
  <si>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</si>
  <si>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</si>
  <si>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</si>
  <si>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</si>
  <si>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</si>
  <si>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</si>
  <si>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</si>
  <si>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</si>
  <si>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</si>
  <si>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</si>
  <si>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</si>
  <si>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</si>
  <si>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</si>
  <si>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</si>
  <si>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</si>
  <si>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</si>
  <si>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</si>
  <si>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</si>
  <si>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</si>
  <si>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</si>
  <si>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</si>
  <si>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</si>
  <si>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</si>
  <si>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</si>
  <si>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</si>
  <si>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</si>
  <si>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</si>
  <si>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</si>
  <si>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</si>
  <si>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</si>
  <si>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</si>
  <si>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</si>
  <si>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</si>
  <si>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</si>
  <si>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</si>
  <si>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</si>
  <si>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</si>
  <si>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</si>
  <si>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</si>
  <si>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</si>
  <si>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</si>
  <si>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</si>
  <si>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</si>
  <si>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</si>
  <si>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</si>
  <si>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</si>
  <si>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</si>
  <si>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</si>
  <si>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</si>
  <si>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</si>
  <si>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</si>
  <si>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</si>
  <si>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</si>
  <si>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</si>
  <si>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</si>
  <si>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</si>
  <si>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</si>
  <si>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</si>
  <si>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</si>
  <si>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</si>
  <si>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</si>
  <si>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</si>
  <si>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</si>
  <si>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</si>
  <si>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</si>
  <si>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</si>
  <si>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</si>
  <si>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</si>
  <si>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</si>
  <si>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</si>
  <si>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</si>
  <si>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</si>
  <si>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</si>
  <si>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</si>
  <si>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</si>
  <si>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</si>
  <si>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</si>
  <si>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</si>
  <si>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</si>
  <si>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</si>
  <si>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</si>
  <si>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</si>
  <si>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</si>
  <si>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</si>
  <si>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</si>
  <si>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</si>
  <si>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</si>
  <si>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</si>
  <si>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</si>
  <si>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</si>
  <si>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</si>
  <si>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</si>
  <si>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</si>
  <si>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</si>
  <si>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</si>
  <si>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</si>
  <si>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</si>
  <si>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</si>
  <si>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</si>
  <si>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</si>
  <si>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</si>
  <si>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</si>
  <si>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</si>
  <si>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</si>
  <si>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</si>
  <si>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</si>
  <si>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</si>
  <si>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</si>
  <si>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</si>
  <si>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</si>
  <si>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</si>
  <si>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</si>
  <si>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</si>
  <si>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</si>
  <si>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</si>
  <si>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</si>
  <si>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</si>
  <si>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</si>
  <si>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</si>
  <si>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</si>
  <si>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</si>
  <si>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</si>
  <si>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</si>
  <si>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</si>
  <si>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</si>
  <si>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</si>
  <si>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</si>
  <si>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</si>
  <si>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</si>
  <si>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</si>
  <si>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</si>
  <si>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</si>
  <si>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</si>
  <si>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</si>
  <si>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</si>
  <si>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</si>
  <si>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</si>
  <si>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</si>
  <si>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</si>
  <si>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</si>
  <si>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</si>
  <si>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</si>
  <si>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</si>
  <si>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</si>
  <si>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</si>
  <si>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</si>
  <si>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</si>
  <si>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</si>
  <si>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</si>
  <si>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</si>
  <si>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</si>
  <si>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</si>
  <si>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</si>
  <si>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</si>
  <si>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</si>
  <si>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</si>
  <si>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</si>
  <si>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</si>
  <si>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</si>
  <si>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</si>
  <si>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</si>
  <si>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</si>
  <si>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</si>
  <si>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</si>
  <si>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</si>
  <si>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</si>
  <si>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</si>
  <si>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</si>
  <si>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</si>
  <si>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</si>
  <si>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</si>
  <si>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</si>
  <si>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</si>
  <si>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</si>
  <si>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</si>
  <si>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</si>
  <si>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</si>
  <si>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</si>
  <si>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</si>
  <si>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</si>
  <si>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</si>
  <si>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</si>
  <si>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</si>
  <si>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</si>
  <si>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</si>
  <si>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</si>
  <si>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</si>
  <si>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</si>
  <si>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</si>
  <si>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</si>
  <si>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</si>
  <si>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</si>
  <si>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</si>
  <si>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</si>
  <si>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</si>
  <si>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</si>
  <si>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</si>
  <si>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</si>
  <si>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</si>
  <si>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</si>
  <si>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</si>
  <si>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</si>
  <si>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</si>
  <si>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</si>
  <si>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</si>
  <si>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</si>
  <si>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</si>
  <si>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</si>
  <si>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</si>
  <si>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</si>
  <si>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</si>
  <si>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</si>
  <si>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</si>
  <si>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</si>
  <si>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</si>
  <si>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</si>
  <si>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</si>
  <si>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</si>
  <si>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</si>
  <si>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</si>
  <si>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</si>
  <si>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</si>
  <si>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</si>
  <si>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</si>
  <si>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</si>
  <si>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</si>
  <si>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</si>
  <si>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</si>
  <si>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</si>
  <si>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</si>
  <si>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</si>
  <si>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</si>
  <si>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</si>
  <si>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</si>
  <si>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</si>
  <si>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</si>
  <si>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</si>
  <si>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</si>
  <si>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</si>
  <si>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</si>
  <si>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</si>
  <si>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</si>
  <si>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</si>
  <si>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</si>
  <si>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</si>
  <si>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</si>
  <si>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</si>
  <si>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</si>
  <si>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</si>
  <si>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</si>
  <si>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</si>
  <si>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</si>
  <si>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</si>
  <si>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</si>
  <si>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</si>
  <si>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</si>
  <si>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</si>
  <si>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</si>
  <si>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</si>
  <si>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</si>
  <si>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</si>
  <si>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</si>
  <si>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</si>
  <si>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</si>
  <si>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</si>
  <si>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</si>
  <si>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</si>
  <si>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</si>
  <si>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</si>
  <si>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</si>
  <si>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</si>
  <si>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</si>
  <si>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</si>
  <si>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</si>
  <si>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</si>
  <si>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</si>
  <si>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</si>
  <si>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</si>
  <si>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</si>
  <si>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</si>
  <si>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</si>
  <si>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</si>
  <si>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</si>
  <si>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</si>
  <si>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</si>
  <si>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</si>
  <si>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</si>
  <si>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</si>
  <si>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</si>
  <si>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</si>
  <si>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</si>
  <si>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</si>
  <si>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</si>
  <si>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</si>
  <si>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</si>
  <si>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</si>
  <si>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</si>
  <si>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</si>
  <si>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</si>
  <si>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</si>
  <si>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</si>
  <si>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</si>
  <si>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</si>
  <si>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</si>
  <si>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</si>
  <si>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</si>
  <si>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</si>
  <si>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</si>
  <si>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</si>
  <si>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</si>
  <si>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</si>
  <si>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</si>
  <si>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</si>
  <si>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</si>
  <si>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</si>
  <si>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</si>
  <si>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</si>
  <si>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</si>
  <si>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</si>
  <si>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</si>
  <si>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</si>
  <si>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</si>
  <si>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</si>
  <si>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</si>
  <si>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</si>
  <si>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</si>
  <si>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</si>
  <si>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</si>
  <si>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</si>
  <si>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</si>
  <si>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</si>
  <si>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</si>
  <si>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</si>
  <si>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</si>
  <si>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</si>
  <si>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</si>
  <si>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</si>
  <si>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</si>
  <si>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</si>
  <si>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</si>
  <si>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</si>
  <si>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</si>
  <si>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</si>
  <si>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</si>
  <si>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</si>
  <si>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</si>
  <si>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</si>
  <si>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</si>
  <si>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</si>
  <si>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</si>
  <si>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</si>
  <si>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</si>
  <si>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</si>
  <si>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</si>
  <si>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</si>
  <si>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</si>
  <si>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</si>
  <si>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</si>
  <si>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</si>
  <si>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</si>
  <si>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</si>
  <si>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</si>
  <si>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</si>
  <si>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</si>
  <si>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</si>
  <si>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</si>
  <si>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</si>
  <si>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</si>
  <si>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</si>
  <si>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</si>
  <si>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</si>
  <si>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</si>
  <si>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</si>
  <si>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</si>
  <si>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</si>
  <si>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</si>
  <si>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</si>
  <si>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</si>
  <si>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</si>
  <si>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</si>
  <si>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</si>
  <si>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</si>
  <si>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</si>
  <si>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</si>
  <si>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</si>
  <si>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</si>
  <si>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</si>
  <si>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</si>
  <si>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</si>
  <si>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</si>
  <si>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</si>
  <si>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</si>
  <si>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</si>
  <si>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</si>
  <si>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</si>
  <si>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</si>
  <si>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</si>
  <si>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</si>
  <si>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</si>
  <si>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</si>
  <si>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</si>
  <si>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</si>
  <si>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</si>
  <si>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</si>
  <si>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</si>
  <si>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</si>
  <si>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</si>
  <si>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</si>
  <si>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</si>
  <si>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</si>
  <si>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</si>
  <si>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</si>
  <si>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</si>
  <si>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</si>
  <si>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</si>
  <si>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</si>
  <si>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</si>
  <si>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</si>
  <si>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</si>
  <si>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</si>
  <si>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</si>
  <si>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</si>
  <si>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</si>
  <si>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</si>
  <si>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</si>
  <si>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</si>
  <si>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</si>
  <si>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</si>
  <si>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</si>
  <si>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</si>
  <si>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</si>
  <si>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</si>
  <si>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</si>
  <si>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</si>
  <si>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</si>
  <si>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</si>
  <si>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</si>
  <si>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</si>
  <si>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</si>
  <si>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</si>
  <si>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</si>
  <si>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</si>
  <si>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</si>
  <si>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</si>
  <si>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</si>
  <si>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</si>
  <si>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</si>
  <si>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</si>
  <si>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</si>
  <si>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</si>
  <si>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</si>
  <si>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</si>
  <si>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</si>
  <si>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</si>
  <si>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</si>
  <si>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</si>
  <si>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</si>
  <si>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</si>
  <si>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</si>
  <si>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</si>
  <si>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</si>
  <si>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</si>
  <si>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</si>
  <si>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</si>
  <si>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</si>
  <si>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</si>
  <si>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</si>
  <si>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</si>
  <si>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</si>
  <si>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</si>
  <si>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</si>
  <si>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</si>
  <si>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</si>
  <si>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</si>
  <si>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</si>
  <si>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</si>
  <si>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</si>
  <si>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</si>
  <si>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</si>
  <si>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</si>
  <si>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</si>
  <si>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</si>
  <si>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</si>
  <si>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</si>
  <si>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</si>
  <si>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</si>
  <si>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</si>
  <si>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</si>
  <si>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</si>
  <si>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</si>
  <si>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</si>
  <si>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</si>
  <si>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</si>
  <si>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</si>
  <si>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</si>
  <si>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</si>
  <si>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</si>
  <si>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</si>
  <si>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</si>
  <si>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</si>
  <si>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</si>
  <si>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</si>
  <si>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</si>
  <si>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</si>
  <si>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</si>
  <si>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</si>
  <si>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</si>
  <si>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</si>
  <si>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</si>
  <si>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</si>
  <si>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</si>
  <si>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</si>
  <si>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</si>
  <si>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</si>
  <si>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</si>
  <si>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</si>
  <si>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</si>
  <si>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</si>
  <si>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</si>
  <si>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</si>
  <si>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</si>
  <si>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</si>
  <si>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</si>
  <si>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</si>
  <si>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</si>
  <si>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</si>
  <si>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</si>
  <si>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</si>
  <si>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</si>
  <si>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</si>
  <si>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</si>
  <si>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</si>
  <si>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</si>
  <si>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</si>
  <si>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</si>
  <si>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</si>
  <si>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</si>
  <si>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</si>
  <si>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</si>
  <si>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</si>
  <si>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</si>
  <si>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</si>
  <si>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</si>
  <si>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</si>
  <si>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</si>
  <si>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</si>
  <si>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</si>
  <si>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</si>
  <si>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</si>
  <si>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</si>
  <si>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</si>
  <si>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</si>
  <si>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</si>
  <si>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</si>
  <si>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</si>
  <si>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</si>
  <si>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</si>
  <si>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</si>
  <si>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</si>
  <si>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</si>
  <si>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</si>
  <si>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</si>
  <si>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</si>
  <si>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</si>
  <si>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</si>
  <si>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</si>
  <si>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</si>
  <si>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</si>
  <si>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</si>
  <si>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</si>
  <si>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</si>
  <si>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</si>
  <si>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</si>
  <si>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</si>
  <si>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</si>
  <si>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</si>
  <si>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</si>
  <si>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</si>
  <si>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</si>
  <si>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</si>
  <si>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</si>
  <si>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</si>
  <si>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</si>
  <si>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</si>
  <si>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</si>
  <si>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</si>
  <si>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</si>
  <si>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</si>
  <si>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</si>
  <si>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</si>
  <si>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</si>
  <si>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</si>
  <si>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</si>
  <si>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</si>
  <si>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</si>
  <si>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</si>
  <si>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</si>
  <si>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</si>
  <si>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</si>
  <si>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</si>
  <si>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</si>
  <si>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</si>
  <si>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</si>
  <si>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</si>
  <si>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</si>
  <si>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</si>
  <si>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</si>
  <si>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</si>
  <si>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</si>
  <si>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</si>
  <si>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</si>
  <si>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</si>
  <si>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</si>
  <si>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</si>
  <si>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</si>
  <si>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</si>
  <si>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</si>
  <si>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</si>
  <si>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</si>
  <si>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</si>
  <si>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</si>
  <si>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</si>
  <si>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</si>
  <si>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</si>
  <si>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</si>
  <si>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</si>
  <si>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</si>
  <si>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</si>
  <si>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</si>
  <si>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</si>
  <si>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</si>
  <si>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</si>
  <si>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</si>
  <si>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</si>
  <si>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</si>
  <si>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</si>
  <si>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</si>
  <si>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</si>
  <si>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</si>
  <si>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</si>
  <si>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</si>
  <si>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</si>
  <si>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</si>
  <si>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</si>
  <si>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</si>
  <si>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</si>
  <si>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</si>
  <si>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</si>
  <si>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</si>
  <si>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</si>
  <si>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</si>
  <si>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</si>
  <si>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</si>
  <si>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</si>
  <si>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</si>
  <si>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</si>
  <si>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</si>
  <si>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</si>
  <si>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</si>
  <si>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</si>
  <si>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</si>
  <si>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</si>
  <si>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</si>
  <si>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</si>
  <si>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</si>
  <si>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</si>
  <si>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</si>
  <si>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</si>
  <si>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</si>
  <si>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</si>
  <si>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</si>
  <si>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</si>
  <si>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</si>
  <si>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</si>
  <si>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</si>
  <si>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</si>
  <si>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</si>
  <si>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</si>
  <si>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</si>
  <si>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</si>
  <si>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</si>
  <si>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</si>
  <si>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</si>
  <si>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</si>
  <si>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</si>
  <si>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</si>
  <si>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</si>
  <si>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</si>
  <si>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</si>
  <si>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</si>
  <si>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</si>
  <si>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</si>
  <si>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</si>
  <si>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</si>
  <si>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</si>
  <si>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</si>
  <si>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</si>
  <si>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</si>
  <si>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</si>
  <si>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</si>
  <si>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</si>
  <si>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</si>
  <si>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</si>
  <si>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</si>
  <si>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</si>
  <si>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</si>
  <si>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</si>
  <si>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</si>
  <si>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</si>
  <si>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</si>
  <si>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</si>
  <si>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</si>
  <si>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</si>
  <si>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</si>
  <si>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</si>
  <si>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</si>
  <si>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</si>
  <si>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</si>
  <si>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</si>
  <si>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</si>
  <si>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</si>
  <si>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</si>
  <si>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</si>
  <si>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</si>
  <si>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</si>
  <si>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</si>
  <si>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</si>
  <si>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</si>
  <si>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</si>
  <si>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</si>
  <si>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</si>
  <si>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</si>
  <si>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</si>
  <si>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</si>
  <si>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</si>
  <si>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</si>
  <si>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</si>
  <si>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</si>
  <si>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</si>
  <si>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</si>
  <si>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</si>
  <si>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</si>
  <si>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</si>
  <si>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</si>
  <si>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</si>
  <si>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</si>
  <si>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</si>
  <si>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</si>
  <si>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</si>
  <si>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</si>
  <si>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</si>
  <si>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</si>
  <si>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</si>
  <si>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</si>
  <si>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</si>
  <si>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</si>
  <si>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</si>
  <si>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</si>
  <si>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</si>
  <si>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</si>
  <si>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</si>
  <si>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</si>
  <si>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</si>
  <si>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</si>
  <si>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</si>
  <si>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</si>
  <si>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</si>
  <si>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</si>
  <si>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</si>
  <si>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</si>
  <si>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</si>
  <si>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</si>
  <si>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</si>
  <si>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</si>
  <si>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</si>
  <si>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</si>
  <si>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</si>
  <si>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</si>
  <si>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</si>
  <si>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</si>
  <si>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</si>
  <si>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</si>
  <si>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</si>
  <si>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</si>
  <si>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</si>
  <si>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</si>
  <si>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</si>
  <si>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</si>
  <si>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</si>
  <si>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</si>
  <si>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</si>
  <si>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</si>
  <si>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</si>
  <si>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</si>
  <si>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</si>
  <si>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</si>
  <si>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</si>
  <si>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</si>
  <si>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</si>
  <si>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</si>
  <si>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</si>
  <si>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</si>
  <si>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</si>
  <si>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</si>
  <si>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</si>
  <si>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</si>
  <si>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</si>
  <si>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</si>
  <si>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</si>
  <si>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</si>
  <si>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</si>
  <si>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</si>
  <si>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</si>
  <si>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</si>
  <si>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</si>
  <si>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</si>
  <si>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</si>
  <si>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</si>
  <si>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</si>
  <si>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</si>
  <si>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</si>
  <si>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</si>
  <si>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</si>
  <si>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</si>
  <si>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</si>
  <si>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</si>
  <si>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</si>
  <si>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</si>
  <si>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</si>
  <si>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</si>
  <si>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</si>
  <si>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</si>
  <si>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</si>
  <si>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</si>
  <si>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</si>
  <si>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</si>
  <si>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</si>
  <si>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</si>
  <si>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</si>
  <si>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</si>
  <si>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</si>
  <si>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</si>
  <si>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</si>
  <si>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</si>
  <si>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</si>
  <si>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</si>
  <si>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</si>
  <si>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</si>
  <si>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</si>
  <si>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</si>
  <si>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</si>
  <si>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</si>
  <si>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</si>
  <si>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</si>
  <si>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</si>
  <si>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</si>
  <si>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</si>
  <si>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</si>
  <si>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</si>
  <si>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</si>
  <si>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</si>
  <si>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</si>
  <si>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</si>
  <si>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</si>
  <si>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</si>
  <si>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</si>
  <si>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</si>
  <si>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</si>
  <si>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</si>
  <si>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</si>
  <si>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</si>
  <si>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</si>
  <si>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</si>
  <si>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</si>
  <si>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</si>
  <si>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</si>
  <si>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</si>
  <si>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</si>
  <si>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</si>
  <si>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</si>
  <si>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</si>
  <si>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</si>
  <si>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</si>
  <si>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</si>
  <si>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</si>
  <si>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</si>
  <si>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</si>
  <si>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</si>
  <si>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</si>
  <si>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</si>
  <si>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</si>
  <si>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</si>
  <si>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</si>
  <si>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</si>
  <si>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</si>
  <si>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</si>
  <si>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</si>
  <si>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</si>
  <si>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</si>
  <si>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</si>
  <si>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</si>
  <si>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</si>
  <si>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</si>
  <si>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</si>
  <si>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</si>
  <si>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</si>
  <si>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</si>
  <si>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</si>
  <si>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</si>
  <si>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</si>
  <si>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</si>
  <si>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</si>
  <si>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</si>
  <si>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</si>
  <si>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</si>
  <si>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</si>
  <si>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</si>
  <si>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</si>
  <si>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</si>
  <si>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</si>
  <si>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</si>
  <si>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</si>
  <si>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</si>
  <si>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</si>
  <si>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</si>
  <si>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</si>
  <si>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</si>
  <si>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</si>
  <si>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</si>
  <si>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</si>
  <si>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</si>
  <si>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</si>
  <si>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</si>
  <si>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</si>
  <si>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</si>
  <si>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</si>
  <si>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</si>
  <si>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</si>
  <si>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</si>
  <si>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</si>
  <si>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</si>
  <si>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</si>
  <si>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</si>
  <si>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</si>
  <si>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</si>
  <si>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</si>
  <si>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</si>
  <si>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</si>
  <si>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</si>
  <si>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</si>
  <si>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</si>
  <si>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</si>
  <si>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</si>
  <si>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</si>
  <si>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</si>
  <si>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</si>
  <si>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</si>
  <si>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</si>
  <si>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</si>
  <si>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</si>
  <si>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</si>
  <si>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</si>
  <si>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</si>
  <si>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</si>
  <si>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</si>
  <si>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</si>
  <si>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</si>
  <si>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</si>
  <si>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</si>
  <si>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</si>
  <si>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</si>
  <si>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</si>
  <si>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</si>
  <si>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</si>
  <si>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</si>
  <si>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</si>
  <si>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</si>
  <si>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</si>
  <si>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</si>
  <si>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</si>
  <si>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</si>
  <si>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</si>
  <si>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</si>
  <si>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</si>
  <si>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</si>
  <si>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</si>
  <si>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</si>
  <si>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</si>
  <si>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</si>
  <si>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</si>
  <si>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</si>
  <si>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</si>
  <si>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</si>
  <si>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</si>
  <si>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</si>
  <si>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</si>
  <si>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</si>
  <si>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</si>
  <si>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</si>
  <si>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</si>
  <si>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</si>
  <si>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</si>
  <si>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</si>
  <si>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</si>
  <si>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</si>
  <si>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</si>
  <si>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</si>
  <si>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</si>
  <si>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</si>
  <si>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</si>
  <si>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</si>
  <si>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</si>
  <si>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</si>
  <si>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</si>
  <si>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</si>
  <si>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</si>
  <si>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</si>
  <si>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</si>
  <si>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</si>
  <si>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</si>
  <si>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</si>
  <si>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</si>
  <si>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</si>
  <si>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</si>
  <si>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</si>
  <si>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</si>
  <si>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</si>
  <si>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</si>
  <si>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</si>
  <si>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</si>
  <si>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</si>
  <si>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</si>
  <si>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</si>
  <si>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</si>
  <si>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</si>
  <si>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</si>
  <si>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</si>
  <si>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</si>
  <si>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</si>
  <si>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</si>
  <si>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</si>
  <si>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</si>
  <si>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</si>
  <si>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</si>
  <si>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</si>
  <si>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</si>
  <si>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</si>
  <si>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</si>
  <si>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</si>
  <si>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</si>
  <si>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</si>
  <si>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</si>
  <si>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</si>
  <si>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</si>
  <si>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</si>
  <si>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</si>
  <si>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</si>
  <si>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</si>
  <si>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</si>
  <si>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</si>
  <si>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</si>
  <si>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</si>
  <si>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</si>
  <si>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</si>
  <si>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</si>
  <si>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</si>
  <si>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</si>
  <si>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</si>
  <si>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</si>
  <si>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</si>
  <si>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</si>
  <si>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</si>
  <si>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</si>
  <si>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</si>
  <si>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</si>
  <si>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</si>
  <si>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</si>
  <si>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</si>
  <si>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</si>
  <si>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</si>
  <si>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</si>
  <si>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</si>
  <si>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</si>
  <si>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</si>
  <si>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</si>
  <si>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</si>
  <si>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</si>
  <si>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</si>
  <si>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</si>
  <si>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</si>
  <si>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</si>
  <si>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</si>
  <si>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</si>
  <si>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</si>
  <si>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</si>
  <si>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</si>
  <si>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</si>
  <si>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</si>
  <si>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</si>
  <si>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</si>
  <si>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</si>
  <si>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</si>
  <si>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</si>
  <si>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</si>
  <si>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</si>
  <si>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</si>
  <si>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</si>
  <si>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</si>
  <si>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</si>
  <si>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</si>
  <si>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</si>
  <si>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</si>
  <si>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</si>
  <si>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</si>
  <si>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</si>
  <si>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</si>
  <si>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</si>
  <si>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</si>
  <si>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</si>
  <si>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</si>
  <si>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</si>
  <si>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</si>
  <si>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</si>
  <si>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</si>
  <si>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</si>
  <si>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</si>
  <si>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</si>
  <si>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</si>
  <si>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</si>
  <si>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</si>
  <si>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</si>
  <si>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</si>
  <si>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</si>
  <si>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</si>
  <si>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</si>
  <si>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</si>
  <si>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</si>
  <si>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</si>
  <si>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</si>
  <si>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</si>
  <si>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</si>
  <si>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</si>
  <si>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</si>
  <si>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</si>
  <si>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</si>
  <si>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</si>
  <si>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</si>
  <si>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</si>
  <si>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</si>
  <si>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</si>
  <si>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</si>
  <si>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</si>
  <si>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</si>
  <si>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</si>
  <si>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</si>
  <si>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</si>
  <si>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</si>
  <si>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</si>
  <si>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</si>
  <si>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</si>
  <si>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</si>
  <si>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</si>
  <si>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</si>
  <si>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</si>
  <si>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</si>
  <si>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</si>
  <si>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</si>
  <si>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</si>
  <si>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</si>
  <si>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</si>
  <si>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</si>
  <si>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</si>
  <si>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</si>
  <si>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</si>
  <si>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</si>
  <si>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</si>
  <si>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</si>
  <si>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</si>
  <si>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</si>
  <si>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</si>
  <si>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</si>
  <si>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</si>
  <si>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</si>
  <si>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</si>
  <si>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</si>
  <si>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</si>
  <si>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</si>
  <si>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</si>
  <si>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</si>
  <si>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</si>
  <si>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</si>
  <si>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</si>
  <si>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</si>
  <si>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</si>
  <si>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</si>
  <si>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</si>
  <si>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</si>
  <si>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</si>
  <si>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</si>
  <si>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</si>
  <si>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</si>
  <si>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</si>
  <si>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</si>
  <si>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</si>
  <si>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</si>
  <si>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</si>
  <si>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</si>
  <si>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</si>
  <si>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</si>
  <si>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</si>
  <si>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</si>
  <si>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</si>
  <si>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</si>
  <si>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</si>
  <si>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</si>
  <si>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</si>
  <si>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</si>
  <si>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</si>
  <si>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</si>
  <si>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</si>
  <si>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</si>
  <si>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</si>
  <si>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</si>
  <si>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</si>
  <si>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</si>
  <si>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</si>
  <si>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</si>
  <si>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</si>
  <si>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</si>
  <si>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</si>
  <si>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</si>
  <si>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</si>
  <si>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</si>
  <si>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</si>
  <si>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</si>
  <si>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</si>
  <si>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</si>
  <si>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</si>
  <si>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</si>
  <si>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</si>
  <si>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</si>
  <si>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</si>
  <si>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</si>
  <si>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</si>
  <si>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</si>
  <si>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</si>
  <si>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</si>
  <si>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</si>
  <si>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</si>
  <si>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</si>
  <si>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</si>
  <si>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</si>
  <si>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</si>
  <si>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</si>
  <si>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</si>
  <si>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</si>
  <si>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</si>
  <si>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</si>
  <si>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</si>
  <si>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</si>
  <si>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</si>
  <si>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</si>
  <si>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</si>
  <si>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</si>
  <si>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</si>
  <si>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</si>
  <si>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</si>
  <si>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</si>
  <si>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</si>
  <si>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</si>
  <si>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</si>
  <si>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</si>
  <si>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</si>
  <si>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</si>
  <si>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</si>
  <si>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</si>
  <si>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</si>
  <si>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</si>
  <si>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</si>
  <si>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</si>
  <si>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</si>
  <si>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</si>
  <si>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</si>
  <si>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</si>
  <si>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</si>
  <si>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</si>
  <si>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</si>
  <si>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</si>
  <si>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</si>
  <si>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</si>
  <si>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</si>
  <si>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</si>
  <si>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</si>
  <si>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</si>
  <si>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</si>
  <si>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</si>
  <si>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</si>
  <si>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</si>
  <si>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</si>
  <si>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</si>
  <si>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</si>
  <si>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</si>
  <si>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</si>
  <si>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</si>
  <si>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</si>
  <si>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</si>
  <si>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</si>
  <si>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</si>
  <si>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</si>
  <si>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</si>
  <si>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</si>
  <si>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</si>
  <si>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</si>
  <si>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</si>
  <si>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</si>
  <si>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</si>
  <si>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</si>
  <si>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</si>
  <si>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</si>
  <si>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</si>
  <si>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</si>
  <si>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</si>
  <si>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</si>
  <si>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</si>
  <si>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</si>
  <si>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</si>
  <si>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</si>
  <si>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</si>
  <si>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</si>
  <si>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</si>
  <si>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</si>
  <si>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</si>
  <si>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</si>
  <si>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</si>
  <si>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</si>
  <si>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</si>
  <si>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</si>
  <si>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</si>
  <si>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</si>
  <si>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</si>
  <si>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</si>
  <si>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</si>
  <si>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</si>
  <si>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</si>
  <si>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</si>
  <si>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</si>
  <si>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</si>
  <si>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</si>
  <si>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</si>
  <si>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</si>
  <si>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</si>
  <si>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</si>
  <si>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</si>
  <si>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</si>
  <si>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</si>
  <si>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</si>
  <si>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</si>
  <si>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</si>
  <si>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</si>
  <si>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</si>
  <si>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</si>
  <si>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</si>
  <si>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</si>
  <si>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</si>
  <si>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</si>
  <si>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</si>
  <si>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</si>
  <si>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</si>
  <si>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</si>
  <si>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</si>
  <si>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</si>
  <si>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</si>
  <si>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</si>
  <si>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</si>
  <si>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</si>
  <si>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</si>
  <si>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</si>
  <si>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</si>
  <si>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</si>
  <si>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</si>
  <si>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</si>
  <si>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</si>
  <si>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</si>
  <si>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</si>
  <si>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</si>
  <si>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</si>
  <si>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</si>
  <si>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</si>
  <si>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</si>
  <si>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</si>
  <si>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</si>
  <si>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</si>
  <si>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</si>
  <si>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</si>
  <si>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</si>
  <si>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</si>
  <si>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</si>
  <si>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</si>
  <si>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</si>
  <si>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</si>
  <si>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</si>
  <si>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</si>
  <si>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</si>
  <si>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</si>
  <si>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</si>
  <si>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</si>
  <si>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</si>
  <si>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</si>
  <si>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</si>
  <si>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</si>
  <si>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</si>
  <si>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</si>
  <si>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</si>
  <si>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</si>
  <si>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</si>
  <si>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</si>
  <si>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</si>
  <si>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</si>
  <si>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</si>
  <si>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</si>
  <si>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</si>
  <si>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</si>
  <si>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</si>
  <si>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</si>
  <si>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</si>
  <si>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</si>
  <si>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</si>
  <si>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</si>
  <si>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</si>
  <si>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</si>
  <si>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</si>
  <si>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</si>
  <si>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</si>
  <si>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</si>
  <si>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</si>
  <si>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</si>
  <si>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</si>
  <si>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</si>
  <si>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</si>
  <si>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</si>
  <si>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</si>
  <si>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</si>
  <si>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</si>
  <si>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</si>
  <si>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</si>
  <si>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</si>
  <si>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</si>
  <si>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</si>
  <si>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</si>
  <si>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</si>
  <si>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</si>
  <si>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</si>
  <si>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</si>
  <si>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</si>
  <si>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</si>
  <si>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</si>
  <si>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</si>
  <si>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</si>
  <si>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</si>
  <si>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</si>
  <si>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</si>
  <si>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</si>
  <si>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</si>
  <si>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</si>
  <si>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</si>
  <si>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</si>
  <si>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</si>
  <si>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</si>
  <si>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</si>
  <si>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</si>
  <si>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</si>
  <si>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</si>
  <si>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</si>
  <si>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</si>
  <si>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</si>
  <si>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</si>
  <si>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</si>
  <si>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</si>
  <si>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</si>
  <si>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</si>
  <si>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</si>
  <si>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</si>
  <si>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</si>
  <si>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</si>
  <si>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</si>
  <si>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</si>
  <si>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</si>
  <si>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</si>
  <si>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</si>
  <si>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</si>
  <si>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</si>
  <si>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</si>
  <si>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</si>
  <si>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</si>
  <si>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</si>
  <si>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</si>
  <si>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</si>
  <si>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</si>
  <si>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</si>
  <si>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</si>
  <si>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</si>
  <si>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</si>
  <si>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</si>
  <si>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</si>
  <si>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</si>
  <si>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</si>
  <si>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</si>
  <si>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</si>
  <si>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</si>
  <si>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</si>
  <si>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</si>
  <si>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</si>
  <si>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</si>
  <si>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</si>
  <si>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</si>
  <si>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</si>
  <si>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</si>
  <si>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</si>
  <si>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</si>
  <si>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</si>
  <si>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</si>
  <si>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</si>
  <si>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</si>
  <si>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</si>
  <si>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</si>
  <si>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</si>
  <si>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</si>
  <si>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</si>
  <si>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</si>
  <si>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</si>
  <si>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</si>
  <si>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</si>
  <si>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</si>
  <si>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</si>
  <si>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</si>
  <si>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</si>
  <si>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</si>
  <si>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</si>
  <si>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</si>
  <si>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</si>
  <si>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</si>
  <si>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</si>
  <si>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</si>
  <si>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</si>
  <si>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</si>
  <si>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</si>
  <si>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</si>
  <si>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</si>
  <si>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</si>
  <si>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</si>
  <si>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</si>
  <si>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</si>
  <si>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</si>
  <si>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</si>
  <si>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</si>
  <si>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</si>
  <si>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</si>
  <si>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</si>
  <si>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</si>
  <si>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</si>
  <si>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</si>
  <si>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</si>
  <si>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</si>
  <si>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</si>
  <si>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</si>
  <si>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</si>
  <si>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</si>
  <si>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</si>
  <si>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</si>
  <si>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</si>
  <si>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</si>
  <si>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</si>
  <si>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</si>
  <si>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</si>
  <si>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</si>
  <si>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</si>
  <si>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</si>
  <si>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</si>
  <si>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</si>
  <si>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</si>
  <si>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</si>
  <si>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</si>
  <si>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</si>
  <si>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</si>
  <si>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</si>
  <si>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</si>
  <si>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</si>
  <si>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</si>
  <si>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</si>
  <si>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</si>
  <si>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</si>
  <si>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</si>
  <si>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</si>
  <si>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</si>
  <si>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</si>
  <si>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</si>
  <si>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</si>
  <si>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</si>
  <si>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</si>
  <si>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</si>
  <si>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</si>
  <si>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</si>
  <si>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</si>
  <si>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</si>
  <si>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</si>
  <si>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</si>
  <si>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</si>
  <si>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</si>
  <si>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</si>
  <si>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</si>
  <si>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</si>
  <si>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</si>
  <si>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</si>
  <si>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</si>
  <si>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</si>
  <si>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</si>
  <si>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</si>
  <si>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</si>
  <si>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</si>
  <si>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</si>
  <si>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</si>
  <si>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</si>
  <si>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</si>
  <si>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</si>
  <si>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</si>
  <si>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</si>
  <si>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</si>
  <si>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</si>
  <si>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</si>
  <si>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</si>
  <si>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</si>
  <si>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</si>
  <si>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</si>
  <si>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</si>
  <si>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</si>
  <si>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</si>
  <si>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</si>
  <si>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</si>
  <si>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</si>
  <si>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</si>
  <si>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</si>
  <si>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</si>
  <si>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</si>
  <si>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</si>
  <si>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</si>
  <si>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</si>
  <si>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</si>
  <si>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</si>
  <si>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</si>
  <si>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</si>
  <si>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</si>
  <si>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</si>
  <si>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</si>
  <si>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</si>
  <si>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</si>
  <si>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</si>
  <si>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</si>
  <si>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</si>
  <si>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</si>
  <si>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</si>
  <si>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</si>
  <si>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</si>
  <si>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</si>
  <si>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</si>
  <si>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</si>
  <si>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</si>
  <si>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</si>
  <si>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</si>
  <si>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</si>
  <si>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</si>
  <si>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</si>
  <si>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</si>
  <si>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</si>
  <si>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</si>
  <si>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</si>
  <si>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</si>
  <si>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</si>
  <si>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</si>
  <si>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</si>
  <si>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</si>
  <si>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</si>
  <si>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</si>
  <si>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</si>
  <si>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</si>
  <si>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</si>
  <si>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</si>
  <si>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</si>
  <si>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</si>
  <si>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</si>
  <si>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</si>
  <si>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</si>
  <si>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</si>
  <si>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</si>
  <si>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</si>
  <si>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</si>
  <si>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</si>
  <si>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</si>
  <si>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</si>
  <si>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</si>
  <si>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</si>
  <si>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</si>
  <si>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</si>
  <si>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</si>
  <si>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</si>
  <si>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</si>
  <si>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</si>
  <si>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</si>
  <si>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</si>
  <si>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</si>
  <si>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</si>
  <si>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</si>
  <si>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</si>
  <si>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</si>
  <si>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</si>
  <si>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</si>
  <si>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</si>
  <si>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</si>
  <si>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</si>
  <si>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</si>
  <si>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</si>
  <si>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</si>
  <si>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</si>
  <si>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</si>
  <si>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</si>
  <si>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</si>
  <si>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</si>
  <si>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</si>
  <si>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</si>
  <si>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</si>
  <si>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</si>
  <si>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</si>
  <si>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</si>
  <si>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</si>
  <si>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</si>
  <si>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</si>
  <si>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</si>
  <si>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</si>
  <si>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</si>
  <si>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</si>
  <si>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</si>
  <si>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</si>
  <si>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</si>
  <si>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</si>
  <si>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</si>
  <si>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</si>
  <si>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</si>
  <si>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</si>
  <si>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</si>
  <si>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</si>
  <si>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</si>
  <si>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</si>
  <si>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</si>
  <si>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</si>
  <si>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</si>
  <si>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</si>
  <si>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</si>
  <si>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</si>
  <si>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</si>
  <si>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</si>
  <si>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</si>
  <si>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</si>
  <si>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</si>
  <si>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</si>
  <si>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</si>
  <si>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</si>
  <si>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</si>
  <si>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</si>
  <si>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</si>
  <si>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</si>
  <si>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</si>
  <si>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</si>
  <si>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</si>
  <si>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</si>
  <si>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</si>
  <si>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</si>
  <si>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</si>
  <si>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</si>
  <si>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</si>
  <si>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</si>
  <si>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</si>
  <si>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</si>
  <si>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</si>
  <si>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</si>
  <si>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</si>
  <si>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</si>
  <si>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</si>
  <si>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</si>
  <si>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</si>
  <si>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</si>
  <si>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</si>
  <si>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</si>
  <si>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</si>
  <si>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</si>
  <si>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</si>
  <si>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</si>
  <si>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</si>
  <si>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</si>
  <si>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</si>
  <si>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</si>
  <si>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</si>
  <si>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</si>
  <si>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</si>
  <si>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</si>
  <si>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</si>
  <si>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</si>
  <si>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</si>
  <si>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</si>
  <si>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</si>
  <si>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</si>
  <si>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</si>
  <si>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</si>
  <si>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</si>
  <si>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</si>
  <si>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</si>
  <si>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</si>
  <si>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</si>
  <si>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</si>
  <si>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</si>
  <si>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</si>
  <si>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</si>
  <si>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</si>
  <si>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</si>
  <si>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</si>
  <si>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</si>
  <si>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</si>
  <si>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</si>
  <si>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</si>
  <si>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</si>
  <si>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</si>
  <si>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</si>
  <si>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</si>
  <si>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</si>
  <si>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</si>
  <si>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</si>
  <si>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</si>
  <si>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</si>
  <si>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</si>
  <si>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</si>
  <si>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</si>
  <si>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</si>
  <si>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</si>
  <si>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</si>
  <si>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</si>
  <si>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</si>
  <si>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</si>
  <si>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</si>
  <si>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</si>
  <si>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</si>
  <si>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</si>
  <si>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</si>
  <si>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</si>
  <si>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</si>
  <si>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</si>
  <si>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</si>
  <si>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</si>
  <si>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</si>
  <si>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</si>
  <si>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</si>
  <si>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</si>
  <si>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</si>
  <si>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</si>
  <si>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</si>
  <si>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</si>
  <si>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</si>
  <si>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</si>
  <si>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</si>
  <si>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</si>
  <si>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</si>
  <si>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</si>
  <si>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</si>
  <si>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</si>
  <si>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</si>
  <si>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</si>
  <si>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</si>
  <si>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</si>
  <si>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</si>
  <si>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</si>
  <si>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</si>
  <si>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</si>
  <si>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</si>
  <si>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</si>
  <si>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</si>
  <si>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</si>
  <si>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</si>
  <si>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</si>
  <si>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</si>
  <si>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</si>
  <si>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</si>
  <si>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</si>
  <si>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</si>
  <si>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</si>
  <si>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</si>
  <si>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</si>
  <si>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</si>
  <si>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</si>
  <si>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</si>
  <si>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</si>
  <si>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</si>
  <si>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</si>
  <si>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</si>
  <si>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</si>
  <si>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</si>
  <si>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</si>
  <si>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</si>
  <si>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</si>
  <si>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</si>
  <si>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</si>
  <si>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</si>
  <si>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</si>
  <si>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</si>
  <si>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</si>
  <si>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</si>
  <si>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</si>
  <si>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</si>
  <si>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</si>
  <si>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</si>
  <si>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</si>
  <si>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</si>
  <si>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</si>
  <si>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</si>
  <si>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</si>
  <si>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</si>
  <si>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</si>
  <si>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</si>
  <si>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</si>
  <si>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</si>
  <si>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</si>
  <si>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</si>
  <si>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</si>
  <si>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</si>
  <si>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</si>
  <si>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</si>
  <si>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</si>
  <si>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</si>
  <si>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</si>
  <si>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</si>
  <si>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</si>
  <si>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</si>
  <si>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</si>
  <si>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</si>
  <si>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</si>
  <si>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</si>
  <si>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</si>
  <si>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</si>
  <si>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</si>
  <si>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</si>
  <si>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</si>
  <si>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</si>
  <si>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</si>
  <si>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</si>
  <si>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</si>
  <si>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</si>
  <si>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</si>
  <si>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</si>
  <si>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</si>
  <si>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</si>
  <si>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</si>
  <si>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</si>
  <si>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</si>
  <si>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</si>
  <si>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</si>
  <si>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</si>
  <si>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</si>
  <si>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</si>
  <si>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</si>
  <si>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</si>
  <si>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</si>
  <si>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</si>
  <si>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</si>
  <si>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</si>
  <si>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</si>
  <si>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</si>
  <si>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</si>
  <si>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</si>
  <si>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</si>
  <si>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</si>
  <si>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</si>
  <si>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</si>
  <si>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</si>
  <si>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</si>
  <si>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</si>
  <si>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</si>
  <si>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</si>
  <si>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</si>
  <si>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</si>
  <si>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</si>
  <si>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</si>
  <si>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</si>
  <si>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</si>
  <si>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</si>
  <si>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</si>
  <si>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</si>
  <si>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</si>
  <si>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</si>
  <si>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</si>
  <si>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</si>
  <si>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</si>
  <si>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</si>
  <si>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</si>
  <si>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</si>
  <si>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</si>
  <si>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</si>
  <si>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</si>
  <si>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</si>
  <si>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</si>
  <si>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</si>
  <si>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</si>
  <si>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</si>
  <si>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</si>
  <si>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</si>
  <si>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</si>
  <si>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</si>
  <si>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</si>
  <si>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</si>
  <si>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</si>
  <si>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</si>
  <si>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</si>
  <si>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</si>
  <si>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</si>
  <si>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</si>
  <si>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</si>
  <si>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</si>
  <si>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</si>
  <si>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</si>
  <si>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</si>
  <si>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</si>
  <si>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</si>
  <si>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</si>
  <si>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</si>
  <si>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</si>
  <si>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</si>
  <si>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</si>
  <si>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</si>
  <si>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</si>
  <si>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</si>
  <si>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</si>
  <si>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</si>
  <si>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</si>
  <si>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</si>
  <si>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</si>
  <si>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</si>
  <si>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</si>
  <si>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</si>
  <si>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</si>
  <si>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</si>
  <si>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</si>
  <si>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</si>
  <si>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</si>
  <si>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</si>
  <si>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</si>
  <si>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</si>
  <si>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</si>
  <si>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</si>
  <si>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</si>
  <si>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</si>
  <si>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</si>
  <si>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</si>
  <si>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</si>
  <si>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</si>
  <si>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</si>
  <si>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</si>
  <si>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</si>
  <si>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</si>
  <si>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</si>
  <si>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</si>
  <si>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</si>
  <si>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</si>
  <si>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</si>
  <si>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</si>
  <si>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</si>
  <si>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</si>
  <si>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</si>
  <si>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</si>
  <si>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</si>
  <si>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</si>
  <si>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</si>
  <si>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</si>
  <si>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</si>
  <si>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</si>
  <si>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</si>
  <si>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</si>
  <si>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</si>
  <si>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</si>
  <si>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</si>
  <si>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</si>
  <si>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</si>
  <si>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</si>
  <si>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</si>
  <si>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</si>
  <si>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</si>
  <si>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</si>
  <si>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</si>
  <si>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</si>
  <si>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</si>
  <si>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</si>
  <si>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</si>
  <si>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</si>
  <si>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</si>
  <si>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</si>
  <si>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</si>
  <si>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</si>
  <si>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</si>
  <si>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</si>
  <si>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</si>
  <si>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</si>
  <si>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</si>
  <si>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</si>
  <si>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</si>
  <si>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</si>
  <si>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</si>
  <si>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</si>
  <si>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</si>
  <si>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</si>
  <si>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</si>
  <si>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</si>
  <si>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</si>
  <si>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</si>
  <si>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</si>
  <si>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</si>
  <si>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</si>
  <si>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</si>
  <si>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</si>
  <si>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</si>
  <si>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</si>
  <si>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</si>
  <si>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</si>
  <si>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</si>
  <si>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</si>
  <si>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</si>
  <si>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</si>
  <si>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</si>
  <si>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</si>
  <si>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</si>
  <si>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</si>
  <si>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</si>
  <si>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</si>
  <si>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</si>
  <si>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</si>
  <si>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</si>
  <si>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</si>
  <si>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</si>
  <si>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</si>
  <si>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</si>
  <si>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</si>
  <si>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</si>
  <si>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</si>
  <si>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</si>
  <si>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</si>
  <si>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</si>
  <si>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</si>
  <si>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</si>
  <si>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</si>
  <si>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</si>
  <si>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</si>
  <si>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</si>
  <si>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</si>
  <si>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</si>
  <si>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</si>
  <si>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</si>
  <si>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</si>
  <si>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</si>
  <si>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</si>
  <si>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</si>
  <si>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</si>
  <si>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</si>
  <si>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</si>
  <si>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</si>
  <si>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</si>
  <si>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</si>
  <si>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</si>
  <si>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</si>
  <si>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</si>
  <si>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</si>
  <si>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</si>
  <si>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</si>
  <si>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</si>
  <si>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</si>
  <si>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</si>
  <si>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</si>
  <si>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</si>
  <si>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</si>
  <si>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</si>
  <si>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</si>
  <si>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</si>
  <si>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</si>
  <si>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</si>
  <si>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</si>
  <si>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</si>
  <si>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</si>
  <si>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</si>
  <si>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</si>
  <si>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</si>
  <si>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</si>
  <si>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</si>
  <si>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</si>
  <si>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</si>
  <si>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</si>
  <si>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</si>
  <si>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</si>
  <si>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</si>
  <si>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</si>
  <si>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</si>
  <si>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</si>
  <si>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</si>
  <si>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</si>
  <si>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</si>
  <si>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</si>
  <si>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</si>
  <si>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</si>
  <si>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</si>
  <si>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</si>
  <si>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</si>
  <si>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</si>
  <si>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</si>
  <si>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</si>
  <si>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</si>
  <si>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</si>
  <si>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</si>
  <si>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</si>
  <si>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</si>
  <si>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</si>
  <si>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</si>
  <si>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</si>
  <si>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</si>
  <si>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</si>
  <si>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</si>
  <si>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</si>
  <si>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</si>
  <si>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</si>
  <si>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</si>
  <si>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</si>
  <si>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</si>
  <si>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</si>
  <si>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</si>
  <si>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</si>
  <si>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</si>
  <si>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</si>
  <si>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</si>
  <si>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</si>
  <si>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</si>
  <si>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</si>
  <si>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</si>
  <si>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</si>
  <si>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</si>
  <si>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</si>
  <si>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</si>
  <si>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</si>
  <si>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</si>
  <si>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</si>
  <si>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</si>
  <si>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</si>
  <si>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</si>
  <si>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</si>
  <si>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</si>
  <si>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</si>
  <si>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</si>
  <si>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</si>
  <si>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</si>
  <si>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</si>
  <si>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</si>
  <si>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</si>
  <si>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</si>
  <si>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</si>
  <si>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</si>
  <si>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</si>
  <si>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</si>
  <si>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</si>
  <si>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</si>
  <si>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</si>
  <si>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</si>
  <si>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</si>
  <si>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</si>
  <si>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</si>
  <si>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</si>
  <si>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</si>
  <si>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</si>
  <si>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</si>
  <si>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</si>
  <si>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</si>
  <si>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</si>
  <si>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</si>
  <si>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</si>
  <si>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</si>
  <si>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</si>
  <si>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</si>
  <si>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</si>
  <si>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</si>
  <si>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</si>
  <si>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</si>
  <si>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</si>
  <si>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</si>
  <si>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</si>
  <si>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</si>
  <si>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</si>
  <si>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</si>
  <si>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</si>
  <si>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</si>
  <si>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</si>
  <si>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</si>
  <si>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</si>
  <si>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</si>
  <si>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</si>
  <si>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</si>
  <si>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</si>
  <si>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</si>
  <si>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</si>
  <si>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</si>
  <si>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</si>
  <si>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</si>
  <si>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</si>
  <si>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</si>
  <si>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</si>
  <si>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</si>
  <si>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</si>
  <si>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</si>
  <si>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</si>
  <si>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</si>
  <si>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</si>
  <si>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</si>
  <si>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</si>
  <si>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</si>
  <si>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</si>
  <si>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</si>
  <si>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</si>
  <si>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</si>
  <si>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</si>
  <si>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</si>
  <si>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</si>
  <si>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</si>
  <si>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</si>
  <si>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</si>
  <si>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</si>
  <si>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</si>
  <si>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</si>
  <si>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</si>
  <si>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</si>
  <si>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</si>
  <si>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</si>
  <si>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</si>
  <si>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</si>
  <si>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</si>
  <si>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</si>
  <si>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</si>
  <si>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</si>
  <si>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</si>
  <si>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</si>
  <si>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</si>
  <si>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</si>
  <si>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</si>
  <si>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</si>
  <si>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</si>
  <si>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</si>
  <si>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</si>
  <si>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</si>
  <si>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</si>
  <si>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</si>
  <si>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</si>
  <si>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</si>
  <si>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</si>
  <si>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</si>
  <si>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</si>
  <si>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</si>
  <si>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</si>
  <si>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</si>
  <si>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</si>
  <si>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</si>
  <si>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</si>
  <si>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</si>
  <si>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</si>
  <si>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</si>
  <si>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</si>
  <si>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</si>
  <si>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</si>
  <si>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</si>
  <si>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</si>
  <si>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</si>
  <si>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</si>
  <si>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</si>
  <si>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</si>
  <si>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</si>
  <si>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</si>
  <si>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</si>
  <si>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</si>
  <si>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</si>
  <si>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</si>
  <si>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</si>
  <si>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</si>
  <si>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</si>
  <si>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</si>
  <si>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</si>
  <si>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</si>
  <si>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</si>
  <si>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</si>
  <si>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</si>
  <si>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</si>
  <si>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</si>
  <si>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</si>
  <si>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</si>
  <si>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</si>
  <si>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</si>
  <si>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</si>
  <si>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</si>
  <si>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</si>
  <si>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</si>
  <si>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</si>
  <si>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</si>
  <si>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</si>
  <si>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</si>
  <si>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</si>
  <si>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</si>
  <si>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</si>
  <si>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</si>
  <si>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</si>
  <si>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</si>
  <si>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</si>
  <si>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</si>
  <si>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</si>
  <si>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</si>
  <si>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</si>
  <si>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</si>
  <si>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</si>
  <si>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</si>
  <si>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</si>
  <si>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</si>
  <si>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</si>
  <si>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</si>
  <si>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</si>
  <si>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</si>
  <si>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</si>
  <si>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</si>
  <si>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</si>
  <si>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</si>
  <si>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</si>
  <si>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</si>
  <si>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</si>
  <si>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</si>
  <si>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</si>
  <si>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</si>
  <si>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</si>
  <si>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</si>
  <si>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</si>
  <si>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</si>
  <si>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</si>
  <si>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</si>
  <si>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</si>
  <si>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</si>
  <si>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</si>
  <si>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</si>
  <si>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</si>
  <si>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</si>
  <si>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</si>
  <si>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</si>
  <si>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</si>
  <si>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</si>
  <si>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</si>
  <si>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</si>
  <si>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</si>
  <si>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</si>
  <si>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</si>
  <si>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</si>
  <si>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</si>
  <si>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</si>
  <si>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</si>
  <si>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</si>
  <si>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</si>
  <si>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</si>
  <si>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</si>
  <si>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</si>
  <si>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</si>
  <si>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</si>
  <si>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</si>
  <si>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</si>
  <si>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</si>
  <si>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</si>
  <si>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</si>
  <si>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</si>
  <si>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</si>
  <si>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</si>
  <si>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</si>
  <si>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</si>
  <si>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</si>
  <si>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</si>
  <si>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</si>
  <si>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</si>
  <si>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</si>
  <si>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</si>
  <si>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</si>
  <si>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</si>
  <si>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</si>
  <si>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</si>
  <si>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</si>
  <si>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</si>
  <si>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</si>
  <si>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</si>
  <si>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</si>
  <si>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</si>
  <si>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</si>
  <si>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</si>
  <si>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</si>
  <si>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</si>
  <si>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</si>
  <si>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</si>
  <si>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</si>
  <si>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</si>
  <si>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</si>
  <si>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</si>
  <si>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</si>
  <si>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</si>
  <si>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</si>
  <si>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</si>
  <si>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</si>
  <si>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</si>
  <si>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</si>
  <si>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</si>
  <si>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</si>
  <si>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</si>
  <si>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</si>
  <si>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</si>
  <si>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</si>
  <si>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</si>
  <si>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</si>
  <si>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</si>
  <si>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</si>
  <si>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</si>
  <si>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</si>
  <si>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</si>
  <si>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</si>
  <si>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</si>
  <si>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</si>
  <si>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</si>
  <si>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</si>
  <si>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</si>
  <si>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</si>
  <si>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</si>
  <si>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</si>
  <si>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</si>
  <si>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</si>
  <si>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</si>
  <si>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</si>
  <si>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</si>
  <si>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</si>
  <si>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</si>
  <si>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</si>
  <si>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</si>
  <si>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</si>
  <si>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</si>
  <si>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</si>
  <si>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</si>
  <si>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</si>
  <si>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</si>
  <si>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</si>
  <si>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</si>
  <si>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</si>
  <si>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</si>
  <si>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</si>
  <si>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</si>
  <si>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</si>
  <si>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</si>
  <si>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</si>
  <si>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</si>
  <si>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</si>
  <si>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</si>
  <si>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</si>
  <si>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</si>
  <si>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</si>
  <si>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</si>
  <si>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</si>
  <si>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</si>
  <si>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</si>
  <si>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</si>
  <si>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</si>
  <si>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</si>
  <si>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</si>
  <si>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</si>
  <si>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</si>
  <si>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</si>
  <si>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</si>
  <si>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</si>
  <si>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</si>
  <si>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</si>
  <si>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</si>
  <si>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</si>
  <si>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</si>
  <si>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</si>
  <si>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</si>
  <si>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</si>
  <si>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</si>
  <si>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</si>
  <si>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</si>
  <si>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</si>
  <si>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</si>
  <si>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</si>
  <si>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</si>
  <si>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</si>
  <si>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</si>
  <si>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</si>
  <si>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</si>
  <si>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</si>
  <si>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</si>
  <si>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</si>
  <si>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</si>
  <si>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</si>
  <si>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</si>
  <si>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</si>
  <si>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</si>
  <si>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</si>
  <si>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</si>
  <si>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</si>
  <si>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</si>
  <si>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</si>
  <si>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</si>
  <si>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</si>
  <si>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</si>
  <si>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</si>
  <si>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</si>
  <si>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</si>
  <si>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</si>
  <si>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</si>
  <si>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</si>
  <si>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</si>
  <si>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</si>
  <si>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</si>
  <si>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</si>
  <si>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</si>
  <si>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</si>
  <si>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</si>
  <si>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</si>
  <si>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</si>
  <si>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</si>
  <si>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</si>
  <si>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</si>
  <si>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</si>
  <si>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</si>
  <si>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</si>
  <si>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</si>
  <si>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</si>
  <si>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</si>
  <si>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</si>
  <si>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</si>
  <si>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</si>
  <si>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</si>
  <si>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</si>
  <si>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</si>
  <si>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</si>
  <si>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</si>
  <si>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</si>
  <si>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</si>
  <si>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</si>
  <si>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</si>
  <si>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</si>
  <si>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</si>
  <si>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</si>
  <si>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</si>
  <si>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</si>
  <si>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</si>
  <si>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</si>
  <si>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</si>
  <si>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</si>
  <si>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</si>
  <si>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</si>
  <si>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</si>
  <si>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</si>
  <si>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</si>
  <si>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</si>
  <si>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</si>
  <si>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</si>
  <si>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</si>
  <si>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</si>
  <si>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</si>
  <si>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</si>
  <si>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</si>
  <si>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</si>
  <si>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</si>
  <si>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</si>
  <si>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</si>
  <si>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</si>
  <si>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</si>
  <si>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</si>
  <si>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</si>
  <si>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</si>
  <si>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</si>
  <si>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</si>
  <si>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</si>
  <si>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</si>
  <si>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</si>
  <si>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</si>
  <si>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</si>
  <si>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</si>
  <si>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</si>
  <si>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</si>
  <si>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</si>
  <si>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</si>
  <si>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</si>
  <si>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</si>
  <si>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</si>
  <si>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</si>
  <si>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</si>
  <si>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</si>
  <si>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</si>
  <si>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</si>
  <si>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</si>
  <si>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</si>
  <si>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</si>
  <si>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</si>
  <si>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</si>
  <si>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</si>
  <si>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</si>
  <si>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</si>
  <si>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</si>
  <si>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</si>
  <si>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</si>
  <si>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</si>
  <si>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</si>
  <si>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</si>
  <si>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</si>
  <si>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</si>
  <si>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</si>
  <si>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</si>
  <si>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</si>
  <si>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</si>
  <si>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</si>
  <si>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</si>
  <si>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</si>
  <si>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</si>
  <si>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</si>
  <si>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</si>
  <si>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</si>
  <si>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</si>
  <si>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</si>
  <si>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</si>
  <si>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</si>
  <si>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</si>
  <si>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</si>
  <si>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</si>
  <si>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</si>
  <si>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</si>
  <si>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</si>
  <si>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</si>
  <si>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</si>
  <si>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</si>
  <si>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</si>
  <si>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</si>
  <si>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</si>
  <si>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</si>
  <si>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</si>
  <si>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</si>
  <si>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</si>
  <si>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</si>
  <si>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</si>
  <si>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</si>
  <si>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</si>
  <si>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</si>
  <si>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</si>
  <si>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</si>
  <si>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</si>
  <si>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</si>
  <si>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</si>
  <si>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</si>
  <si>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</si>
  <si>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</si>
  <si>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</si>
  <si>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</si>
  <si>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</si>
  <si>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</si>
  <si>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</si>
  <si>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</si>
  <si>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</si>
  <si>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</si>
  <si>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</si>
  <si>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</si>
  <si>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</si>
  <si>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</si>
  <si>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</si>
  <si>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</si>
  <si>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</si>
  <si>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</si>
  <si>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</si>
  <si>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</si>
  <si>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</si>
  <si>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</si>
  <si>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</si>
  <si>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</si>
  <si>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</si>
  <si>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</si>
  <si>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</si>
  <si>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</si>
  <si>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</si>
  <si>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</si>
  <si>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</si>
  <si>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</si>
  <si>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</si>
  <si>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</si>
  <si>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</si>
  <si>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</si>
  <si>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</si>
  <si>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</si>
  <si>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</si>
  <si>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</si>
  <si>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</si>
  <si>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</si>
  <si>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</si>
  <si>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</si>
  <si>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</si>
  <si>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</si>
  <si>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</si>
  <si>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</si>
  <si>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</si>
  <si>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</si>
  <si>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</si>
  <si>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</si>
  <si>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</si>
  <si>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</si>
  <si>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</si>
  <si>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</si>
  <si>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</si>
  <si>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</si>
  <si>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</si>
  <si>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</si>
  <si>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</si>
  <si>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</si>
  <si>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</si>
  <si>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</si>
  <si>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</si>
  <si>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</si>
  <si>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</si>
  <si>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</si>
  <si>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</si>
  <si>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</si>
  <si>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</si>
  <si>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</si>
  <si>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</si>
  <si>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</si>
  <si>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</si>
  <si>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</si>
  <si>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</si>
  <si>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</si>
  <si>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</si>
  <si>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</si>
  <si>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</si>
  <si>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</si>
  <si>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</si>
  <si>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</si>
  <si>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</si>
  <si>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</si>
  <si>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</si>
  <si>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</si>
  <si>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</si>
  <si>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</si>
  <si>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</si>
  <si>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</si>
  <si>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</si>
  <si>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</si>
  <si>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</si>
  <si>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</si>
  <si>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</si>
  <si>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</si>
  <si>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</si>
  <si>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</si>
  <si>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</si>
  <si>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</si>
  <si>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</si>
  <si>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</si>
  <si>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</si>
  <si>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</si>
  <si>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</si>
  <si>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</si>
  <si>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</si>
  <si>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</si>
  <si>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</si>
  <si>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</si>
  <si>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</si>
  <si>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</si>
  <si>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</si>
  <si>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</si>
  <si>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</si>
  <si>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</si>
  <si>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</si>
  <si>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</si>
  <si>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</si>
  <si>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</si>
  <si>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</si>
  <si>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</si>
  <si>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</si>
  <si>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</si>
  <si>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</si>
  <si>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</si>
  <si>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</si>
  <si>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</si>
  <si>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</si>
  <si>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</si>
  <si>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</si>
  <si>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</si>
  <si>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</si>
  <si>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</si>
  <si>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</si>
  <si>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</si>
  <si>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</si>
  <si>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</si>
  <si>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</si>
  <si>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</si>
  <si>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</si>
  <si>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</si>
  <si>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</si>
  <si>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</si>
  <si>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</si>
  <si>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</si>
  <si>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</si>
  <si>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</si>
  <si>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</si>
  <si>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</si>
  <si>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</si>
  <si>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</si>
  <si>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</si>
  <si>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</si>
  <si>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</si>
  <si>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</si>
  <si>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</si>
  <si>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</si>
  <si>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</si>
  <si>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</si>
  <si>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</si>
  <si>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</si>
  <si>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</si>
  <si>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</si>
  <si>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</si>
  <si>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</si>
  <si>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</si>
  <si>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</si>
  <si>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</si>
  <si>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</si>
  <si>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</si>
  <si>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</si>
  <si>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</si>
  <si>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</si>
  <si>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</si>
  <si>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</si>
  <si>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</si>
  <si>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</si>
  <si>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</si>
  <si>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</si>
  <si>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</si>
  <si>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</si>
  <si>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</si>
  <si>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</si>
  <si>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</si>
  <si>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</si>
  <si>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</si>
  <si>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</si>
  <si>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</si>
  <si>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</si>
  <si>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</si>
  <si>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</si>
  <si>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</si>
  <si>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</si>
  <si>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</si>
  <si>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</si>
  <si>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</si>
  <si>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</si>
  <si>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</si>
  <si>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</si>
  <si>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</si>
  <si>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</si>
  <si>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</si>
  <si>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</si>
  <si>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</si>
  <si>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</si>
  <si>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</si>
  <si>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</si>
  <si>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</si>
  <si>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</si>
  <si>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</si>
  <si>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</si>
  <si>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</si>
  <si>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</si>
  <si>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</si>
  <si>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</si>
  <si>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</si>
  <si>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</si>
  <si>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</si>
  <si>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</si>
  <si>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</si>
  <si>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</si>
  <si>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</si>
  <si>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</si>
  <si>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</si>
  <si>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</si>
  <si>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</si>
  <si>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</si>
  <si>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</si>
  <si>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</si>
  <si>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</si>
  <si>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</si>
  <si>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</si>
  <si>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</si>
  <si>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</si>
  <si>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</si>
  <si>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</si>
  <si>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</si>
  <si>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</si>
  <si>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</si>
  <si>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</si>
  <si>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</si>
  <si>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</si>
  <si>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</si>
  <si>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</si>
  <si>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</si>
  <si>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</si>
  <si>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</si>
  <si>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</si>
  <si>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</si>
  <si>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</si>
  <si>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</si>
  <si>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</si>
  <si>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</si>
  <si>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</si>
  <si>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</si>
  <si>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</si>
  <si>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</si>
  <si>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</si>
  <si>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</si>
  <si>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</si>
  <si>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</si>
  <si>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</si>
  <si>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</si>
  <si>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</si>
  <si>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</si>
  <si>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</si>
  <si>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</si>
  <si>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</si>
  <si>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</si>
  <si>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</si>
  <si>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</si>
  <si>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</si>
  <si>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</si>
  <si>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</si>
  <si>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</si>
  <si>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</si>
  <si>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</si>
  <si>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</si>
  <si>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</si>
  <si>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</si>
  <si>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</si>
  <si>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</si>
  <si>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</si>
  <si>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</si>
  <si>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</si>
  <si>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</si>
  <si>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</si>
  <si>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</si>
  <si>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</si>
  <si>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</si>
  <si>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</si>
  <si>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</si>
  <si>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</si>
  <si>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</si>
  <si>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</si>
  <si>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</si>
  <si>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</si>
  <si>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</si>
  <si>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</si>
  <si>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</si>
  <si>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</si>
  <si>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</si>
  <si>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</si>
  <si>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</si>
  <si>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</si>
  <si>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</si>
  <si>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</si>
  <si>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</si>
  <si>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</si>
  <si>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</si>
  <si>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</si>
  <si>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</si>
  <si>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</si>
  <si>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</si>
  <si>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</si>
  <si>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</si>
  <si>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</si>
  <si>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</si>
  <si>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</si>
  <si>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</si>
  <si>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</si>
  <si>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</si>
  <si>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</si>
  <si>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</si>
  <si>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</si>
  <si>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</si>
  <si>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</si>
  <si>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</si>
  <si>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</si>
  <si>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</si>
  <si>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</si>
  <si>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</si>
  <si>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</si>
  <si>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</si>
  <si>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</si>
  <si>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</si>
  <si>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</si>
  <si>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</si>
  <si>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</si>
  <si>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</si>
  <si>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</si>
  <si>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</si>
  <si>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</si>
  <si>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</si>
  <si>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</si>
  <si>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</si>
  <si>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</si>
  <si>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</si>
  <si>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</si>
  <si>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</si>
  <si>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</si>
  <si>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</si>
  <si>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</si>
  <si>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</si>
  <si>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</si>
  <si>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</si>
  <si>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</si>
  <si>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</si>
  <si>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</si>
  <si>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</si>
  <si>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</si>
  <si>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</si>
  <si>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</si>
  <si>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</si>
  <si>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</si>
  <si>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</si>
  <si>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</si>
  <si>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</si>
  <si>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</si>
  <si>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</si>
  <si>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</si>
  <si>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</si>
  <si>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</si>
  <si>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</si>
  <si>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</si>
  <si>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</si>
  <si>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</si>
  <si>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</si>
  <si>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</si>
  <si>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</si>
  <si>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</si>
  <si>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</si>
  <si>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</si>
  <si>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</si>
  <si>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</si>
  <si>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</si>
  <si>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</si>
  <si>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</si>
  <si>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</si>
  <si>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</si>
  <si>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</si>
  <si>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</si>
  <si>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</si>
  <si>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</si>
  <si>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</si>
  <si>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</si>
  <si>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</si>
  <si>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</si>
  <si>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</si>
  <si>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</si>
  <si>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</si>
  <si>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</si>
  <si>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</si>
  <si>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</si>
  <si>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</si>
  <si>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</si>
  <si>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</si>
  <si>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</si>
  <si>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</si>
  <si>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</si>
  <si>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</si>
  <si>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</si>
  <si>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</si>
  <si>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</si>
  <si>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</si>
  <si>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</si>
  <si>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</si>
  <si>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</si>
  <si>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</si>
  <si>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</si>
  <si>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</si>
  <si>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</si>
  <si>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</si>
  <si>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</si>
  <si>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</si>
  <si>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</si>
  <si>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</si>
  <si>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</si>
  <si>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</si>
  <si>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</si>
  <si>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</si>
  <si>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</si>
  <si>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</si>
  <si>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</si>
  <si>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</si>
  <si>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</si>
  <si>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</si>
  <si>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</si>
  <si>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</si>
  <si>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</si>
  <si>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</si>
  <si>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</si>
  <si>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</si>
  <si>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</si>
  <si>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</si>
  <si>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</si>
  <si>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</si>
  <si>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</si>
  <si>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</si>
  <si>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</si>
  <si>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</si>
  <si>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</si>
  <si>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</si>
  <si>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</si>
  <si>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</si>
  <si>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</si>
  <si>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</si>
  <si>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</si>
  <si>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</si>
  <si>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</si>
  <si>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</si>
  <si>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</si>
  <si>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</si>
  <si>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</si>
  <si>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</si>
  <si>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</si>
  <si>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</si>
  <si>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</si>
  <si>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</si>
  <si>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</si>
  <si>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</si>
  <si>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</si>
  <si>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</si>
  <si>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</si>
  <si>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</si>
  <si>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</si>
  <si>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</si>
  <si>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</si>
  <si>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</si>
  <si>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</si>
  <si>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</si>
  <si>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</si>
  <si>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</si>
  <si>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</si>
  <si>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</si>
  <si>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</si>
  <si>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</si>
  <si>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</si>
  <si>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</si>
  <si>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</si>
  <si>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</si>
  <si>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</si>
  <si>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</si>
  <si>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</si>
  <si>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</si>
  <si>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</si>
  <si>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</si>
  <si>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</si>
  <si>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</si>
  <si>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</si>
  <si>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</si>
  <si>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</si>
  <si>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</si>
  <si>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</si>
  <si>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</si>
  <si>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</si>
  <si>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</si>
  <si>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</si>
  <si>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</si>
  <si>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</si>
  <si>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</si>
  <si>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</si>
  <si>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</si>
  <si>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</si>
  <si>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</si>
  <si>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</si>
  <si>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</si>
  <si>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</si>
  <si>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</si>
  <si>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</si>
  <si>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</si>
  <si>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</si>
  <si>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</si>
  <si>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</si>
  <si>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</si>
  <si>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</si>
  <si>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</si>
  <si>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</si>
  <si>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</si>
  <si>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</si>
  <si>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</si>
  <si>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</si>
  <si>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</si>
  <si>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</si>
  <si>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</si>
  <si>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</si>
  <si>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</si>
  <si>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</si>
  <si>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</si>
  <si>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</si>
  <si>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</si>
  <si>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</si>
  <si>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</si>
  <si>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</si>
  <si>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</si>
  <si>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</si>
  <si>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</si>
  <si>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</si>
  <si>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</si>
  <si>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</si>
  <si>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</si>
  <si>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</si>
  <si>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</si>
  <si>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</si>
  <si>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</si>
  <si>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</si>
  <si>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</si>
  <si>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</si>
  <si>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</si>
  <si>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</si>
  <si>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</si>
  <si>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</si>
  <si>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</si>
  <si>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</si>
  <si>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</si>
  <si>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</si>
  <si>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</si>
  <si>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</si>
  <si>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</si>
  <si>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</si>
  <si>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</si>
  <si>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</si>
  <si>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</si>
  <si>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</si>
  <si>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</si>
  <si>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</si>
  <si>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</si>
  <si>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</si>
  <si>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</si>
  <si>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</si>
  <si>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</si>
  <si>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</si>
  <si>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</si>
  <si>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</si>
  <si>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</si>
  <si>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</si>
  <si>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</si>
  <si>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</si>
  <si>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</si>
  <si>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</si>
  <si>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</si>
  <si>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</si>
  <si>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</si>
  <si>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</si>
  <si>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</si>
  <si>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</si>
  <si>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</si>
  <si>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</si>
  <si>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</si>
  <si>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</si>
  <si>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</si>
  <si>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</si>
  <si>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</si>
  <si>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</si>
  <si>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</si>
  <si>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</si>
  <si>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</si>
  <si>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</si>
  <si>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</si>
  <si>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</si>
  <si>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</si>
  <si>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</si>
  <si>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</si>
  <si>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</si>
  <si>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</si>
  <si>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</si>
  <si>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</si>
  <si>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</si>
  <si>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</si>
  <si>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</si>
  <si>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</si>
  <si>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</si>
  <si>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</si>
  <si>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</si>
  <si>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</si>
  <si>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</si>
  <si>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</si>
  <si>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</si>
  <si>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</si>
  <si>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</si>
  <si>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</si>
  <si>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</si>
  <si>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</si>
  <si>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</si>
  <si>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</si>
  <si>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</si>
  <si>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</si>
  <si>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</si>
  <si>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</si>
  <si>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</si>
  <si>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</si>
  <si>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</si>
  <si>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</si>
  <si>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</si>
  <si>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</si>
  <si>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</si>
  <si>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</si>
  <si>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</si>
  <si>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</si>
  <si>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</si>
  <si>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</si>
  <si>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</si>
  <si>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</si>
  <si>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</si>
  <si>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</si>
  <si>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</si>
  <si>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</si>
  <si>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</si>
  <si>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</si>
  <si>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</si>
  <si>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</si>
  <si>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</si>
  <si>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</si>
  <si>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</si>
  <si>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</si>
  <si>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</si>
  <si>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</si>
  <si>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</si>
  <si>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</si>
  <si>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</si>
  <si>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</si>
  <si>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</si>
  <si>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</si>
  <si>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</si>
  <si>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</si>
  <si>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</si>
  <si>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</si>
  <si>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</si>
  <si>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</si>
  <si>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</si>
  <si>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</si>
  <si>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</si>
  <si>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</si>
  <si>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</si>
  <si>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</si>
  <si>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</si>
  <si>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</si>
  <si>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</si>
  <si>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</si>
  <si>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</si>
  <si>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</si>
  <si>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</si>
  <si>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</si>
  <si>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</si>
  <si>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</si>
  <si>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</si>
  <si>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</si>
  <si>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</si>
  <si>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</si>
  <si>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</si>
  <si>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</si>
  <si>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</si>
  <si>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</si>
  <si>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</si>
  <si>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</si>
  <si>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</si>
  <si>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</si>
  <si>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</si>
  <si>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</si>
  <si>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</si>
  <si>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</si>
  <si>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</si>
  <si>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</si>
  <si>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</si>
  <si>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</si>
  <si>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</si>
  <si>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</si>
  <si>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</si>
  <si>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</si>
  <si>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</si>
  <si>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</si>
  <si>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</si>
  <si>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</si>
  <si>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</si>
  <si>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</si>
  <si>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</si>
  <si>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</si>
  <si>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</si>
  <si>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</si>
  <si>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</si>
  <si>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</si>
  <si>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</si>
  <si>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</si>
  <si>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</si>
  <si>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</si>
  <si>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</si>
  <si>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</si>
  <si>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</si>
  <si>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</si>
  <si>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</si>
  <si>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</si>
  <si>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</si>
  <si>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</si>
  <si>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</si>
  <si>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</si>
  <si>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</si>
  <si>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</si>
  <si>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</si>
  <si>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</si>
  <si>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</si>
  <si>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</si>
  <si>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</si>
  <si>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</si>
  <si>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</si>
  <si>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</si>
  <si>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</si>
  <si>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</si>
  <si>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</si>
  <si>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</si>
  <si>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</si>
  <si>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</si>
  <si>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</si>
  <si>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</si>
  <si>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</si>
  <si>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</si>
  <si>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</si>
  <si>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</si>
  <si>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</si>
  <si>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</si>
  <si>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</si>
  <si>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</si>
  <si>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</si>
  <si>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</si>
  <si>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</si>
  <si>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</si>
  <si>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</si>
  <si>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</si>
  <si>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</si>
  <si>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</si>
  <si>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</si>
  <si>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</si>
  <si>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</si>
  <si>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</si>
  <si>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</si>
  <si>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</si>
  <si>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</si>
  <si>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</si>
  <si>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</si>
  <si>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</si>
  <si>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</si>
  <si>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</si>
  <si>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</si>
  <si>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</si>
  <si>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</si>
  <si>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</si>
  <si>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</si>
  <si>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</si>
  <si>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</si>
  <si>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</si>
  <si>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</si>
  <si>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</si>
  <si>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</si>
  <si>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</si>
  <si>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</si>
  <si>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</si>
  <si>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</si>
  <si>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</si>
  <si>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</si>
  <si>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</si>
  <si>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</si>
  <si>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</si>
  <si>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</si>
  <si>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</si>
  <si>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</si>
  <si>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</si>
  <si>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</si>
  <si>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</si>
  <si>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</si>
  <si>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</si>
  <si>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</si>
  <si>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</si>
  <si>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</si>
  <si>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</si>
  <si>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</si>
  <si>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</si>
  <si>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</si>
  <si>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</si>
  <si>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</si>
  <si>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</si>
  <si>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</si>
  <si>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</si>
  <si>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</si>
  <si>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</si>
  <si>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</si>
  <si>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</si>
  <si>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</si>
  <si>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</si>
  <si>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</si>
  <si>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</si>
  <si>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</si>
  <si>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</si>
  <si>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</si>
  <si>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</si>
  <si>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</si>
  <si>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</si>
  <si>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</si>
  <si>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</si>
  <si>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</si>
  <si>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</si>
  <si>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</si>
  <si>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</si>
  <si>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</si>
  <si>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</si>
  <si>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</si>
  <si>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</si>
  <si>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</si>
  <si>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</si>
  <si>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</si>
  <si>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</si>
  <si>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</si>
  <si>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</si>
  <si>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</si>
  <si>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</si>
  <si>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</si>
  <si>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</si>
  <si>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</si>
  <si>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</si>
  <si>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</si>
  <si>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</si>
  <si>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</si>
  <si>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</si>
  <si>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</si>
  <si>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</si>
  <si>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</si>
  <si>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</si>
  <si>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</si>
  <si>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</si>
  <si>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</si>
  <si>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</si>
  <si>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</si>
  <si>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</si>
  <si>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</si>
  <si>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</si>
  <si>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</si>
  <si>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</si>
  <si>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</si>
  <si>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</si>
  <si>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</si>
  <si>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</si>
  <si>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</si>
  <si>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</si>
  <si>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</si>
  <si>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</si>
  <si>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</si>
  <si>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</si>
  <si>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</si>
  <si>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</si>
  <si>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</si>
  <si>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</si>
  <si>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</si>
  <si>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</si>
  <si>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</si>
  <si>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</si>
  <si>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</si>
  <si>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</si>
  <si>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</si>
  <si>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</si>
  <si>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</si>
  <si>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</si>
  <si>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</si>
  <si>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</si>
  <si>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</si>
  <si>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</si>
  <si>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</si>
  <si>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</si>
  <si>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</si>
  <si>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</si>
  <si>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</si>
  <si>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</si>
  <si>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</si>
  <si>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</si>
  <si>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</si>
  <si>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</si>
  <si>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</si>
  <si>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</si>
  <si>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</si>
  <si>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</si>
  <si>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</si>
  <si>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</si>
  <si>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</si>
  <si>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</si>
  <si>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</si>
  <si>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</si>
  <si>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</si>
  <si>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</si>
  <si>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</si>
  <si>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</si>
  <si>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</si>
  <si>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</si>
  <si>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</si>
  <si>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</si>
  <si>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</si>
  <si>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</si>
  <si>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</si>
  <si>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</si>
  <si>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</si>
  <si>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</si>
  <si>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</si>
  <si>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</si>
  <si>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</si>
  <si>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</si>
  <si>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</si>
  <si>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</si>
  <si>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</si>
  <si>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</si>
  <si>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</si>
  <si>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</si>
  <si>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</si>
  <si>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</si>
  <si>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</si>
  <si>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</si>
  <si>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</si>
  <si>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</si>
  <si>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</si>
  <si>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</si>
  <si>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</si>
  <si>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</si>
  <si>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</si>
  <si>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</si>
  <si>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</si>
  <si>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</si>
  <si>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</si>
  <si>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</si>
  <si>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</si>
  <si>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</si>
  <si>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</si>
  <si>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</si>
  <si>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</si>
  <si>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</si>
  <si>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</si>
  <si>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</si>
  <si>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</si>
  <si>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</si>
  <si>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</si>
  <si>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</si>
  <si>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</si>
  <si>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</si>
  <si>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</si>
  <si>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</si>
  <si>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</si>
  <si>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</si>
  <si>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</si>
  <si>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</si>
  <si>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</si>
  <si>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</si>
  <si>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</si>
  <si>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</si>
  <si>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</si>
  <si>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</si>
  <si>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</si>
  <si>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</si>
  <si>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</si>
  <si>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</si>
  <si>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</si>
  <si>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</si>
  <si>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</si>
  <si>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</si>
  <si>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</si>
  <si>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</si>
  <si>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</si>
  <si>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</si>
  <si>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</si>
  <si>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</si>
  <si>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</si>
  <si>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</si>
  <si>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</si>
  <si>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</si>
  <si>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</si>
  <si>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</si>
  <si>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</si>
  <si>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</si>
  <si>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</si>
  <si>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</si>
  <si>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</si>
  <si>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</si>
  <si>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</si>
  <si>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</si>
  <si>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</si>
  <si>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</si>
  <si>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</si>
  <si>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</si>
  <si>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</si>
  <si>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</si>
  <si>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</si>
  <si>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</si>
  <si>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</si>
  <si>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</si>
  <si>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</si>
  <si>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</si>
  <si>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</si>
  <si>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</si>
  <si>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</si>
  <si>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</si>
  <si>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</si>
  <si>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</si>
  <si>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</si>
  <si>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</si>
  <si>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</si>
  <si>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</si>
  <si>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</si>
  <si>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</si>
  <si>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</si>
  <si>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</si>
  <si>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</si>
  <si>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</si>
  <si>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</si>
  <si>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</si>
  <si>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</si>
  <si>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</si>
  <si>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</si>
  <si>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</si>
  <si>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</si>
  <si>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</si>
  <si>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</si>
  <si>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</si>
  <si>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</si>
  <si>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</si>
  <si>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</si>
  <si>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</si>
  <si>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</si>
  <si>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</si>
  <si>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</si>
  <si>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</si>
  <si>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</si>
  <si>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</si>
  <si>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</si>
  <si>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</si>
  <si>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</si>
  <si>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</si>
  <si>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</si>
  <si>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</si>
  <si>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</si>
  <si>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</si>
  <si>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</si>
  <si>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</si>
  <si>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</si>
  <si>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</si>
  <si>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</si>
  <si>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</si>
  <si>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</si>
  <si>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</si>
  <si>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</si>
  <si>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</si>
  <si>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</si>
  <si>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</si>
  <si>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</si>
  <si>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</si>
  <si>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</si>
  <si>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</si>
  <si>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</si>
  <si>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</si>
  <si>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</si>
  <si>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</si>
  <si>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</si>
  <si>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</si>
  <si>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</si>
  <si>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</si>
  <si>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</si>
  <si>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</si>
  <si>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</si>
  <si>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</si>
  <si>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</si>
  <si>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</si>
  <si>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</si>
  <si>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</si>
  <si>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</si>
  <si>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</si>
  <si>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</si>
  <si>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</si>
  <si>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</si>
  <si>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</si>
  <si>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</si>
  <si>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</si>
  <si>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</si>
  <si>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</si>
  <si>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</si>
  <si>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</si>
  <si>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</si>
  <si>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</si>
  <si>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</si>
  <si>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</si>
  <si>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</si>
  <si>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</si>
  <si>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</si>
  <si>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</si>
  <si>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</si>
  <si>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</si>
  <si>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</si>
  <si>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</si>
  <si>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</si>
  <si>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</si>
  <si>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</si>
  <si>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</si>
  <si>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</si>
  <si>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</si>
  <si>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</si>
  <si>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</si>
  <si>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</si>
  <si>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</si>
  <si>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</si>
  <si>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</si>
  <si>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</si>
  <si>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</si>
  <si>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</si>
  <si>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</si>
  <si>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</si>
  <si>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</si>
  <si>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</si>
  <si>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</si>
  <si>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</si>
  <si>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</si>
  <si>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</si>
  <si>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</si>
  <si>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</si>
  <si>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</si>
  <si>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</si>
  <si>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</si>
  <si>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</si>
  <si>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</si>
  <si>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</si>
  <si>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</si>
  <si>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</si>
  <si>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</si>
  <si>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</si>
  <si>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</si>
  <si>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</si>
  <si>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</si>
  <si>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</si>
  <si>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</si>
  <si>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</si>
  <si>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</si>
  <si>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</si>
  <si>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</si>
  <si>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</si>
  <si>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</si>
  <si>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</si>
  <si>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</si>
  <si>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</si>
  <si>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</si>
  <si>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</si>
  <si>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</si>
  <si>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</si>
  <si>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</si>
  <si>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</si>
  <si>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</si>
  <si>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</si>
  <si>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</si>
  <si>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</si>
  <si>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</si>
  <si>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</si>
  <si>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</si>
  <si>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</si>
  <si>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</si>
  <si>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</si>
  <si>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</si>
  <si>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</si>
  <si>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</si>
  <si>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</si>
  <si>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</si>
  <si>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</si>
  <si>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</si>
  <si>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</si>
  <si>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</si>
  <si>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</si>
  <si>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</si>
  <si>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</si>
  <si>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</si>
  <si>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</si>
  <si>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</si>
  <si>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</si>
  <si>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</si>
  <si>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</si>
  <si>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</si>
  <si>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</si>
  <si>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</si>
  <si>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</si>
  <si>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</si>
  <si>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</si>
  <si>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</si>
  <si>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</si>
  <si>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</si>
  <si>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</si>
  <si>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</si>
  <si>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</si>
  <si>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</si>
  <si>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</si>
  <si>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</si>
  <si>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</si>
  <si>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</si>
  <si>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</si>
  <si>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</si>
  <si>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</si>
  <si>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</si>
  <si>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</si>
  <si>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</si>
  <si>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</si>
  <si>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</si>
  <si>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</si>
  <si>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</si>
  <si>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</si>
  <si>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</si>
  <si>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</si>
  <si>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</si>
  <si>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</si>
  <si>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</si>
  <si>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</si>
  <si>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</si>
  <si>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</si>
  <si>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</si>
  <si>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</si>
  <si>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</si>
  <si>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</si>
  <si>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</si>
  <si>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</si>
  <si>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</si>
  <si>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</si>
  <si>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</si>
  <si>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</si>
  <si>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</si>
  <si>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</si>
  <si>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</si>
  <si>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</si>
  <si>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</si>
  <si>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</si>
  <si>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</si>
  <si>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</si>
  <si>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</si>
  <si>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</si>
  <si>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</si>
  <si>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</si>
  <si>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</si>
  <si>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</si>
  <si>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</si>
  <si>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</si>
  <si>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</si>
  <si>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</si>
  <si>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</si>
  <si>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</si>
  <si>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</si>
  <si>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</si>
  <si>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</si>
  <si>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</si>
  <si>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</si>
  <si>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</si>
  <si>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</si>
  <si>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</si>
  <si>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</si>
  <si>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</si>
  <si>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</si>
  <si>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</si>
  <si>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</si>
  <si>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</si>
  <si>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</si>
  <si>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</si>
  <si>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</si>
  <si>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</si>
  <si>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</si>
  <si>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</si>
  <si>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</si>
  <si>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</si>
  <si>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</si>
  <si>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</si>
  <si>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</si>
  <si>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</si>
  <si>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</si>
  <si>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</si>
  <si>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</si>
  <si>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</si>
  <si>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</si>
  <si>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</si>
  <si>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</si>
  <si>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</si>
  <si>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</si>
  <si>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</si>
  <si>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</si>
  <si>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</si>
  <si>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</si>
  <si>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</si>
  <si>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</si>
  <si>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</si>
  <si>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</si>
  <si>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</si>
  <si>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</si>
  <si>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</si>
  <si>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</si>
  <si>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</si>
  <si>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</si>
  <si>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</si>
  <si>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</si>
  <si>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</si>
  <si>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</si>
  <si>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</si>
  <si>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</si>
  <si>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</si>
  <si>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</si>
  <si>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</si>
  <si>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</si>
  <si>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</si>
  <si>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</si>
  <si>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</si>
  <si>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</si>
  <si>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</si>
  <si>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</si>
  <si>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</si>
  <si>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</si>
  <si>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</si>
  <si>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</si>
  <si>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</si>
  <si>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</si>
  <si>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</si>
  <si>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</si>
  <si>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</si>
  <si>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</si>
  <si>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</si>
  <si>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</si>
  <si>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</si>
  <si>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</si>
  <si>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</si>
  <si>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</si>
  <si>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</si>
  <si>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</si>
  <si>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</si>
  <si>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</si>
  <si>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</si>
  <si>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</si>
  <si>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</si>
  <si>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</si>
  <si>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</si>
  <si>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</si>
  <si>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</si>
  <si>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</si>
  <si>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</si>
  <si>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</si>
  <si>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</si>
  <si>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</si>
  <si>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</si>
  <si>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</si>
  <si>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</si>
  <si>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</si>
  <si>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</si>
  <si>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</si>
  <si>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</si>
  <si>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</si>
  <si>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</si>
  <si>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</si>
  <si>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</si>
  <si>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</si>
  <si>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</si>
  <si>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</si>
  <si>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</si>
  <si>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</si>
  <si>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</si>
  <si>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</si>
  <si>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</si>
  <si>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</si>
  <si>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</si>
  <si>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</si>
  <si>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</si>
  <si>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</si>
  <si>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</si>
  <si>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</si>
  <si>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</si>
  <si>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</si>
  <si>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</si>
  <si>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</si>
  <si>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</si>
  <si>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</si>
  <si>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</si>
  <si>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</si>
  <si>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</si>
  <si>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</si>
  <si>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</si>
  <si>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</si>
  <si>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</si>
  <si>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</si>
  <si>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</si>
  <si>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</si>
  <si>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</si>
  <si>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</si>
  <si>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</si>
  <si>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</si>
  <si>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</si>
  <si>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</si>
  <si>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</si>
  <si>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</si>
  <si>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</si>
  <si>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</si>
  <si>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</si>
  <si>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</si>
  <si>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</si>
  <si>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</si>
  <si>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</si>
  <si>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</si>
  <si>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</si>
  <si>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</si>
  <si>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</si>
  <si>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</si>
  <si>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</si>
  <si>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</si>
  <si>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</si>
  <si>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</si>
  <si>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</si>
  <si>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</si>
  <si>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</si>
  <si>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</si>
  <si>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</si>
  <si>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</si>
  <si>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</si>
  <si>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</si>
  <si>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</si>
  <si>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</si>
  <si>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</si>
  <si>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</si>
  <si>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</si>
  <si>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</si>
  <si>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</si>
  <si>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</si>
  <si>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</si>
  <si>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</si>
  <si>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</si>
  <si>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</si>
  <si>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</si>
  <si>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</si>
  <si>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</si>
  <si>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</si>
  <si>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</si>
  <si>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</si>
  <si>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</si>
  <si>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</si>
  <si>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</si>
  <si>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</si>
  <si>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</si>
  <si>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</si>
  <si>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</si>
  <si>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</si>
  <si>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</si>
  <si>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</si>
  <si>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</si>
  <si>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</si>
  <si>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</si>
  <si>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</si>
  <si>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</si>
  <si>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</si>
  <si>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</si>
  <si>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</si>
  <si>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</si>
  <si>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</si>
  <si>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</si>
  <si>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</si>
  <si>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</si>
  <si>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</si>
  <si>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</si>
  <si>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</si>
  <si>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</si>
  <si>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</si>
  <si>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</si>
  <si>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</si>
  <si>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</si>
  <si>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</si>
  <si>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</si>
  <si>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</si>
  <si>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</si>
  <si>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</si>
  <si>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</si>
  <si>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</si>
  <si>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</si>
  <si>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</si>
  <si>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</si>
  <si>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</si>
  <si>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</si>
  <si>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</si>
  <si>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</si>
  <si>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</si>
  <si>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</si>
  <si>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</si>
  <si>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</si>
  <si>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</si>
  <si>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</si>
  <si>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</si>
  <si>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</si>
  <si>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</si>
  <si>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</si>
  <si>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</si>
  <si>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</si>
  <si>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</si>
  <si>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</si>
  <si>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</si>
  <si>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</si>
  <si>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</si>
  <si>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</si>
  <si>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</si>
  <si>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</si>
  <si>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</si>
  <si>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</si>
  <si>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</si>
  <si>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</si>
  <si>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</si>
  <si>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</si>
  <si>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</si>
  <si>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</si>
  <si>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</si>
  <si>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</si>
  <si>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</si>
  <si>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</si>
  <si>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</si>
  <si>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</si>
  <si>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</si>
  <si>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</si>
  <si>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</si>
  <si>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</si>
  <si>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</si>
  <si>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</si>
  <si>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</si>
  <si>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</si>
  <si>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</si>
  <si>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</si>
  <si>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</si>
  <si>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</si>
  <si>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</si>
  <si>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</si>
  <si>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</si>
  <si>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</si>
  <si>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</si>
  <si>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</si>
  <si>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</si>
  <si>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</si>
  <si>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</si>
  <si>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</si>
  <si>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</si>
  <si>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</si>
  <si>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</si>
  <si>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</si>
  <si>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</si>
  <si>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</si>
  <si>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</si>
  <si>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</si>
  <si>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</si>
  <si>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</si>
  <si>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</si>
  <si>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</si>
  <si>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</si>
  <si>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</si>
  <si>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</si>
  <si>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</si>
  <si>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</si>
  <si>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</si>
  <si>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</si>
  <si>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</si>
  <si>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</si>
  <si>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</si>
  <si>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</si>
  <si>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</si>
  <si>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</si>
  <si>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</si>
  <si>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</si>
  <si>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</si>
  <si>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</si>
  <si>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</si>
  <si>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</si>
  <si>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</si>
  <si>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</si>
  <si>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</si>
  <si>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</si>
  <si>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</si>
  <si>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</si>
  <si>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</si>
  <si>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</si>
  <si>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</si>
  <si>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</si>
  <si>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</si>
  <si>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</si>
  <si>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</si>
  <si>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</si>
  <si>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</si>
  <si>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</si>
  <si>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</si>
  <si>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</si>
  <si>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</si>
  <si>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</si>
  <si>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</si>
  <si>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</si>
  <si>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</si>
  <si>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</si>
  <si>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</si>
  <si>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</si>
  <si>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</si>
  <si>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</si>
  <si>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</si>
  <si>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</si>
  <si>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</si>
  <si>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</si>
  <si>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</si>
  <si>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</si>
  <si>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</si>
  <si>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</si>
  <si>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</si>
  <si>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</si>
  <si>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</si>
  <si>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</si>
  <si>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</si>
  <si>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</si>
  <si>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</si>
  <si>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</si>
  <si>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</si>
  <si>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</si>
  <si>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</si>
  <si>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</si>
  <si>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</si>
  <si>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</si>
  <si>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</si>
  <si>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</si>
  <si>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</si>
  <si>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</si>
  <si>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</si>
  <si>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</si>
  <si>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</si>
  <si>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</si>
  <si>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</si>
  <si>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</si>
  <si>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</si>
  <si>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</si>
  <si>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</si>
  <si>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</si>
  <si>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</si>
  <si>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</si>
  <si>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</si>
  <si>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</si>
  <si>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</si>
  <si>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</si>
  <si>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</si>
  <si>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</si>
  <si>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</si>
  <si>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</si>
  <si>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</si>
  <si>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</si>
  <si>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</si>
  <si>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</si>
  <si>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</si>
  <si>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</si>
  <si>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</si>
  <si>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</si>
  <si>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</si>
  <si>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</si>
  <si>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</si>
  <si>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</si>
  <si>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</si>
  <si>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</si>
  <si>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</si>
  <si>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</si>
  <si>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</si>
  <si>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</si>
  <si>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</si>
  <si>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</si>
  <si>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</si>
  <si>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</si>
  <si>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</si>
  <si>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</si>
  <si>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</si>
  <si>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</si>
  <si>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</si>
  <si>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</si>
  <si>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</si>
  <si>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</si>
  <si>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</si>
  <si>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</si>
  <si>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</si>
  <si>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</si>
  <si>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</si>
  <si>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</si>
  <si>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</si>
  <si>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</si>
  <si>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</si>
  <si>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</si>
  <si>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</si>
  <si>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</si>
  <si>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</si>
  <si>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</si>
  <si>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</si>
  <si>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</si>
  <si>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</si>
  <si>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</si>
  <si>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</si>
  <si>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</si>
  <si>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</si>
  <si>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</si>
  <si>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</si>
  <si>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</si>
  <si>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</si>
  <si>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</si>
  <si>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</si>
  <si>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</si>
  <si>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</si>
  <si>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</si>
  <si>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</si>
  <si>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</si>
  <si>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</si>
  <si>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</si>
  <si>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</si>
  <si>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</si>
  <si>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</si>
  <si>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</si>
  <si>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</si>
  <si>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</si>
  <si>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</si>
  <si>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</si>
  <si>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</si>
  <si>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</si>
  <si>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</si>
  <si>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</si>
  <si>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</si>
  <si>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</si>
  <si>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</si>
  <si>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</si>
  <si>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</si>
  <si>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</si>
  <si>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</si>
  <si>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</si>
  <si>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</si>
  <si>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</si>
  <si>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</si>
  <si>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</si>
  <si>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</si>
  <si>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</si>
  <si>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</si>
  <si>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</si>
  <si>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</si>
  <si>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</si>
  <si>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</si>
  <si>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</si>
  <si>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</si>
  <si>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</si>
  <si>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</si>
  <si>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</si>
  <si>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</si>
  <si>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</si>
  <si>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</si>
  <si>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</si>
  <si>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</si>
  <si>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</si>
  <si>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</si>
  <si>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</si>
  <si>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</si>
  <si>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</si>
  <si>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</si>
  <si>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</si>
  <si>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</si>
  <si>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</si>
  <si>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</si>
  <si>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</si>
  <si>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</si>
  <si>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</si>
  <si>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</si>
  <si>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</si>
  <si>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</si>
  <si>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</si>
  <si>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</si>
  <si>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</si>
  <si>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</si>
  <si>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</si>
  <si>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</si>
  <si>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</si>
  <si>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</si>
  <si>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</si>
  <si>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</si>
  <si>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</si>
  <si>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</si>
  <si>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</si>
  <si>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</si>
  <si>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</si>
  <si>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</si>
  <si>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</si>
  <si>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</si>
  <si>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</si>
  <si>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</si>
  <si>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</si>
  <si>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</si>
  <si>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</si>
  <si>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</si>
  <si>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</si>
  <si>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</si>
  <si>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</si>
  <si>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</si>
  <si>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</si>
  <si>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</si>
  <si>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</si>
  <si>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</si>
  <si>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</si>
  <si>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</si>
  <si>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</si>
  <si>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</si>
  <si>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</si>
  <si>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</si>
  <si>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</si>
  <si>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</si>
  <si>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</si>
  <si>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</si>
  <si>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</si>
  <si>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</si>
  <si>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</si>
  <si>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</si>
  <si>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</si>
  <si>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</si>
  <si>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</si>
  <si>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</si>
  <si>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</si>
  <si>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</si>
  <si>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</si>
  <si>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</si>
  <si>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</si>
  <si>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</si>
  <si>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</si>
  <si>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</si>
  <si>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</si>
  <si>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</si>
  <si>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</si>
  <si>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</si>
  <si>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</si>
  <si>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</si>
  <si>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</si>
  <si>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</si>
  <si>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</si>
  <si>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</si>
  <si>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</si>
  <si>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</si>
  <si>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</si>
  <si>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</si>
  <si>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</si>
  <si>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</si>
  <si>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</si>
  <si>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</si>
  <si>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</si>
  <si>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</si>
  <si>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</si>
  <si>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</si>
  <si>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</si>
  <si>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</si>
  <si>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</si>
  <si>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</si>
  <si>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</si>
  <si>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</si>
  <si>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</si>
  <si>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</si>
  <si>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</si>
  <si>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</si>
  <si>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</si>
  <si>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</si>
  <si>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</si>
  <si>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</si>
  <si>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</si>
  <si>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</si>
  <si>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</si>
  <si>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</si>
  <si>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</si>
  <si>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</si>
  <si>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</si>
  <si>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</si>
  <si>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</si>
  <si>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</si>
  <si>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</si>
  <si>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</si>
  <si>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</si>
  <si>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</si>
  <si>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</si>
  <si>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</si>
  <si>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</si>
  <si>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</si>
  <si>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</si>
  <si>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</si>
  <si>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</si>
  <si>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</si>
  <si>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</si>
  <si>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</si>
  <si>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</si>
  <si>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</si>
  <si>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</si>
  <si>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</si>
  <si>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</si>
  <si>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</si>
  <si>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</si>
  <si>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</si>
  <si>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</si>
  <si>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</si>
  <si>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</si>
  <si>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</si>
  <si>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</si>
  <si>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</si>
  <si>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</si>
  <si>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</si>
  <si>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</si>
  <si>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</si>
  <si>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</si>
  <si>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</si>
  <si>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</si>
  <si>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</si>
  <si>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</si>
  <si>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</si>
  <si>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</si>
  <si>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</si>
  <si>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</si>
  <si>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</si>
  <si>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</si>
  <si>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</si>
  <si>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</si>
  <si>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</si>
  <si>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</si>
  <si>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</si>
  <si>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</si>
  <si>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</si>
  <si>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</si>
  <si>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</si>
  <si>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</si>
  <si>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</si>
  <si>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</si>
  <si>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</si>
  <si>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</si>
  <si>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</si>
  <si>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</si>
  <si>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</si>
  <si>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</si>
  <si>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</si>
  <si>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</si>
  <si>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</si>
  <si>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</si>
  <si>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</si>
  <si>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</si>
  <si>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</si>
  <si>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</si>
  <si>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</si>
  <si>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</si>
  <si>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</si>
  <si>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</si>
  <si>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</si>
  <si>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</si>
  <si>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</si>
  <si>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</si>
  <si>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</si>
  <si>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</si>
  <si>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</si>
  <si>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</si>
  <si>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</si>
  <si>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</si>
  <si>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</si>
  <si>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</si>
  <si>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</si>
  <si>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</si>
  <si>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</si>
  <si>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</si>
  <si>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</si>
  <si>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</si>
  <si>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</si>
  <si>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</si>
  <si>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</si>
  <si>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</si>
  <si>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</si>
  <si>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</si>
  <si>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</si>
  <si>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</si>
  <si>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</si>
  <si>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</si>
  <si>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</si>
  <si>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</si>
  <si>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</si>
  <si>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</si>
  <si>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</si>
  <si>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</si>
  <si>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</si>
  <si>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</si>
  <si>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</si>
  <si>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</si>
  <si>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</si>
  <si>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</si>
  <si>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</si>
  <si>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</si>
  <si>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</si>
  <si>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</si>
  <si>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</si>
  <si>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</si>
  <si>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</si>
  <si>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</si>
  <si>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</si>
  <si>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</si>
  <si>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</si>
  <si>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</si>
  <si>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</si>
  <si>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</si>
  <si>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</si>
  <si>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</si>
  <si>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</si>
  <si>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</si>
  <si>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</si>
  <si>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</si>
  <si>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</si>
  <si>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</si>
  <si>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</si>
  <si>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</si>
  <si>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</si>
  <si>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</si>
  <si>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</si>
  <si>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</si>
  <si>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</si>
  <si>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</si>
  <si>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</si>
  <si>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</si>
  <si>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</si>
  <si>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</si>
  <si>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</si>
  <si>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</si>
  <si>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</si>
  <si>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</si>
  <si>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</si>
  <si>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</si>
  <si>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</si>
  <si>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</si>
  <si>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</si>
  <si>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</si>
  <si>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</si>
  <si>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</si>
  <si>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</si>
  <si>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</si>
  <si>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</si>
  <si>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</si>
  <si>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</si>
  <si>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</si>
  <si>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</si>
  <si>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</si>
  <si>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</si>
  <si>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</si>
  <si>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</si>
  <si>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</si>
  <si>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</si>
  <si>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</si>
  <si>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</si>
  <si>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</si>
  <si>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</si>
  <si>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</si>
  <si>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</si>
  <si>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</si>
  <si>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</si>
  <si>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</si>
  <si>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</si>
  <si>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</si>
  <si>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</si>
  <si>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</si>
  <si>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</si>
  <si>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</si>
  <si>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</si>
  <si>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</si>
  <si>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</si>
  <si>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</si>
  <si>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</si>
  <si>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</si>
  <si>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</si>
  <si>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</si>
  <si>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</si>
  <si>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</si>
  <si>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</si>
  <si>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</si>
  <si>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</si>
  <si>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</si>
  <si>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</si>
  <si>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</si>
  <si>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</si>
  <si>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</si>
  <si>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</si>
  <si>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</si>
  <si>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</si>
  <si>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</si>
  <si>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</si>
  <si>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</si>
  <si>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</si>
  <si>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</si>
  <si>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</si>
  <si>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</si>
  <si>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</si>
  <si>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</si>
  <si>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</si>
  <si>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</si>
  <si>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</si>
  <si>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</si>
  <si>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</si>
  <si>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</si>
  <si>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</si>
  <si>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</si>
  <si>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</si>
  <si>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</si>
  <si>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</si>
  <si>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</si>
  <si>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</si>
  <si>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</si>
  <si>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</si>
  <si>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</si>
  <si>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</si>
  <si>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</si>
  <si>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</si>
  <si>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</si>
  <si>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</si>
  <si>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</si>
  <si>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</si>
  <si>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</si>
  <si>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</si>
  <si>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</si>
  <si>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</si>
  <si>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</si>
  <si>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</si>
  <si>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</si>
  <si>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</si>
  <si>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</si>
  <si>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</si>
  <si>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</si>
  <si>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</si>
  <si>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</si>
  <si>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</si>
  <si>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</si>
  <si>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</si>
  <si>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</si>
  <si>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</si>
  <si>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</si>
  <si>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</si>
  <si>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</si>
  <si>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</si>
  <si>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</si>
  <si>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</si>
  <si>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</si>
  <si>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</si>
  <si>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</si>
  <si>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</si>
  <si>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</si>
  <si>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</si>
  <si>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</si>
  <si>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</si>
  <si>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</si>
  <si>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</si>
  <si>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</si>
  <si>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</si>
  <si>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</si>
  <si>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</si>
  <si>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</si>
  <si>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</si>
  <si>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</si>
  <si>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</si>
  <si>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</si>
  <si>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</si>
  <si>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</si>
  <si>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</si>
  <si>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</si>
  <si>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</si>
  <si>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</si>
  <si>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</si>
  <si>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</si>
  <si>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</si>
  <si>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</si>
  <si>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</si>
  <si>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</si>
  <si>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</si>
  <si>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</si>
  <si>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</si>
  <si>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</si>
  <si>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</si>
  <si>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</si>
  <si>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</si>
  <si>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</si>
  <si>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</si>
  <si>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</si>
  <si>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</si>
  <si>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</si>
  <si>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</si>
  <si>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</si>
  <si>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</si>
  <si>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</si>
  <si>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</si>
  <si>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</si>
  <si>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</si>
  <si>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</si>
  <si>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</si>
  <si>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</si>
  <si>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</si>
  <si>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</si>
  <si>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</si>
  <si>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</si>
  <si>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</si>
  <si>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</si>
  <si>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</si>
  <si>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</si>
  <si>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</si>
  <si>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</si>
  <si>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</si>
  <si>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</si>
  <si>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</si>
  <si>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</si>
  <si>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</si>
  <si>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</si>
  <si>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</si>
  <si>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</si>
  <si>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</si>
  <si>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</si>
  <si>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</si>
  <si>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</si>
  <si>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</si>
  <si>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</si>
  <si>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</si>
  <si>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</si>
  <si>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</si>
  <si>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</si>
  <si>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</si>
  <si>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</si>
  <si>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</si>
  <si>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</si>
  <si>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</si>
  <si>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</si>
  <si>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</si>
  <si>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</si>
  <si>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</si>
  <si>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</si>
  <si>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</si>
  <si>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</si>
  <si>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</si>
  <si>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</si>
  <si>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</si>
  <si>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</si>
  <si>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</si>
  <si>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</si>
  <si>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</si>
  <si>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</si>
  <si>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</si>
  <si>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</si>
  <si>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</si>
  <si>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</si>
  <si>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</si>
  <si>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</si>
  <si>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</si>
  <si>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</si>
  <si>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</si>
  <si>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</si>
  <si>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</si>
  <si>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</si>
  <si>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</si>
  <si>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</si>
  <si>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</si>
  <si>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</si>
  <si>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</si>
  <si>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</si>
  <si>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</si>
  <si>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</si>
  <si>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</si>
  <si>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</si>
  <si>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</si>
  <si>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</si>
  <si>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</si>
  <si>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</si>
  <si>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</si>
  <si>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</si>
  <si>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</si>
  <si>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</si>
  <si>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</si>
  <si>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</si>
  <si>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</si>
  <si>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</si>
  <si>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</si>
  <si>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</si>
  <si>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</si>
  <si>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</si>
  <si>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</si>
  <si>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</si>
  <si>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</si>
  <si>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</si>
  <si>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</si>
  <si>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</si>
  <si>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</si>
  <si>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</si>
  <si>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</si>
  <si>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</si>
  <si>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</si>
  <si>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</si>
  <si>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</si>
  <si>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</si>
  <si>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</si>
  <si>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</si>
  <si>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</si>
  <si>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</si>
  <si>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</si>
  <si>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</si>
  <si>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</si>
  <si>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</si>
  <si>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</si>
  <si>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</si>
  <si>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</si>
  <si>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</si>
  <si>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</si>
  <si>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</si>
  <si>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</si>
  <si>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</si>
  <si>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</si>
  <si>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</si>
  <si>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</si>
  <si>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</si>
  <si>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</si>
  <si>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</si>
  <si>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</si>
  <si>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</si>
  <si>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</si>
  <si>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</si>
  <si>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</si>
  <si>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</si>
  <si>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</si>
  <si>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</si>
  <si>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</si>
  <si>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</si>
  <si>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</si>
  <si>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</si>
  <si>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</si>
  <si>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</si>
  <si>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</si>
  <si>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</si>
  <si>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</si>
  <si>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</si>
  <si>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</si>
  <si>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</si>
  <si>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</si>
  <si>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</si>
  <si>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</si>
  <si>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</si>
  <si>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</si>
  <si>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</si>
  <si>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</si>
  <si>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</si>
  <si>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</si>
  <si>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</si>
  <si>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</si>
  <si>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</si>
  <si>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</si>
  <si>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</si>
  <si>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</si>
  <si>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</si>
  <si>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</si>
  <si>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</si>
  <si>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</si>
  <si>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</si>
  <si>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</si>
  <si>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</si>
  <si>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</si>
  <si>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</si>
  <si>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</si>
  <si>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</si>
  <si>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</si>
  <si>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</si>
  <si>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</si>
  <si>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</si>
  <si>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</si>
  <si>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</si>
  <si>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</si>
  <si>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</si>
  <si>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</si>
  <si>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</si>
  <si>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</si>
  <si>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</si>
  <si>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</si>
  <si>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</si>
  <si>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</si>
  <si>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</si>
  <si>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</si>
  <si>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</si>
  <si>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</si>
  <si>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</si>
  <si>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</si>
  <si>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</si>
  <si>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</si>
  <si>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</si>
  <si>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</si>
  <si>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</si>
  <si>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</si>
  <si>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</si>
  <si>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</si>
  <si>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</si>
  <si>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</si>
  <si>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</si>
  <si>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</si>
  <si>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</si>
  <si>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</si>
  <si>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</si>
  <si>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</si>
  <si>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</si>
  <si>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</si>
  <si>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</si>
  <si>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</si>
  <si>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</si>
  <si>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</si>
  <si>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</si>
  <si>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</si>
  <si>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</si>
  <si>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</si>
  <si>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</si>
  <si>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</si>
  <si>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</si>
  <si>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</si>
  <si>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</si>
  <si>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</si>
  <si>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</si>
  <si>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</si>
  <si>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</si>
  <si>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</si>
  <si>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</si>
  <si>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</si>
  <si>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</si>
  <si>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</si>
  <si>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</si>
  <si>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</si>
  <si>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</si>
  <si>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</si>
  <si>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</si>
  <si>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</si>
  <si>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</si>
  <si>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</si>
  <si>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</si>
  <si>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</si>
  <si>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</si>
  <si>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</si>
  <si>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</si>
  <si>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</si>
  <si>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</si>
  <si>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</si>
  <si>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</si>
  <si>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</si>
  <si>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</si>
  <si>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</si>
  <si>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</si>
  <si>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</si>
  <si>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</si>
  <si>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</si>
  <si>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</si>
  <si>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</si>
  <si>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</si>
  <si>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</si>
  <si>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</si>
  <si>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</si>
  <si>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</si>
  <si>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</si>
  <si>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</si>
  <si>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</si>
  <si>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</si>
  <si>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</si>
  <si>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</si>
  <si>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</si>
  <si>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</si>
  <si>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</si>
  <si>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</si>
  <si>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</si>
  <si>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</si>
  <si>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</si>
  <si>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</si>
  <si>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</si>
  <si>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</si>
  <si>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</si>
  <si>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</si>
  <si>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</si>
  <si>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</si>
  <si>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</si>
  <si>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</si>
  <si>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</si>
  <si>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</si>
  <si>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</si>
  <si>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</si>
  <si>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</si>
  <si>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</si>
  <si>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</si>
  <si>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</si>
  <si>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</si>
  <si>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</si>
  <si>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</si>
  <si>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</si>
  <si>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</si>
  <si>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</si>
  <si>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</si>
  <si>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</si>
  <si>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</si>
  <si>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</si>
  <si>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</si>
  <si>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</si>
  <si>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</si>
  <si>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</si>
  <si>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</si>
  <si>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</si>
  <si>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</si>
  <si>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</si>
  <si>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</si>
  <si>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</si>
  <si>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</si>
  <si>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</si>
  <si>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</si>
  <si>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</si>
  <si>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</si>
  <si>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</si>
  <si>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</si>
  <si>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</si>
  <si>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</si>
  <si>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</si>
  <si>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</si>
  <si>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</si>
  <si>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</si>
  <si>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</si>
  <si>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</si>
  <si>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</si>
  <si>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</si>
  <si>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</si>
  <si>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</si>
  <si>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</si>
  <si>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</si>
  <si>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</si>
  <si>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</si>
  <si>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</si>
  <si>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</si>
  <si>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</si>
  <si>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</si>
  <si>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</si>
  <si>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</si>
  <si>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</si>
  <si>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</si>
  <si>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</si>
  <si>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</si>
  <si>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</si>
  <si>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</si>
  <si>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</si>
  <si>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</si>
  <si>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</si>
  <si>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</si>
  <si>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</si>
  <si>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</si>
  <si>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</si>
  <si>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</si>
  <si>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</si>
  <si>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</si>
  <si>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</si>
  <si>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</si>
  <si>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</si>
  <si>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</si>
  <si>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</si>
  <si>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</si>
  <si>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</si>
  <si>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</si>
  <si>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</si>
  <si>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</si>
  <si>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</si>
  <si>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</si>
  <si>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</si>
  <si>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</si>
  <si>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</si>
  <si>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</si>
  <si>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</si>
  <si>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</si>
  <si>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</si>
  <si>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</si>
  <si>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</si>
  <si>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</si>
  <si>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</si>
  <si>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</si>
  <si>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</si>
  <si>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</si>
  <si>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</si>
  <si>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</si>
  <si>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</si>
  <si>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</si>
  <si>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</si>
  <si>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</si>
  <si>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</si>
  <si>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</si>
  <si>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</si>
  <si>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</si>
  <si>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</si>
  <si>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</si>
  <si>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</si>
  <si>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</si>
  <si>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</si>
  <si>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</si>
  <si>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</si>
  <si>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</si>
  <si>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</si>
  <si>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</si>
  <si>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</si>
  <si>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</si>
  <si>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</si>
  <si>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</si>
  <si>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</si>
  <si>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</si>
  <si>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</si>
  <si>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</si>
  <si>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</si>
  <si>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</si>
  <si>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</si>
  <si>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</si>
  <si>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</si>
  <si>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</si>
  <si>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</si>
  <si>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</si>
  <si>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</si>
  <si>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</si>
  <si>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</si>
  <si>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</si>
  <si>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</si>
  <si>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</si>
  <si>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</si>
  <si>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</si>
  <si>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</si>
  <si>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</si>
  <si>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</si>
  <si>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</si>
  <si>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</si>
  <si>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</si>
  <si>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</si>
  <si>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</si>
  <si>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</si>
  <si>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</si>
  <si>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</si>
  <si>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</si>
  <si>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</si>
  <si>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</si>
  <si>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</si>
  <si>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</si>
  <si>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</si>
  <si>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</si>
  <si>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</si>
  <si>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</si>
  <si>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</si>
  <si>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</si>
  <si>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</si>
  <si>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</si>
  <si>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</si>
  <si>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</si>
  <si>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</si>
  <si>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</si>
  <si>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</si>
  <si>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</si>
  <si>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</si>
  <si>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</si>
  <si>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</si>
  <si>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</si>
  <si>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</si>
  <si>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</si>
  <si>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</si>
  <si>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</si>
  <si>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</si>
  <si>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</si>
  <si>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</si>
  <si>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</si>
  <si>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</si>
  <si>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</si>
  <si>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</si>
  <si>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</si>
  <si>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</si>
  <si>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</si>
  <si>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</si>
  <si>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</si>
  <si>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</si>
  <si>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</si>
  <si>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</si>
  <si>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</si>
  <si>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</si>
  <si>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</si>
  <si>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</si>
  <si>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</si>
  <si>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</si>
  <si>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</si>
  <si>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</si>
  <si>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</si>
  <si>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</si>
  <si>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</si>
  <si>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</si>
  <si>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</si>
  <si>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</si>
  <si>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</si>
  <si>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</si>
  <si>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</si>
  <si>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</si>
  <si>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</si>
  <si>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</si>
  <si>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</si>
  <si>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</si>
  <si>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</si>
  <si>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</si>
  <si>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</si>
  <si>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</si>
  <si>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</si>
  <si>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</si>
  <si>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</si>
  <si>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</si>
  <si>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</si>
  <si>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</si>
  <si>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</si>
  <si>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</si>
  <si>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</si>
  <si>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</si>
  <si>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</si>
  <si>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</si>
  <si>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</si>
  <si>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</si>
  <si>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</si>
  <si>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</si>
  <si>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</si>
  <si>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</si>
  <si>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</si>
  <si>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</si>
  <si>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</si>
  <si>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</si>
  <si>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</si>
  <si>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</si>
  <si>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</si>
  <si>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</si>
  <si>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</si>
  <si>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</si>
  <si>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</si>
  <si>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</si>
  <si>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</si>
  <si>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</si>
  <si>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</si>
  <si>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</si>
  <si>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</si>
  <si>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</si>
  <si>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</si>
  <si>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</si>
  <si>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</si>
  <si>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</si>
  <si>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</si>
  <si>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</si>
  <si>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</si>
  <si>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</si>
  <si>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</si>
  <si>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</si>
  <si>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</si>
  <si>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</si>
  <si>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</si>
  <si>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</si>
  <si>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</si>
  <si>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</si>
  <si>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</si>
  <si>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</si>
  <si>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</si>
  <si>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</si>
  <si>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</si>
  <si>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</si>
  <si>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</si>
  <si>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</si>
  <si>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</si>
  <si>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</si>
  <si>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</si>
  <si>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</si>
  <si>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</si>
  <si>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</si>
  <si>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</si>
  <si>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</si>
  <si>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</si>
  <si>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</si>
  <si>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</si>
  <si>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</si>
  <si>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</si>
  <si>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</si>
  <si>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</si>
  <si>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</si>
  <si>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</si>
  <si>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</si>
  <si>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</si>
  <si>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</si>
  <si>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</si>
  <si>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</si>
  <si>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</si>
  <si>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</si>
  <si>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</si>
  <si>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</si>
  <si>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</si>
  <si>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</si>
  <si>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</si>
  <si>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</si>
  <si>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</si>
  <si>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</si>
  <si>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</si>
  <si>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</si>
  <si>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</si>
  <si>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</si>
  <si>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</si>
  <si>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</si>
  <si>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</si>
  <si>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</si>
  <si>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</si>
  <si>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</si>
  <si>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</si>
  <si>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</si>
  <si>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</si>
  <si>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</si>
  <si>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</si>
  <si>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</si>
  <si>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</si>
  <si>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</si>
  <si>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</si>
  <si>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</si>
  <si>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</si>
  <si>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</si>
  <si>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</si>
  <si>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</si>
  <si>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</si>
  <si>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</si>
  <si>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</si>
  <si>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</si>
  <si>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</si>
  <si>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</si>
  <si>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</si>
  <si>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</si>
  <si>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</si>
  <si>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</si>
  <si>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</si>
  <si>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</si>
  <si>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</si>
  <si>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</si>
  <si>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</si>
  <si>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</si>
  <si>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</si>
  <si>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</si>
  <si>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</si>
  <si>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</si>
  <si>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</si>
  <si>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</si>
  <si>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</si>
  <si>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</si>
  <si>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</si>
  <si>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</si>
  <si>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</si>
  <si>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</si>
  <si>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</si>
  <si>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</si>
  <si>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</si>
  <si>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</si>
  <si>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</si>
  <si>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</si>
  <si>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</si>
  <si>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</si>
  <si>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</si>
  <si>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</si>
  <si>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</si>
  <si>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</si>
  <si>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</si>
  <si>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</si>
  <si>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</si>
  <si>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</si>
  <si>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</si>
  <si>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</si>
  <si>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</si>
  <si>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</si>
  <si>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</si>
  <si>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</si>
  <si>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</si>
  <si>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</si>
  <si>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</si>
  <si>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</si>
  <si>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</si>
  <si>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</si>
  <si>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</si>
  <si>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</si>
  <si>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</si>
  <si>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</si>
  <si>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</si>
  <si>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</si>
  <si>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</si>
  <si>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</si>
  <si>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</si>
  <si>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</si>
  <si>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</si>
  <si>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</si>
  <si>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</si>
  <si>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</si>
  <si>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</si>
  <si>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</si>
  <si>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</si>
  <si>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</si>
  <si>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</si>
  <si>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</si>
  <si>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</si>
  <si>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</si>
  <si>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</si>
  <si>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</si>
  <si>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</si>
  <si>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</si>
  <si>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</si>
  <si>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</si>
  <si>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</si>
  <si>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</si>
  <si>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</si>
  <si>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</si>
  <si>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</si>
  <si>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</si>
  <si>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</si>
  <si>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</si>
  <si>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</si>
  <si>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</si>
  <si>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</si>
  <si>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</si>
  <si>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</si>
  <si>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</si>
  <si>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</si>
  <si>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</si>
  <si>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</si>
  <si>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</si>
  <si>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</si>
  <si>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</si>
  <si>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</si>
  <si>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</si>
  <si>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</si>
  <si>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</si>
  <si>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</si>
  <si>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</si>
  <si>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</si>
  <si>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</si>
  <si>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</si>
  <si>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</si>
  <si>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</si>
  <si>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</si>
  <si>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</si>
  <si>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</si>
  <si>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</si>
  <si>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</si>
  <si>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</si>
  <si>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</si>
  <si>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</si>
  <si>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</si>
  <si>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</si>
  <si>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</si>
  <si>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</si>
  <si>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</si>
  <si>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</si>
  <si>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</si>
  <si>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</si>
  <si>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</si>
  <si>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</si>
  <si>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</si>
  <si>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</si>
  <si>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</si>
  <si>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</si>
  <si>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</si>
  <si>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</si>
  <si>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</si>
  <si>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</si>
  <si>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</si>
  <si>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</si>
  <si>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</si>
  <si>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</si>
  <si>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</si>
  <si>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</si>
  <si>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</si>
  <si>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</si>
  <si>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</si>
  <si>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</si>
  <si>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</si>
  <si>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</si>
  <si>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</si>
  <si>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</si>
  <si>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</si>
  <si>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</si>
  <si>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</si>
  <si>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</si>
  <si>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</si>
  <si>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</si>
  <si>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</si>
  <si>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</si>
  <si>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</si>
  <si>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</si>
  <si>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</si>
  <si>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</si>
  <si>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</si>
  <si>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</si>
  <si>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</si>
  <si>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</si>
  <si>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</si>
  <si>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</si>
  <si>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</si>
  <si>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</si>
  <si>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</si>
  <si>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</si>
  <si>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</si>
  <si>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</si>
  <si>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</si>
  <si>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</si>
  <si>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</si>
  <si>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</si>
  <si>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</si>
  <si>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</si>
  <si>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</si>
  <si>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</si>
  <si>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</si>
  <si>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</si>
  <si>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</si>
  <si>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</si>
  <si>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</si>
  <si>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</si>
  <si>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</si>
  <si>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</si>
  <si>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</si>
  <si>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</si>
  <si>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</si>
  <si>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</si>
  <si>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</si>
  <si>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</si>
  <si>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</si>
  <si>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</si>
  <si>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</si>
  <si>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</si>
  <si>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</si>
  <si>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</si>
  <si>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</si>
  <si>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</si>
  <si>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</si>
  <si>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</si>
  <si>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</si>
  <si>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</si>
  <si>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</si>
  <si>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</si>
  <si>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</si>
  <si>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</si>
  <si>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</si>
  <si>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</si>
  <si>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</si>
  <si>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</si>
  <si>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</si>
  <si>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</si>
  <si>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</si>
  <si>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</si>
  <si>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</si>
  <si>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</si>
  <si>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</si>
  <si>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</si>
  <si>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</si>
  <si>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</si>
  <si>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</si>
  <si>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</si>
  <si>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</si>
  <si>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</si>
  <si>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</si>
  <si>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</si>
  <si>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</si>
  <si>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</si>
  <si>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</si>
  <si>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</si>
  <si>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</si>
  <si>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</si>
  <si>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</si>
  <si>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</si>
  <si>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</si>
  <si>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</si>
  <si>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</si>
  <si>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</si>
  <si>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</si>
  <si>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</si>
  <si>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</si>
  <si>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</si>
  <si>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</si>
  <si>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</si>
  <si>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</si>
  <si>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</si>
  <si>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</si>
  <si>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</si>
  <si>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</si>
  <si>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</si>
  <si>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</si>
  <si>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</si>
  <si>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</si>
  <si>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</si>
  <si>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</si>
  <si>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</si>
  <si>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</si>
  <si>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</si>
  <si>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</si>
  <si>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</si>
  <si>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</si>
  <si>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</si>
  <si>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</si>
  <si>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</si>
  <si>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</si>
  <si>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</si>
  <si>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</si>
  <si>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</si>
  <si>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</si>
  <si>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</si>
  <si>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</si>
  <si>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</si>
  <si>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</si>
  <si>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</si>
  <si>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</si>
  <si>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</si>
  <si>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</si>
  <si>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</si>
  <si>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</si>
  <si>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</si>
  <si>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</si>
  <si>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</si>
  <si>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</si>
  <si>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</si>
  <si>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</si>
  <si>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</si>
  <si>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</si>
  <si>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</si>
  <si>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</si>
  <si>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</si>
  <si>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</si>
  <si>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</si>
  <si>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</si>
  <si>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</si>
  <si>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</si>
  <si>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</si>
  <si>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</si>
  <si>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</si>
  <si>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</si>
  <si>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</si>
  <si>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</si>
  <si>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</si>
  <si>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</si>
  <si>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</si>
  <si>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</si>
  <si>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</si>
  <si>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</si>
  <si>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</si>
  <si>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</si>
  <si>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</si>
  <si>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</si>
  <si>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</si>
  <si>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</si>
  <si>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</si>
  <si>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</si>
  <si>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</si>
  <si>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</si>
  <si>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</si>
  <si>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</si>
  <si>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</si>
  <si>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</si>
  <si>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</si>
  <si>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</si>
  <si>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</si>
  <si>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</si>
  <si>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</si>
  <si>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</si>
  <si>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</si>
  <si>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</si>
  <si>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</si>
  <si>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</si>
  <si>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</si>
  <si>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</si>
  <si>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</si>
  <si>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</si>
  <si>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</si>
  <si>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</si>
  <si>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</si>
  <si>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</si>
  <si>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</si>
  <si>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</si>
  <si>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</si>
  <si>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</si>
  <si>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</si>
  <si>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</si>
  <si>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</si>
  <si>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</si>
  <si>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</si>
  <si>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</si>
  <si>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</si>
  <si>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</si>
  <si>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</si>
  <si>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</si>
  <si>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</si>
  <si>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</si>
  <si>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</si>
  <si>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</si>
  <si>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</si>
  <si>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</si>
  <si>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</si>
  <si>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</si>
  <si>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</si>
  <si>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</si>
  <si>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</si>
  <si>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</si>
  <si>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</si>
  <si>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</si>
  <si>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</si>
  <si>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</si>
  <si>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</si>
  <si>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</si>
  <si>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</si>
  <si>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</si>
  <si>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</si>
  <si>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</si>
  <si>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</si>
  <si>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</si>
  <si>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</si>
  <si>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</si>
  <si>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</si>
  <si>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</si>
  <si>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</si>
  <si>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</si>
  <si>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</si>
  <si>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</si>
  <si>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</si>
  <si>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</si>
  <si>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</si>
  <si>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</si>
  <si>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</si>
  <si>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</si>
  <si>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</si>
  <si>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</si>
  <si>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</si>
  <si>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</si>
  <si>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</si>
  <si>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</si>
  <si>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</si>
  <si>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</si>
  <si>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</si>
  <si>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</si>
  <si>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</si>
  <si>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</si>
  <si>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</si>
  <si>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</si>
  <si>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</si>
  <si>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</si>
  <si>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</si>
  <si>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</si>
  <si>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</si>
  <si>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</si>
  <si>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</si>
  <si>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</si>
  <si>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</si>
  <si>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</si>
  <si>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</si>
  <si>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</si>
  <si>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</si>
  <si>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</si>
  <si>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</si>
  <si>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</si>
  <si>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</si>
  <si>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</si>
  <si>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</si>
  <si>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</si>
  <si>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</si>
  <si>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</si>
  <si>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</si>
  <si>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</si>
  <si>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</si>
  <si>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</si>
  <si>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</si>
  <si>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</si>
  <si>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</si>
  <si>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</si>
  <si>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</si>
  <si>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</si>
  <si>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</si>
  <si>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</si>
  <si>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</si>
  <si>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</si>
  <si>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</si>
  <si>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</si>
  <si>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</si>
  <si>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</si>
  <si>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</si>
  <si>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</si>
  <si>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</si>
  <si>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</si>
  <si>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</si>
  <si>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</si>
  <si>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</si>
  <si>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</si>
  <si>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</si>
  <si>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</si>
  <si>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</si>
  <si>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</si>
  <si>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</si>
  <si>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</si>
  <si>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</si>
  <si>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</si>
  <si>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</si>
  <si>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</si>
  <si>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</si>
  <si>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</si>
  <si>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</si>
  <si>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</si>
  <si>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</si>
  <si>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</si>
  <si>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</si>
  <si>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</si>
  <si>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</si>
  <si>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</si>
  <si>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</si>
  <si>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</si>
  <si>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</si>
  <si>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</si>
  <si>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</si>
  <si>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</si>
  <si>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</si>
  <si>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</si>
  <si>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</si>
  <si>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</si>
  <si>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</si>
  <si>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</si>
  <si>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</si>
  <si>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</si>
  <si>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</si>
  <si>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</si>
  <si>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</si>
  <si>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</si>
  <si>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</si>
  <si>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</si>
  <si>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</si>
  <si>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</si>
  <si>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</si>
  <si>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</si>
  <si>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</si>
  <si>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</si>
  <si>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</si>
  <si>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</si>
  <si>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</si>
  <si>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</si>
  <si>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</si>
  <si>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</si>
  <si>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</si>
  <si>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</si>
  <si>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</si>
  <si>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</si>
  <si>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</si>
  <si>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</si>
  <si>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</si>
  <si>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</si>
  <si>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</si>
  <si>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</si>
  <si>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</si>
  <si>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</si>
  <si>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</si>
  <si>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</si>
  <si>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</si>
  <si>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</si>
  <si>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</si>
  <si>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</si>
  <si>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</si>
  <si>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</si>
  <si>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</si>
  <si>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</si>
  <si>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</si>
  <si>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</si>
  <si>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</si>
  <si>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</si>
  <si>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</si>
  <si>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</si>
  <si>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</si>
  <si>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</si>
  <si>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</si>
  <si>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</si>
  <si>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</si>
  <si>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</si>
  <si>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</si>
  <si>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</si>
  <si>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</si>
  <si>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</si>
  <si>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</si>
  <si>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</si>
  <si>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</si>
  <si>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</si>
  <si>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</si>
  <si>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</si>
  <si>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</si>
  <si>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</si>
  <si>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</si>
  <si>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</si>
  <si>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</si>
  <si>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</si>
  <si>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</si>
  <si>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</si>
  <si>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</si>
  <si>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</si>
  <si>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</si>
  <si>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</si>
  <si>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</si>
  <si>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</si>
  <si>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</si>
  <si>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</si>
  <si>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</si>
  <si>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</si>
  <si>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</si>
  <si>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</si>
  <si>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</si>
  <si>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</si>
  <si>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</si>
  <si>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</si>
  <si>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</si>
  <si>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</si>
  <si>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</si>
  <si>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</si>
  <si>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</si>
  <si>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</si>
  <si>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</si>
  <si>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</si>
  <si>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</si>
  <si>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</si>
  <si>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</si>
  <si>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</si>
  <si>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</si>
  <si>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</si>
  <si>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</si>
  <si>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</si>
  <si>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</si>
  <si>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</si>
  <si>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</si>
  <si>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</si>
  <si>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</si>
  <si>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</si>
  <si>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</si>
  <si>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</si>
  <si>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</si>
  <si>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</si>
  <si>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</si>
  <si>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</si>
  <si>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</si>
  <si>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</si>
  <si>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</si>
  <si>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</si>
  <si>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</si>
  <si>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</si>
  <si>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</si>
  <si>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</si>
  <si>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</si>
  <si>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</si>
  <si>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</si>
  <si>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</si>
  <si>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</si>
  <si>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</si>
  <si>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</si>
  <si>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</si>
  <si>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</si>
  <si>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</si>
  <si>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</si>
  <si>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</si>
  <si>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</si>
  <si>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</si>
  <si>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</si>
  <si>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</si>
  <si>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</si>
  <si>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</si>
  <si>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</si>
  <si>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</si>
  <si>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</si>
  <si>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</si>
  <si>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</si>
  <si>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</si>
  <si>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</si>
  <si>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</si>
  <si>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</si>
  <si>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</si>
  <si>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</si>
  <si>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</si>
  <si>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</si>
  <si>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</si>
  <si>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</si>
  <si>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</si>
  <si>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</si>
  <si>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</si>
  <si>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</si>
  <si>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</si>
  <si>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</si>
  <si>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</si>
  <si>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</si>
  <si>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</si>
  <si>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</si>
  <si>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</si>
  <si>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</si>
  <si>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</si>
  <si>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</si>
  <si>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</si>
  <si>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</si>
  <si>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</si>
  <si>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</si>
  <si>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</si>
  <si>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</si>
  <si>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</si>
  <si>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</si>
  <si>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</si>
  <si>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</si>
  <si>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</si>
  <si>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</si>
  <si>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</si>
  <si>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</si>
  <si>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</si>
  <si>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</si>
  <si>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</si>
  <si>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</si>
  <si>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</si>
  <si>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</si>
  <si>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</si>
  <si>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</si>
  <si>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</si>
  <si>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</si>
  <si>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</si>
  <si>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</si>
  <si>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</si>
  <si>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</si>
  <si>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</si>
  <si>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</si>
  <si>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</si>
  <si>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</si>
  <si>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</si>
  <si>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</si>
  <si>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</si>
  <si>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</si>
  <si>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</si>
  <si>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</si>
  <si>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</si>
  <si>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</si>
  <si>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</si>
  <si>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</si>
  <si>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</si>
  <si>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</si>
  <si>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</si>
  <si>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</si>
  <si>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</si>
  <si>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</si>
  <si>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</si>
  <si>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</si>
  <si>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</si>
  <si>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</si>
  <si>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</si>
  <si>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</si>
  <si>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</si>
  <si>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</si>
  <si>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</si>
  <si>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</si>
  <si>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</si>
  <si>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</si>
  <si>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</si>
  <si>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</si>
  <si>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</si>
  <si>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</si>
  <si>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</si>
  <si>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</si>
  <si>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</si>
  <si>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</si>
  <si>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</si>
  <si>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</si>
  <si>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</si>
  <si>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</si>
  <si>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</si>
  <si>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</si>
  <si>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</si>
  <si>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</si>
  <si>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</si>
  <si>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</si>
  <si>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</si>
  <si>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</si>
  <si>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</si>
  <si>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</si>
  <si>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</si>
  <si>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</si>
  <si>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</si>
  <si>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</si>
  <si>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</si>
  <si>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</si>
  <si>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</si>
  <si>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</si>
  <si>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</si>
  <si>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</si>
  <si>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</si>
  <si>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</si>
  <si>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</si>
  <si>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</si>
  <si>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</si>
  <si>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</si>
  <si>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</si>
  <si>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</si>
  <si>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</si>
  <si>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</si>
  <si>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</si>
  <si>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</si>
  <si>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</si>
  <si>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</si>
  <si>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</si>
  <si>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</si>
  <si>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</si>
  <si>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</si>
  <si>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</si>
  <si>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</si>
  <si>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</si>
  <si>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</si>
  <si>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</si>
  <si>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</si>
  <si>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</si>
  <si>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</si>
  <si>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</si>
  <si>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</si>
  <si>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</si>
  <si>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</si>
  <si>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</si>
  <si>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</si>
  <si>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</si>
  <si>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</si>
  <si>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</si>
  <si>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</si>
  <si>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</si>
  <si>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</si>
  <si>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</si>
  <si>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</si>
  <si>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</si>
  <si>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</si>
  <si>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</si>
  <si>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</si>
  <si>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</si>
  <si>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</si>
  <si>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</si>
  <si>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</si>
  <si>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</si>
  <si>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</si>
  <si>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</si>
  <si>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</si>
  <si>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</si>
  <si>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</si>
  <si>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</si>
  <si>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</si>
  <si>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</si>
  <si>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</si>
  <si>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</si>
  <si>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</si>
  <si>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</si>
  <si>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</si>
  <si>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</si>
  <si>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</si>
  <si>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</si>
  <si>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</si>
  <si>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</si>
  <si>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</si>
  <si>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</si>
  <si>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</si>
  <si>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</si>
  <si>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</si>
  <si>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</si>
  <si>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</si>
  <si>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</si>
  <si>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</si>
  <si>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</si>
  <si>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</si>
  <si>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</si>
  <si>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</si>
  <si>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</si>
  <si>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</si>
  <si>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</si>
  <si>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</si>
  <si>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</si>
  <si>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</si>
  <si>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</si>
  <si>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</si>
  <si>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</si>
  <si>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</si>
  <si>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</si>
  <si>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</si>
  <si>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</si>
  <si>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</si>
  <si>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</si>
  <si>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</si>
  <si>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</si>
  <si>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</si>
  <si>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</si>
  <si>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</si>
  <si>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</si>
  <si>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</si>
  <si>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</si>
  <si>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</si>
  <si>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</si>
  <si>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</si>
  <si>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</si>
  <si>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</si>
  <si>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</si>
  <si>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</si>
  <si>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</si>
  <si>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</si>
  <si>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</si>
  <si>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</si>
  <si>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</si>
  <si>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</si>
  <si>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</si>
  <si>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</si>
  <si>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</si>
  <si>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</si>
  <si>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</si>
  <si>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</si>
  <si>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</si>
  <si>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</si>
  <si>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</si>
  <si>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</si>
  <si>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</si>
  <si>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</si>
  <si>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</si>
  <si>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</si>
  <si>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</si>
  <si>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</si>
  <si>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</si>
  <si>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</si>
  <si>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</si>
  <si>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</si>
  <si>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</si>
  <si>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</si>
  <si>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</si>
  <si>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</si>
  <si>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</si>
  <si>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</si>
  <si>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</si>
  <si>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</si>
  <si>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</si>
  <si>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</si>
  <si>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</si>
  <si>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</si>
  <si>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</si>
  <si>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</si>
  <si>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</si>
  <si>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</si>
  <si>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</si>
  <si>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</si>
  <si>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</si>
  <si>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</si>
  <si>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</si>
  <si>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</si>
  <si>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</si>
  <si>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</si>
  <si>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</si>
  <si>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</si>
  <si>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</si>
  <si>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</si>
  <si>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</si>
  <si>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</si>
  <si>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</si>
  <si>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</si>
  <si>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</si>
  <si>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</si>
  <si>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</si>
  <si>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</si>
  <si>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</si>
  <si>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</si>
  <si>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</si>
  <si>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</si>
  <si>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</si>
  <si>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</si>
  <si>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</si>
  <si>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</si>
  <si>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</si>
  <si>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</si>
  <si>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</si>
  <si>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</si>
  <si>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</si>
  <si>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</si>
  <si>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</si>
  <si>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</si>
  <si>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</si>
  <si>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</si>
  <si>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</si>
  <si>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</si>
  <si>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</si>
  <si>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</si>
  <si>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</si>
  <si>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</si>
  <si>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</si>
  <si>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</si>
  <si>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</si>
  <si>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</si>
  <si>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</si>
  <si>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</si>
  <si>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</si>
  <si>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</si>
  <si>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</si>
  <si>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</si>
  <si>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</si>
  <si>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</si>
  <si>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</si>
  <si>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</si>
  <si>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</si>
  <si>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</si>
  <si>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</si>
  <si>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</si>
  <si>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</si>
  <si>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</si>
  <si>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</si>
  <si>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</si>
  <si>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</si>
  <si>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</si>
  <si>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</si>
  <si>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</si>
  <si>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</si>
  <si>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</si>
  <si>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</si>
  <si>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</si>
  <si>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</si>
  <si>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</si>
  <si>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</si>
  <si>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</si>
  <si>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</si>
  <si>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</si>
  <si>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</si>
  <si>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</si>
  <si>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</si>
  <si>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</si>
  <si>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</si>
  <si>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</si>
  <si>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</si>
  <si>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</si>
  <si>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</si>
  <si>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</si>
  <si>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</si>
  <si>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</si>
  <si>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</si>
  <si>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</si>
  <si>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</si>
  <si>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</si>
  <si>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</si>
  <si>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</si>
  <si>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</si>
  <si>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</si>
  <si>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</si>
  <si>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</si>
  <si>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</si>
  <si>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</si>
  <si>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</si>
  <si>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</si>
  <si>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</si>
  <si>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</si>
  <si>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</si>
  <si>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</si>
  <si>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</si>
  <si>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</si>
  <si>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</si>
  <si>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</si>
  <si>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</si>
  <si>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</si>
  <si>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</si>
  <si>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</si>
  <si>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</si>
  <si>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</si>
  <si>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</si>
  <si>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</si>
  <si>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</si>
  <si>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</si>
  <si>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</si>
  <si>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</si>
  <si>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</si>
  <si>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</si>
  <si>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</si>
  <si>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</si>
  <si>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</si>
  <si>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</si>
  <si>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</si>
  <si>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</si>
  <si>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</si>
  <si>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</si>
  <si>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</si>
  <si>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</si>
  <si>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</si>
  <si>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</si>
  <si>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</si>
  <si>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</si>
  <si>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</si>
  <si>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</si>
  <si>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</si>
  <si>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</si>
  <si>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</si>
  <si>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</si>
  <si>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</si>
  <si>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</si>
  <si>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</si>
  <si>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</si>
  <si>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</si>
  <si>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</si>
  <si>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</si>
  <si>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</si>
  <si>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</si>
  <si>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</si>
  <si>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</si>
  <si>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</si>
  <si>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</si>
  <si>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</si>
  <si>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</si>
  <si>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</si>
  <si>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</si>
  <si>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</si>
  <si>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</si>
  <si>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</si>
  <si>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</si>
  <si>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</si>
  <si>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</si>
  <si>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</si>
  <si>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</si>
  <si>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</si>
  <si>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</si>
  <si>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</si>
  <si>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</si>
  <si>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</si>
  <si>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</si>
  <si>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</si>
  <si>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</si>
  <si>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</si>
  <si>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</si>
  <si>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</si>
  <si>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</si>
  <si>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</si>
  <si>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</si>
  <si>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</si>
  <si>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</si>
  <si>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</si>
  <si>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</si>
  <si>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</si>
  <si>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</si>
  <si>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</si>
  <si>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</si>
  <si>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</si>
  <si>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</si>
  <si>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</si>
  <si>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</si>
  <si>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</si>
  <si>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</si>
  <si>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</si>
  <si>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</si>
  <si>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</si>
  <si>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</si>
  <si>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</si>
  <si>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</si>
  <si>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</si>
  <si>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</si>
  <si>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</si>
  <si>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</si>
  <si>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</si>
  <si>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</si>
  <si>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</si>
  <si>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</si>
  <si>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</si>
  <si>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</si>
  <si>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</si>
  <si>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</si>
  <si>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</si>
  <si>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</si>
  <si>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</si>
  <si>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</si>
  <si>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</si>
  <si>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</si>
  <si>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</si>
  <si>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</si>
  <si>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</si>
  <si>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</si>
  <si>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</si>
  <si>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</si>
  <si>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</si>
  <si>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</si>
  <si>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</si>
  <si>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</si>
  <si>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</si>
  <si>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</si>
  <si>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</si>
  <si>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</si>
  <si>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</si>
  <si>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</si>
  <si>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</si>
  <si>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</si>
  <si>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</si>
  <si>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</si>
  <si>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</si>
  <si>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</si>
  <si>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</si>
  <si>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</si>
  <si>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</si>
  <si>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</si>
  <si>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</si>
  <si>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</si>
  <si>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</si>
  <si>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</si>
  <si>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</si>
  <si>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</si>
  <si>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</si>
  <si>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</si>
  <si>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</si>
  <si>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</si>
  <si>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</si>
  <si>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</si>
  <si>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</si>
  <si>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</si>
  <si>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</si>
  <si>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</si>
  <si>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</si>
  <si>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</si>
  <si>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</si>
  <si>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</si>
  <si>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</si>
  <si>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</si>
  <si>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</si>
  <si>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</si>
  <si>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</si>
  <si>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</si>
  <si>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</si>
  <si>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</si>
  <si>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</si>
  <si>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</si>
  <si>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</si>
  <si>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</si>
  <si>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</si>
  <si>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</si>
  <si>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</si>
  <si>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</si>
  <si>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</si>
  <si>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</si>
  <si>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</si>
  <si>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</si>
  <si>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</si>
  <si>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</si>
  <si>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</si>
  <si>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</si>
  <si>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</si>
  <si>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</si>
  <si>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</si>
  <si>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</si>
  <si>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</si>
  <si>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</si>
  <si>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</si>
  <si>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</si>
  <si>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</si>
  <si>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</si>
  <si>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</si>
  <si>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</si>
  <si>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</si>
  <si>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</si>
  <si>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</si>
  <si>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</si>
  <si>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</si>
  <si>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</si>
  <si>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</si>
  <si>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</si>
  <si>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</si>
  <si>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</si>
  <si>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</si>
  <si>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</si>
  <si>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</si>
  <si>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</si>
  <si>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</si>
  <si>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</si>
  <si>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</si>
  <si>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</si>
  <si>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</si>
  <si>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</si>
  <si>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</si>
  <si>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</si>
  <si>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</si>
  <si>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</si>
  <si>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</si>
  <si>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</si>
  <si>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</si>
  <si>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</si>
  <si>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</si>
  <si>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</si>
  <si>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</si>
  <si>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</si>
  <si>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</si>
  <si>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</si>
  <si>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</si>
  <si>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</si>
  <si>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</si>
  <si>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</si>
  <si>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</si>
  <si>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</si>
  <si>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</si>
  <si>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</si>
  <si>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</si>
  <si>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</si>
  <si>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</si>
  <si>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</si>
  <si>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</si>
  <si>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</si>
  <si>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</si>
  <si>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</si>
  <si>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</si>
  <si>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</si>
  <si>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</si>
  <si>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</si>
  <si>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</si>
  <si>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</si>
  <si>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</si>
  <si>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</si>
  <si>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</si>
  <si>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</si>
  <si>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</si>
  <si>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</si>
  <si>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</si>
  <si>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</si>
  <si>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</si>
  <si>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</si>
  <si>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</si>
  <si>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</si>
  <si>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</si>
  <si>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</si>
  <si>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</si>
  <si>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</si>
  <si>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</si>
  <si>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</si>
  <si>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</si>
  <si>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</si>
  <si>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</si>
  <si>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</si>
  <si>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</si>
  <si>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</si>
  <si>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</si>
  <si>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</si>
  <si>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</si>
  <si>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</si>
  <si>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</si>
  <si>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</si>
  <si>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</si>
  <si>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</si>
  <si>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</si>
  <si>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</si>
  <si>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</si>
  <si>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</si>
  <si>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</si>
  <si>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</si>
  <si>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</si>
  <si>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</si>
  <si>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</si>
  <si>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</si>
  <si>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</si>
  <si>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</si>
  <si>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</si>
  <si>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</si>
  <si>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</si>
  <si>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</si>
  <si>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</si>
  <si>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</si>
  <si>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</si>
  <si>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</si>
  <si>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</si>
  <si>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</si>
  <si>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</si>
  <si>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</si>
  <si>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</si>
  <si>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</si>
  <si>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</si>
  <si>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</si>
  <si>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</si>
  <si>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</si>
  <si>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</si>
  <si>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</si>
  <si>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</si>
  <si>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</si>
  <si>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</si>
  <si>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</si>
  <si>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</si>
  <si>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</si>
  <si>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</si>
  <si>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</si>
  <si>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</si>
  <si>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</si>
  <si>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</si>
  <si>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</si>
  <si>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</si>
  <si>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</si>
  <si>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</si>
  <si>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</si>
  <si>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</si>
  <si>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</si>
  <si>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</si>
  <si>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</si>
  <si>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</si>
  <si>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</si>
  <si>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</si>
  <si>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</si>
  <si>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</si>
  <si>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</si>
  <si>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</si>
  <si>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</si>
  <si>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</si>
  <si>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</si>
  <si>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</si>
  <si>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</si>
  <si>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</si>
  <si>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</si>
  <si>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</si>
  <si>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</si>
  <si>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</si>
  <si>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</si>
  <si>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</si>
  <si>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</si>
  <si>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</si>
  <si>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</si>
  <si>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</si>
  <si>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</si>
  <si>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</si>
  <si>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</si>
  <si>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</si>
  <si>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</si>
  <si>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</si>
  <si>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</si>
  <si>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</si>
  <si>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</si>
  <si>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</si>
  <si>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</si>
  <si>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</si>
  <si>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</si>
  <si>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</si>
  <si>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</si>
  <si>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</si>
  <si>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</si>
  <si>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</si>
  <si>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</si>
  <si>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</si>
  <si>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</si>
  <si>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</si>
  <si>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</si>
  <si>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</si>
  <si>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</si>
  <si>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</si>
  <si>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</si>
  <si>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</si>
  <si>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</si>
  <si>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</si>
  <si>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</si>
  <si>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</si>
  <si>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</si>
  <si>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</si>
  <si>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</si>
  <si>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</si>
  <si>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</si>
  <si>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</si>
  <si>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</si>
  <si>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</si>
  <si>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</si>
  <si>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</si>
  <si>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</si>
  <si>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</si>
  <si>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</si>
  <si>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</si>
  <si>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</si>
  <si>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</si>
  <si>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</si>
  <si>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</si>
  <si>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</si>
  <si>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</si>
  <si>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</si>
  <si>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</si>
  <si>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</si>
  <si>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</si>
  <si>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</si>
  <si>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</si>
  <si>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</si>
  <si>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</si>
  <si>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</si>
  <si>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</si>
  <si>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</si>
  <si>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</si>
  <si>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</si>
  <si>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</si>
  <si>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</si>
  <si>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</si>
  <si>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</si>
  <si>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</si>
  <si>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</si>
  <si>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</si>
  <si>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</si>
  <si>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</si>
  <si>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</si>
  <si>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</si>
  <si>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</si>
  <si>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</si>
  <si>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</si>
  <si>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</si>
  <si>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</si>
  <si>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</si>
  <si>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</si>
  <si>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</si>
  <si>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</si>
  <si>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</si>
  <si>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</si>
  <si>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</si>
  <si>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</si>
  <si>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</si>
  <si>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</si>
  <si>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</si>
  <si>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</si>
  <si>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</si>
  <si>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</si>
  <si>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</si>
  <si>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</si>
  <si>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</si>
  <si>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</si>
  <si>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</si>
  <si>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</si>
  <si>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</si>
  <si>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</si>
  <si>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</si>
  <si>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</si>
  <si>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</si>
  <si>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</si>
  <si>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</si>
  <si>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</si>
  <si>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</si>
  <si>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</si>
  <si>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</si>
  <si>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</si>
  <si>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</si>
  <si>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</si>
  <si>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</si>
  <si>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</si>
  <si>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</si>
  <si>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</si>
  <si>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</si>
  <si>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</si>
  <si>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</si>
  <si>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</si>
  <si>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</si>
  <si>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</si>
  <si>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</si>
  <si>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</si>
  <si>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</si>
  <si>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</si>
  <si>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</si>
  <si>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</si>
  <si>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</si>
  <si>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</si>
  <si>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</si>
  <si>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</si>
  <si>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</si>
  <si>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</si>
  <si>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</si>
  <si>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</si>
  <si>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</si>
  <si>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</si>
  <si>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</si>
  <si>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</si>
  <si>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</si>
  <si>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</si>
  <si>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</si>
  <si>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</si>
  <si>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</si>
  <si>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</si>
  <si>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</si>
  <si>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</si>
  <si>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</si>
  <si>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</si>
  <si>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</si>
  <si>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</si>
  <si>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</si>
  <si>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</si>
  <si>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</si>
  <si>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</si>
  <si>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</si>
  <si>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</si>
  <si>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</si>
  <si>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</si>
  <si>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</si>
  <si>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</si>
  <si>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</si>
  <si>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</si>
  <si>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</si>
  <si>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</si>
  <si>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</si>
  <si>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</si>
  <si>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</si>
  <si>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</si>
  <si>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</si>
  <si>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</si>
  <si>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</si>
  <si>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</si>
  <si>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</si>
  <si>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</si>
  <si>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</si>
  <si>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</si>
  <si>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</si>
  <si>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</si>
  <si>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</si>
  <si>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</si>
  <si>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</si>
  <si>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</si>
  <si>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</si>
  <si>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</si>
  <si>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</si>
  <si>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</si>
  <si>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</si>
  <si>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</si>
  <si>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</si>
  <si>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</si>
  <si>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</si>
  <si>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</si>
  <si>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</si>
  <si>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</si>
  <si>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</si>
  <si>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</si>
  <si>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</si>
  <si>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</si>
  <si>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</si>
  <si>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</si>
  <si>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</si>
  <si>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</si>
  <si>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</si>
  <si>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</si>
  <si>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</si>
  <si>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</si>
  <si>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</si>
  <si>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</si>
  <si>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</si>
  <si>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</si>
  <si>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</si>
  <si>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</si>
  <si>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</si>
  <si>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</si>
  <si>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</si>
  <si>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</si>
  <si>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</si>
  <si>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</si>
  <si>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</si>
  <si>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</si>
  <si>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</si>
  <si>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</si>
  <si>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</si>
  <si>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</si>
  <si>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</si>
  <si>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</si>
  <si>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</si>
  <si>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</si>
  <si>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</si>
  <si>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</si>
  <si>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</si>
  <si>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</si>
  <si>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</si>
  <si>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</si>
  <si>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</si>
  <si>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</si>
  <si>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</si>
  <si>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</si>
  <si>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</si>
  <si>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</si>
  <si>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</si>
  <si>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</si>
  <si>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</si>
  <si>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</si>
  <si>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</si>
  <si>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</si>
  <si>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</si>
  <si>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</si>
  <si>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</si>
  <si>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</si>
  <si>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</si>
  <si>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</si>
  <si>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</si>
  <si>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</si>
  <si>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</si>
  <si>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</si>
  <si>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</si>
  <si>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</si>
  <si>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</si>
  <si>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</si>
  <si>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</si>
  <si>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</si>
  <si>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</si>
  <si>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</si>
  <si>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</si>
  <si>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</si>
  <si>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</si>
  <si>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</si>
  <si>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</si>
  <si>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</si>
  <si>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</si>
  <si>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</si>
  <si>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</si>
  <si>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</si>
  <si>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</si>
  <si>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</si>
  <si>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</si>
  <si>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</si>
  <si>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</si>
  <si>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</si>
  <si>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</si>
  <si>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</si>
  <si>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</si>
  <si>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</si>
  <si>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</si>
  <si>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</si>
  <si>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</si>
  <si>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</si>
  <si>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</si>
  <si>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</si>
  <si>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</si>
  <si>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</si>
  <si>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</si>
  <si>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</si>
  <si>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</si>
  <si>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</si>
  <si>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</si>
  <si>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</si>
  <si>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</si>
  <si>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</si>
  <si>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</si>
  <si>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</si>
  <si>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</si>
  <si>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</si>
  <si>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</si>
  <si>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</si>
  <si>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</si>
  <si>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</si>
  <si>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</si>
  <si>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</si>
  <si>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</si>
  <si>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</si>
  <si>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</si>
  <si>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</si>
  <si>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</si>
  <si>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</si>
  <si>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</si>
  <si>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</si>
  <si>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</si>
  <si>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</si>
  <si>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</si>
  <si>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</si>
  <si>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</si>
  <si>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</si>
  <si>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</si>
  <si>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</si>
  <si>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</si>
  <si>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</si>
  <si>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</si>
  <si>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</si>
  <si>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</si>
  <si>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</si>
  <si>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</si>
  <si>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</si>
  <si>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</si>
  <si>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</si>
  <si>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</si>
  <si>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</si>
  <si>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</si>
  <si>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</si>
  <si>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</si>
  <si>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</si>
  <si>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</si>
  <si>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</si>
  <si>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</si>
  <si>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</si>
  <si>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</si>
  <si>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</si>
  <si>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</si>
  <si>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</si>
  <si>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</si>
  <si>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</si>
  <si>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</si>
  <si>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</si>
  <si>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</si>
  <si>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</si>
  <si>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</si>
  <si>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</si>
  <si>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</si>
  <si>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</si>
  <si>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</si>
  <si>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</si>
  <si>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</si>
  <si>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</si>
  <si>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</si>
  <si>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</si>
  <si>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</si>
  <si>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</si>
  <si>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</si>
  <si>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</si>
  <si>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</si>
  <si>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</si>
  <si>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</si>
  <si>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</si>
  <si>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</si>
  <si>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</si>
  <si>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</si>
  <si>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</si>
  <si>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</si>
  <si>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</si>
  <si>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</si>
  <si>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</si>
  <si>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</si>
  <si>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</si>
  <si>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</si>
  <si>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</si>
  <si>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</si>
  <si>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</si>
  <si>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</si>
  <si>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</si>
  <si>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</si>
  <si>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</si>
  <si>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</si>
  <si>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</si>
  <si>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</si>
  <si>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</si>
  <si>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</si>
  <si>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</si>
  <si>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</si>
  <si>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</si>
  <si>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</si>
  <si>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</si>
  <si>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</si>
  <si>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</si>
  <si>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</si>
  <si>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</si>
  <si>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</si>
  <si>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</si>
  <si>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</si>
  <si>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</si>
  <si>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</si>
  <si>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</si>
  <si>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</si>
  <si>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</si>
  <si>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</si>
  <si>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</si>
  <si>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</si>
  <si>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</si>
  <si>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</si>
  <si>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</si>
  <si>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</si>
  <si>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</si>
  <si>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</si>
  <si>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</si>
  <si>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</si>
  <si>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</si>
  <si>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</si>
  <si>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</si>
  <si>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</si>
  <si>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</si>
  <si>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</si>
  <si>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</si>
  <si>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</si>
  <si>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</si>
  <si>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</si>
  <si>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</si>
  <si>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</si>
  <si>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</si>
  <si>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</si>
  <si>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</si>
  <si>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</si>
  <si>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</si>
  <si>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</si>
  <si>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</si>
  <si>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</si>
  <si>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</si>
  <si>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</si>
  <si>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</si>
  <si>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</si>
  <si>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</si>
  <si>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</si>
  <si>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</si>
  <si>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</si>
  <si>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</si>
  <si>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</si>
  <si>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</si>
  <si>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</si>
  <si>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</si>
  <si>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</si>
  <si>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</si>
  <si>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</si>
  <si>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</si>
  <si>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</si>
  <si>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</si>
  <si>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</si>
  <si>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</si>
  <si>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</si>
  <si>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</si>
  <si>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</si>
  <si>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</si>
  <si>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</si>
  <si>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</si>
  <si>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</si>
  <si>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</si>
  <si>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</si>
  <si>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</si>
  <si>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</si>
  <si>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</si>
  <si>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</si>
  <si>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</si>
  <si>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</si>
  <si>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</si>
  <si>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</si>
  <si>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</si>
  <si>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</si>
  <si>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</si>
  <si>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</si>
  <si>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</si>
  <si>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</si>
  <si>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</si>
  <si>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</si>
  <si>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</si>
  <si>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</si>
  <si>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</si>
  <si>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</si>
  <si>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</si>
  <si>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</si>
  <si>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</si>
  <si>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</si>
  <si>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</si>
  <si>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</si>
  <si>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</si>
  <si>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</si>
  <si>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</si>
  <si>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</si>
  <si>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</si>
  <si>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</si>
  <si>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</si>
  <si>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</si>
  <si>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</si>
  <si>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</si>
  <si>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</si>
  <si>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</si>
  <si>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</si>
  <si>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</si>
  <si>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</si>
  <si>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</si>
  <si>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</si>
  <si>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</si>
  <si>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</si>
  <si>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</si>
  <si>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</si>
  <si>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</si>
  <si>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</si>
  <si>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</si>
  <si>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</si>
  <si>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</si>
  <si>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</si>
  <si>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</si>
  <si>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</si>
  <si>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</si>
  <si>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</si>
  <si>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</si>
  <si>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</si>
  <si>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</si>
  <si>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</si>
  <si>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</si>
  <si>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</si>
  <si>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</si>
  <si>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</si>
  <si>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</si>
  <si>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</si>
  <si>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</si>
  <si>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</si>
  <si>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</si>
  <si>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</si>
  <si>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</si>
  <si>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</si>
  <si>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</si>
  <si>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</si>
  <si>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</si>
  <si>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</si>
  <si>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</si>
  <si>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</si>
  <si>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</si>
  <si>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</si>
  <si>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</si>
  <si>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</si>
  <si>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</si>
  <si>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</si>
  <si>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</si>
  <si>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</si>
  <si>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</si>
  <si>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</si>
  <si>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</si>
  <si>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</si>
  <si>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</si>
  <si>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</si>
  <si>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</si>
  <si>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</si>
  <si>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</si>
  <si>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</si>
  <si>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</si>
  <si>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</si>
  <si>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</si>
  <si>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</si>
  <si>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</si>
  <si>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</si>
  <si>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</si>
  <si>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</si>
  <si>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</si>
  <si>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</si>
  <si>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</si>
  <si>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</si>
  <si>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</si>
  <si>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</si>
  <si>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</si>
  <si>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</si>
  <si>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</si>
  <si>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</si>
  <si>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</si>
  <si>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</si>
  <si>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</si>
  <si>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</si>
  <si>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</si>
  <si>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</si>
  <si>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</si>
  <si>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</si>
  <si>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</si>
  <si>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</si>
  <si>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</si>
  <si>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</si>
  <si>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</si>
  <si>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</si>
  <si>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</si>
  <si>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</si>
  <si>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</si>
  <si>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</si>
  <si>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</si>
  <si>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</si>
  <si>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</si>
  <si>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</si>
  <si>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</si>
  <si>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</si>
  <si>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</si>
  <si>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</si>
  <si>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</si>
  <si>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</si>
  <si>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</si>
  <si>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</si>
  <si>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</si>
  <si>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</si>
  <si>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</si>
  <si>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</si>
  <si>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</si>
  <si>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</si>
  <si>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</si>
  <si>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</si>
  <si>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</si>
  <si>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</si>
  <si>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</si>
  <si>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</si>
  <si>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</si>
  <si>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</si>
  <si>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</si>
  <si>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</si>
  <si>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</si>
  <si>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</si>
  <si>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</si>
  <si>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</si>
  <si>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</si>
  <si>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</si>
  <si>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</si>
  <si>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</si>
  <si>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</si>
  <si>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</si>
  <si>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</si>
  <si>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</si>
  <si>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</si>
  <si>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</si>
  <si>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</si>
  <si>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</si>
  <si>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</si>
  <si>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</si>
  <si>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</si>
  <si>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</si>
  <si>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</si>
  <si>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</si>
  <si>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</si>
  <si>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</si>
  <si>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</si>
  <si>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</si>
  <si>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</si>
  <si>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</si>
  <si>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</si>
  <si>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</si>
  <si>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</si>
  <si>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</si>
  <si>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</si>
  <si>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</si>
  <si>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</si>
  <si>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</si>
  <si>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</si>
  <si>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</si>
  <si>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</si>
  <si>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</si>
  <si>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</si>
  <si>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</si>
  <si>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</si>
  <si>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</si>
  <si>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</si>
  <si>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</si>
  <si>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</si>
  <si>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</si>
  <si>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</si>
  <si>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</si>
  <si>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</si>
  <si>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</si>
  <si>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</si>
  <si>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</si>
  <si>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</si>
  <si>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</si>
  <si>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</si>
  <si>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</si>
  <si>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</si>
  <si>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</si>
  <si>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</si>
  <si>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</si>
  <si>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</si>
  <si>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</si>
  <si>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</si>
  <si>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</si>
  <si>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</si>
  <si>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</si>
  <si>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</si>
  <si>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</si>
  <si>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</si>
  <si>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</si>
  <si>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</si>
  <si>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</si>
  <si>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</si>
  <si>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</si>
  <si>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</si>
  <si>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</si>
  <si>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</si>
  <si>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</si>
  <si>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</si>
  <si>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</si>
  <si>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</si>
  <si>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</si>
  <si>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</si>
  <si>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</si>
  <si>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</si>
  <si>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</si>
  <si>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</si>
  <si>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</si>
  <si>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</si>
  <si>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</si>
  <si>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</si>
  <si>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</si>
  <si>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</si>
  <si>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</si>
  <si>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</si>
  <si>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</si>
  <si>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</si>
  <si>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</si>
  <si>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</si>
  <si>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</si>
  <si>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</si>
  <si>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</si>
  <si>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</si>
  <si>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</si>
  <si>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</si>
  <si>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</si>
  <si>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</si>
  <si>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</si>
  <si>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</si>
  <si>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</si>
  <si>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</si>
  <si>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</si>
  <si>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</si>
  <si>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</si>
  <si>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</si>
  <si>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</si>
  <si>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</si>
  <si>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</si>
  <si>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</si>
  <si>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</si>
  <si>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</si>
  <si>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</si>
  <si>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</si>
  <si>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</si>
  <si>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</si>
  <si>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</si>
  <si>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</si>
  <si>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</si>
  <si>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</si>
  <si>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</si>
  <si>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</si>
  <si>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</si>
  <si>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</si>
  <si>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</si>
  <si>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</si>
  <si>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</si>
  <si>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</si>
  <si>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</si>
  <si>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</si>
  <si>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</si>
  <si>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</si>
  <si>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</si>
  <si>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</si>
  <si>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</si>
  <si>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</si>
  <si>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</si>
  <si>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</si>
  <si>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</si>
  <si>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</si>
  <si>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</si>
  <si>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</si>
  <si>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</si>
  <si>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</si>
  <si>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</si>
  <si>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</si>
  <si>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</si>
  <si>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</si>
  <si>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</si>
  <si>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</si>
  <si>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</si>
  <si>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</si>
  <si>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</si>
  <si>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</si>
  <si>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</si>
  <si>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</si>
  <si>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</si>
  <si>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</si>
  <si>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</si>
  <si>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</si>
  <si>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</si>
  <si>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</si>
  <si>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</si>
  <si>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</si>
  <si>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</si>
  <si>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</si>
  <si>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</si>
  <si>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</si>
  <si>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</si>
  <si>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</si>
  <si>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</si>
  <si>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</si>
  <si>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</si>
  <si>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</si>
  <si>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</si>
  <si>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</si>
  <si>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</si>
  <si>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</si>
  <si>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</si>
  <si>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</si>
  <si>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</si>
  <si>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</si>
  <si>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</si>
  <si>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</si>
  <si>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</si>
  <si>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</si>
  <si>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</si>
  <si>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</si>
  <si>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</si>
  <si>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</si>
  <si>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</si>
  <si>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</si>
  <si>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</si>
  <si>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</si>
  <si>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</si>
  <si>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</si>
  <si>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</si>
  <si>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</si>
  <si>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</si>
  <si>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</si>
  <si>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</si>
  <si>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</si>
  <si>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</si>
  <si>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</si>
  <si>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</si>
  <si>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</si>
  <si>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</si>
  <si>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</si>
  <si>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</si>
  <si>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</si>
  <si>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</si>
  <si>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</si>
  <si>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</si>
  <si>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</si>
  <si>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</si>
  <si>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</si>
  <si>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</si>
  <si>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</si>
  <si>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</si>
  <si>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</si>
  <si>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</si>
  <si>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</si>
  <si>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</si>
  <si>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</si>
  <si>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</si>
  <si>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</si>
  <si>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</si>
  <si>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</si>
  <si>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</si>
  <si>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</si>
  <si>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</si>
  <si>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</si>
  <si>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</si>
  <si>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</si>
  <si>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</si>
  <si>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</si>
  <si>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</si>
  <si>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</si>
  <si>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</si>
  <si>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</si>
  <si>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</si>
  <si>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</si>
  <si>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</si>
  <si>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</si>
  <si>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</si>
  <si>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</si>
  <si>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</si>
  <si>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</si>
  <si>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</si>
  <si>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</si>
  <si>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</si>
  <si>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</si>
  <si>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</si>
  <si>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</si>
  <si>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</si>
  <si>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</si>
  <si>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</si>
  <si>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</si>
  <si>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</si>
  <si>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</si>
  <si>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</si>
  <si>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</si>
  <si>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</si>
  <si>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</si>
  <si>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</si>
  <si>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</si>
  <si>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</si>
  <si>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</si>
  <si>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</si>
  <si>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</si>
  <si>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</si>
  <si>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</si>
  <si>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</si>
  <si>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</si>
  <si>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</si>
  <si>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</si>
  <si>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</si>
  <si>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</si>
  <si>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</si>
  <si>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</si>
  <si>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</si>
  <si>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</si>
  <si>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</si>
  <si>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</si>
  <si>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</si>
  <si>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</si>
  <si>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</si>
  <si>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</si>
  <si>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</si>
  <si>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</si>
  <si>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</si>
  <si>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</si>
  <si>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</si>
  <si>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</si>
  <si>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</si>
  <si>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</si>
  <si>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</si>
  <si>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</si>
  <si>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</si>
  <si>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</si>
  <si>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</si>
  <si>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</si>
  <si>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</si>
  <si>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</si>
  <si>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</si>
  <si>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</si>
  <si>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</si>
  <si>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</si>
  <si>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</si>
  <si>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</si>
  <si>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</si>
  <si>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</si>
  <si>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</si>
  <si>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</si>
  <si>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</si>
  <si>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</si>
  <si>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</si>
  <si>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</si>
  <si>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</si>
  <si>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</si>
  <si>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</si>
  <si>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</si>
  <si>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</si>
  <si>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</si>
  <si>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</si>
  <si>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</si>
  <si>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</si>
  <si>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</si>
  <si>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</si>
  <si>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</si>
  <si>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</si>
  <si>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</si>
  <si>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</si>
  <si>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</si>
  <si>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</si>
  <si>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</si>
  <si>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</si>
  <si>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</si>
  <si>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</si>
  <si>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</si>
  <si>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</si>
  <si>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</si>
  <si>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</si>
  <si>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</si>
  <si>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</si>
  <si>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</si>
  <si>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</si>
  <si>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</si>
  <si>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</si>
  <si>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</si>
  <si>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</si>
  <si>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</si>
  <si>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</si>
  <si>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</si>
  <si>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</si>
  <si>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</si>
  <si>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</si>
  <si>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</si>
  <si>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</si>
  <si>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</si>
  <si>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</si>
  <si>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</si>
  <si>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</si>
  <si>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</si>
  <si>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</si>
  <si>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</si>
  <si>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</si>
  <si>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</si>
  <si>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</si>
  <si>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</si>
  <si>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</si>
  <si>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</si>
  <si>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</si>
  <si>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</si>
  <si>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</si>
  <si>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</si>
  <si>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</si>
  <si>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</si>
  <si>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</si>
  <si>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</si>
  <si>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</si>
  <si>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</si>
  <si>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</si>
  <si>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</si>
  <si>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</si>
  <si>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</si>
  <si>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</si>
  <si>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</si>
  <si>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</si>
  <si>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</si>
  <si>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</si>
  <si>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</si>
  <si>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</si>
  <si>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</si>
  <si>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</si>
  <si>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</si>
  <si>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</si>
  <si>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</si>
  <si>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</si>
  <si>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</si>
  <si>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</si>
  <si>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</si>
  <si>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</si>
  <si>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</si>
  <si>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</si>
  <si>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</si>
  <si>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</si>
  <si>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</si>
  <si>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</si>
  <si>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</si>
  <si>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</si>
  <si>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</si>
  <si>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</si>
  <si>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</si>
  <si>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</si>
  <si>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</si>
  <si>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</si>
  <si>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</si>
  <si>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</si>
  <si>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</si>
  <si>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</si>
  <si>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</si>
  <si>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</si>
  <si>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</si>
  <si>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</si>
  <si>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</si>
  <si>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</si>
  <si>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</si>
  <si>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</si>
  <si>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</si>
  <si>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</si>
  <si>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</si>
  <si>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</si>
  <si>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</si>
  <si>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</si>
  <si>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</si>
  <si>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</si>
  <si>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</si>
  <si>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</si>
  <si>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</si>
  <si>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</si>
  <si>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</si>
  <si>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</si>
  <si>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</si>
  <si>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</si>
  <si>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</si>
  <si>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</si>
  <si>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</si>
  <si>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</si>
  <si>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</si>
  <si>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</si>
  <si>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</si>
  <si>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</si>
  <si>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</si>
  <si>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</si>
  <si>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</si>
  <si>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</si>
  <si>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</si>
  <si>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</si>
  <si>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</si>
  <si>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</si>
  <si>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</si>
  <si>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</si>
  <si>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</si>
  <si>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</si>
  <si>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</si>
  <si>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</si>
  <si>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</si>
  <si>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</si>
  <si>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</si>
  <si>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</si>
  <si>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</si>
  <si>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</si>
  <si>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</si>
  <si>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</si>
  <si>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</si>
  <si>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</si>
  <si>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</si>
  <si>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</si>
  <si>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</si>
  <si>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</si>
  <si>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</si>
  <si>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</si>
  <si>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</si>
  <si>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</si>
  <si>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</si>
  <si>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</si>
  <si>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</si>
  <si>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</si>
  <si>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</si>
  <si>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</si>
  <si>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</si>
  <si>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</si>
  <si>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</si>
  <si>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</si>
  <si>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</si>
  <si>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</si>
  <si>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</si>
  <si>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</si>
  <si>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</si>
  <si>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</si>
  <si>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</si>
  <si>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</si>
  <si>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</si>
  <si>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</si>
  <si>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</si>
  <si>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</si>
  <si>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</si>
  <si>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</si>
  <si>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</si>
  <si>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</si>
  <si>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</si>
  <si>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</si>
  <si>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</si>
  <si>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</si>
  <si>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</si>
  <si>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</si>
  <si>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</si>
  <si>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</si>
  <si>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</si>
  <si>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</si>
  <si>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</si>
  <si>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</si>
  <si>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</si>
  <si>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</si>
  <si>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</si>
  <si>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</si>
  <si>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</si>
  <si>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</si>
  <si>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</si>
  <si>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</si>
  <si>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</si>
  <si>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</si>
  <si>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</si>
  <si>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</si>
  <si>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</si>
  <si>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</si>
  <si>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</si>
  <si>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</si>
  <si>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</si>
  <si>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</si>
  <si>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</si>
  <si>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</si>
  <si>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</si>
  <si>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</si>
  <si>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</si>
  <si>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</si>
  <si>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</si>
  <si>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</si>
  <si>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</si>
  <si>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</si>
  <si>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</si>
  <si>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</si>
  <si>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</si>
  <si>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</si>
  <si>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</si>
  <si>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</si>
  <si>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</si>
  <si>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</si>
  <si>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</si>
  <si>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</si>
  <si>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</si>
  <si>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</si>
  <si>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</si>
  <si>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</si>
  <si>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</si>
  <si>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</si>
  <si>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</si>
  <si>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</si>
  <si>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</si>
  <si>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</si>
  <si>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</si>
  <si>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</si>
  <si>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</si>
  <si>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</si>
  <si>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</si>
  <si>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</si>
  <si>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</si>
  <si>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</si>
  <si>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</si>
  <si>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</si>
  <si>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</si>
  <si>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</si>
  <si>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</si>
  <si>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</si>
  <si>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</si>
  <si>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</si>
  <si>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</si>
  <si>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</si>
  <si>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</si>
  <si>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</si>
  <si>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</si>
  <si>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</si>
  <si>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</si>
  <si>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</si>
  <si>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</si>
  <si>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</si>
  <si>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</si>
  <si>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</si>
  <si>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</si>
  <si>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</si>
  <si>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</si>
  <si>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</si>
  <si>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</si>
  <si>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</si>
  <si>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</si>
  <si>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</si>
  <si>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</si>
  <si>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</si>
  <si>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</si>
  <si>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</si>
  <si>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</si>
  <si>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</si>
  <si>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</si>
  <si>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</si>
  <si>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</si>
  <si>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</si>
  <si>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</si>
  <si>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</si>
  <si>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</si>
  <si>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</si>
  <si>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</si>
  <si>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</si>
  <si>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</si>
  <si>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</si>
  <si>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</si>
  <si>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</si>
  <si>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</si>
  <si>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</si>
  <si>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</si>
  <si>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</si>
  <si>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</si>
  <si>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</si>
  <si>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</si>
  <si>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</si>
  <si>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</si>
  <si>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</si>
  <si>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</si>
  <si>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</si>
  <si>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</si>
  <si>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</si>
  <si>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</si>
  <si>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</si>
  <si>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</si>
  <si>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</si>
  <si>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</si>
  <si>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</si>
  <si>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</si>
  <si>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</si>
  <si>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</si>
  <si>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</si>
  <si>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</si>
  <si>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</si>
  <si>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</si>
  <si>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</si>
  <si>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</si>
  <si>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</si>
  <si>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</si>
  <si>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</si>
  <si>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</si>
  <si>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</si>
  <si>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</si>
  <si>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</si>
  <si>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</si>
  <si>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</si>
  <si>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</si>
  <si>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</si>
  <si>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</si>
  <si>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</si>
  <si>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</si>
  <si>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</si>
  <si>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</si>
  <si>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</si>
  <si>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</si>
  <si>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</si>
  <si>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</si>
  <si>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</si>
  <si>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</si>
  <si>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</si>
  <si>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</si>
  <si>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</si>
  <si>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</si>
  <si>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</si>
  <si>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</si>
  <si>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</si>
  <si>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</si>
  <si>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</si>
  <si>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</si>
  <si>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</si>
  <si>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</si>
  <si>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</si>
  <si>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</si>
  <si>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</si>
  <si>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</si>
  <si>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</si>
  <si>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</si>
  <si>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</si>
  <si>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</si>
  <si>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</si>
  <si>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</si>
  <si>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</si>
  <si>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</si>
  <si>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</si>
  <si>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</si>
  <si>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</si>
  <si>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</si>
  <si>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</si>
  <si>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</si>
  <si>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</si>
  <si>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</si>
  <si>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</si>
  <si>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</si>
  <si>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</si>
  <si>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</si>
  <si>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</si>
  <si>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</si>
  <si>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</si>
  <si>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</si>
  <si>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</si>
  <si>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</si>
  <si>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</si>
  <si>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</si>
  <si>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</si>
  <si>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</si>
  <si>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</si>
  <si>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</si>
  <si>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</si>
  <si>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</si>
  <si>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</si>
  <si>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</si>
  <si>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</si>
  <si>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</si>
  <si>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</si>
  <si>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</si>
  <si>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</si>
  <si>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</si>
  <si>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</si>
  <si>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</si>
  <si>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</si>
  <si>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</si>
  <si>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</si>
  <si>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</si>
  <si>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</si>
  <si>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</si>
  <si>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</si>
  <si>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</si>
  <si>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</si>
  <si>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</si>
  <si>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</si>
  <si>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</si>
  <si>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</si>
  <si>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</si>
  <si>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</si>
  <si>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</si>
  <si>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</si>
  <si>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</si>
  <si>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</si>
  <si>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</si>
  <si>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</si>
  <si>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</si>
  <si>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</si>
  <si>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</si>
  <si>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</si>
  <si>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</si>
  <si>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</si>
  <si>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</si>
  <si>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</si>
  <si>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</si>
  <si>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</si>
  <si>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</si>
  <si>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</si>
  <si>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</si>
  <si>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</si>
  <si>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</si>
  <si>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</si>
  <si>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</si>
  <si>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</si>
  <si>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</si>
  <si>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</si>
  <si>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</si>
  <si>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</si>
  <si>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</si>
  <si>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</si>
  <si>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</si>
  <si>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</si>
  <si>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</si>
  <si>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</si>
  <si>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</si>
  <si>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</si>
  <si>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</si>
  <si>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</si>
  <si>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</si>
  <si>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</si>
  <si>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</si>
  <si>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</si>
  <si>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</si>
  <si>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</si>
  <si>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</si>
  <si>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</si>
  <si>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</si>
  <si>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</si>
  <si>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</si>
  <si>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</si>
  <si>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</si>
  <si>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</si>
  <si>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</si>
  <si>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</si>
  <si>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</si>
  <si>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</si>
  <si>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</si>
  <si>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</si>
  <si>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</si>
  <si>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</si>
  <si>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</si>
  <si>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</si>
  <si>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</si>
  <si>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</si>
  <si>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</si>
  <si>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</si>
  <si>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</si>
  <si>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</si>
  <si>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</si>
  <si>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</si>
  <si>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</si>
  <si>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</si>
  <si>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</si>
  <si>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</si>
  <si>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</si>
  <si>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</si>
  <si>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</si>
  <si>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</si>
  <si>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</si>
  <si>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</si>
  <si>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</si>
  <si>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</si>
  <si>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</si>
  <si>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</si>
  <si>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</si>
  <si>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</si>
  <si>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</si>
  <si>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</si>
  <si>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</si>
  <si>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</si>
  <si>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</si>
  <si>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</si>
  <si>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</si>
  <si>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</si>
  <si>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</si>
  <si>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</si>
  <si>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</si>
  <si>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</si>
  <si>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</si>
  <si>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</si>
  <si>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</si>
  <si>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</si>
  <si>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</si>
  <si>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</si>
  <si>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</si>
  <si>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</si>
  <si>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</si>
  <si>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</si>
  <si>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</si>
  <si>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</si>
  <si>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</si>
  <si>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</si>
  <si>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</si>
  <si>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</si>
  <si>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</si>
  <si>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</si>
  <si>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</si>
  <si>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</si>
  <si>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</si>
  <si>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</si>
  <si>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</si>
  <si>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</si>
  <si>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</si>
  <si>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</si>
  <si>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</si>
  <si>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</si>
  <si>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</si>
  <si>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</si>
  <si>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</si>
  <si>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</si>
  <si>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</si>
  <si>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</si>
  <si>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</si>
  <si>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</si>
  <si>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</si>
  <si>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</si>
  <si>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</si>
  <si>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</si>
  <si>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</si>
  <si>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</si>
  <si>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</si>
  <si>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</si>
  <si>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</si>
  <si>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</si>
  <si>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</si>
  <si>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</si>
  <si>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</si>
  <si>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</si>
  <si>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</si>
  <si>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</si>
  <si>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</si>
  <si>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</si>
  <si>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</si>
  <si>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</si>
  <si>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</si>
  <si>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</si>
  <si>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</si>
  <si>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</si>
  <si>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</si>
  <si>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</si>
  <si>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</si>
  <si>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</si>
  <si>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</si>
  <si>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</si>
  <si>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</si>
  <si>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</si>
  <si>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</si>
  <si>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</si>
  <si>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</si>
  <si>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</si>
  <si>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</si>
  <si>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</si>
  <si>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</si>
  <si>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</si>
  <si>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</si>
  <si>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</si>
  <si>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</si>
  <si>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</si>
  <si>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</si>
  <si>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</si>
  <si>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</si>
  <si>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</si>
  <si>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</si>
  <si>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</si>
  <si>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</si>
  <si>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</si>
  <si>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</si>
  <si>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</si>
  <si>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</si>
  <si>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</si>
  <si>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</si>
  <si>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</si>
  <si>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</si>
  <si>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</si>
  <si>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</si>
  <si>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</si>
  <si>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</si>
  <si>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</si>
  <si>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</si>
  <si>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</si>
  <si>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</si>
  <si>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</si>
  <si>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</si>
  <si>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</si>
  <si>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</si>
  <si>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</si>
  <si>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</si>
  <si>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</si>
  <si>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</si>
  <si>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</si>
  <si>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</si>
  <si>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</si>
  <si>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</si>
  <si>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</si>
  <si>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</si>
  <si>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</si>
  <si>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</si>
  <si>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</si>
  <si>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</si>
  <si>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</si>
  <si>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</si>
  <si>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</si>
  <si>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</si>
  <si>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</si>
  <si>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</si>
  <si>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</si>
  <si>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</si>
  <si>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</si>
  <si>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</si>
  <si>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</si>
  <si>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</si>
  <si>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</si>
  <si>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</si>
  <si>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</si>
  <si>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</si>
  <si>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</si>
  <si>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</si>
  <si>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</si>
  <si>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</si>
  <si>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</si>
  <si>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</si>
  <si>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</si>
  <si>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</si>
  <si>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</si>
  <si>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</si>
  <si>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</si>
  <si>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</si>
  <si>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</si>
  <si>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</si>
  <si>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</si>
  <si>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</si>
  <si>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</si>
  <si>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</si>
  <si>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</si>
  <si>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</si>
  <si>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</si>
  <si>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</si>
  <si>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</si>
  <si>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</si>
  <si>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</si>
  <si>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</si>
  <si>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</si>
  <si>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</si>
  <si>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</si>
  <si>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</si>
  <si>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</si>
  <si>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</si>
  <si>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</si>
  <si>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</si>
  <si>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</si>
  <si>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</si>
  <si>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</si>
  <si>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</si>
  <si>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</si>
  <si>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</si>
  <si>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</si>
  <si>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</si>
  <si>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</si>
  <si>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</si>
  <si>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</si>
  <si>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</si>
  <si>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</si>
  <si>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</si>
  <si>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</si>
  <si>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</si>
  <si>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</si>
  <si>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</si>
  <si>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</si>
  <si>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</si>
  <si>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</si>
  <si>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</si>
  <si>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</si>
  <si>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</si>
  <si>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</si>
  <si>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</si>
  <si>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</si>
  <si>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</si>
  <si>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</si>
  <si>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</si>
  <si>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</si>
  <si>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</si>
  <si>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</si>
  <si>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</si>
  <si>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</si>
  <si>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</si>
  <si>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</si>
  <si>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</si>
  <si>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</si>
  <si>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</si>
  <si>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</si>
  <si>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</si>
  <si>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</si>
  <si>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</si>
  <si>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</si>
  <si>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</si>
  <si>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</si>
  <si>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</si>
  <si>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</si>
  <si>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</si>
  <si>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</si>
  <si>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</si>
  <si>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</si>
  <si>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</si>
  <si>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</si>
  <si>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</si>
  <si>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</si>
  <si>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</si>
  <si>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</si>
  <si>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</si>
  <si>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</si>
  <si>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</si>
  <si>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</si>
  <si>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</si>
  <si>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</si>
  <si>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</si>
  <si>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</si>
  <si>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</si>
  <si>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</si>
  <si>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</si>
  <si>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</si>
  <si>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</si>
  <si>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</si>
  <si>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</si>
  <si>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</si>
  <si>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</si>
  <si>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</si>
  <si>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</si>
  <si>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</si>
  <si>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</si>
  <si>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</si>
  <si>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</si>
  <si>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</si>
  <si>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</si>
  <si>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</si>
  <si>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</si>
  <si>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</si>
  <si>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</si>
  <si>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</si>
  <si>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</si>
  <si>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</si>
  <si>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</si>
  <si>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</si>
  <si>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</si>
  <si>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</si>
  <si>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</si>
  <si>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</si>
  <si>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</si>
  <si>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</si>
  <si>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</si>
  <si>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</si>
  <si>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</si>
  <si>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</si>
  <si>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</si>
  <si>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</si>
  <si>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</si>
  <si>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</si>
  <si>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</si>
  <si>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</si>
  <si>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</si>
  <si>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</si>
  <si>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</si>
  <si>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</si>
  <si>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</si>
  <si>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</si>
  <si>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</si>
  <si>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</si>
  <si>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</si>
  <si>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</si>
  <si>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</si>
  <si>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</si>
  <si>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</si>
  <si>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</si>
  <si>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</si>
  <si>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</si>
  <si>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</si>
  <si>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</si>
  <si>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</si>
  <si>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</si>
  <si>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</si>
  <si>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</si>
  <si>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</si>
  <si>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</si>
  <si>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</si>
  <si>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</si>
  <si>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</si>
  <si>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</si>
  <si>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</si>
  <si>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</si>
  <si>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</si>
  <si>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</si>
  <si>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</si>
  <si>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</si>
  <si>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</si>
  <si>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</si>
  <si>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</si>
  <si>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</si>
  <si>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</si>
  <si>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</si>
  <si>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</si>
  <si>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</si>
  <si>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</si>
  <si>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</si>
  <si>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</si>
  <si>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</si>
  <si>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</si>
  <si>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</si>
  <si>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</si>
  <si>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</si>
  <si>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</si>
  <si>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</si>
  <si>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</si>
  <si>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</si>
  <si>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</si>
  <si>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</si>
  <si>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</si>
  <si>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</si>
  <si>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</si>
  <si>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</si>
  <si>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</si>
  <si>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</si>
  <si>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</si>
  <si>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</si>
  <si>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</si>
  <si>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</si>
  <si>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</si>
  <si>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</si>
  <si>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</si>
  <si>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</si>
  <si>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</si>
  <si>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</si>
  <si>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</si>
  <si>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</si>
  <si>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</si>
  <si>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</si>
  <si>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</si>
  <si>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</si>
  <si>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</si>
  <si>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</si>
  <si>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</si>
  <si>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</si>
  <si>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</si>
  <si>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</si>
  <si>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</si>
  <si>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</si>
  <si>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</si>
  <si>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</si>
  <si>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</si>
  <si>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</si>
  <si>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</si>
  <si>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</si>
  <si>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</si>
  <si>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</si>
  <si>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</si>
  <si>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</si>
  <si>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</si>
  <si>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</si>
  <si>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</si>
  <si>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</si>
  <si>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</si>
  <si>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</si>
  <si>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</si>
  <si>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</si>
  <si>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</si>
  <si>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</si>
  <si>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</si>
  <si>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</si>
  <si>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</si>
  <si>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</si>
  <si>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</si>
  <si>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</si>
  <si>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</si>
  <si>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</si>
  <si>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</si>
  <si>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</si>
  <si>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</si>
  <si>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</si>
  <si>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</si>
  <si>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</si>
  <si>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</si>
  <si>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</si>
  <si>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</si>
  <si>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</si>
  <si>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</si>
  <si>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</si>
  <si>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</si>
  <si>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</si>
  <si>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</si>
  <si>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</si>
  <si>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</si>
  <si>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</si>
  <si>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</si>
  <si>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</si>
  <si>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</si>
  <si>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</si>
  <si>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</si>
  <si>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</si>
  <si>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</si>
  <si>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</si>
  <si>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</si>
  <si>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</si>
  <si>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</si>
  <si>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</si>
  <si>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</si>
  <si>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</si>
  <si>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</si>
  <si>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</si>
  <si>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</si>
  <si>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</si>
  <si>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</si>
  <si>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</si>
  <si>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</si>
  <si>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</si>
  <si>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</si>
  <si>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</si>
  <si>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</si>
  <si>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</si>
  <si>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</si>
  <si>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</si>
  <si>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</si>
  <si>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</si>
  <si>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</si>
  <si>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</si>
  <si>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</si>
  <si>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</si>
  <si>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</si>
  <si>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</si>
  <si>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</si>
  <si>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</si>
  <si>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</si>
  <si>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</si>
  <si>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</si>
  <si>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</si>
  <si>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</si>
  <si>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</si>
  <si>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</si>
  <si>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</si>
  <si>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</si>
  <si>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</si>
  <si>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</si>
  <si>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</si>
  <si>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</si>
  <si>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</si>
  <si>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</si>
  <si>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</si>
  <si>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</si>
  <si>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</si>
  <si>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</si>
  <si>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</si>
  <si>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</si>
  <si>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</si>
  <si>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</si>
  <si>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</si>
  <si>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</si>
  <si>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</si>
  <si>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</si>
  <si>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</si>
  <si>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</si>
  <si>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</si>
  <si>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</si>
  <si>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</si>
  <si>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</si>
  <si>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</si>
  <si>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</si>
  <si>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</si>
  <si>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</si>
  <si>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</si>
  <si>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</si>
  <si>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</si>
  <si>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</si>
  <si>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</si>
  <si>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</si>
  <si>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</si>
  <si>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</si>
  <si>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</si>
  <si>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</si>
  <si>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</si>
  <si>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</si>
  <si>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</si>
  <si>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</si>
  <si>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</si>
  <si>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</si>
  <si>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</si>
  <si>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</si>
  <si>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</si>
  <si>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</si>
  <si>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</si>
  <si>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</si>
  <si>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</si>
  <si>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</si>
  <si>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</si>
  <si>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</si>
  <si>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</si>
  <si>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</si>
  <si>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</si>
  <si>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</si>
  <si>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</si>
  <si>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</si>
  <si>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</si>
  <si>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</si>
  <si>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</si>
  <si>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</si>
  <si>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</si>
  <si>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</si>
  <si>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</si>
  <si>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</si>
  <si>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</si>
  <si>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</si>
  <si>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</si>
  <si>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</si>
  <si>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</si>
  <si>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</si>
  <si>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</si>
  <si>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</si>
  <si>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</si>
  <si>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</si>
  <si>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</si>
  <si>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</si>
  <si>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</si>
  <si>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</si>
  <si>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</si>
  <si>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</si>
  <si>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</si>
  <si>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</si>
  <si>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</si>
  <si>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</si>
  <si>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</si>
  <si>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</si>
  <si>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</si>
  <si>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</si>
  <si>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</si>
  <si>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</si>
  <si>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</si>
  <si>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</si>
  <si>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</si>
  <si>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</si>
  <si>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</si>
  <si>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</si>
  <si>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</si>
  <si>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</si>
  <si>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</si>
  <si>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</si>
  <si>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</si>
  <si>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</si>
  <si>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</si>
  <si>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</si>
  <si>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</si>
  <si>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</si>
  <si>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</si>
  <si>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</si>
  <si>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</si>
  <si>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</si>
  <si>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</si>
  <si>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</si>
  <si>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</si>
  <si>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</si>
  <si>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</si>
  <si>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</si>
  <si>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</si>
  <si>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</si>
  <si>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</si>
  <si>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</si>
  <si>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</si>
  <si>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</si>
  <si>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</si>
  <si>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</si>
  <si>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</si>
  <si>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</si>
  <si>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</si>
  <si>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</si>
  <si>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</si>
  <si>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</si>
  <si>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</si>
  <si>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</si>
  <si>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</si>
  <si>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</si>
  <si>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</si>
  <si>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</si>
  <si>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</si>
  <si>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</si>
  <si>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</si>
  <si>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</si>
  <si>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</si>
  <si>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</si>
  <si>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</si>
  <si>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</si>
  <si>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</si>
  <si>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</si>
  <si>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</si>
  <si>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</si>
  <si>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</si>
  <si>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</si>
  <si>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</si>
  <si>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</si>
  <si>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</si>
  <si>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</si>
  <si>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</si>
  <si>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</si>
  <si>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</si>
  <si>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</si>
  <si>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</si>
  <si>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</si>
  <si>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</si>
  <si>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</si>
  <si>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</si>
  <si>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</si>
  <si>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</si>
  <si>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</si>
  <si>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</si>
  <si>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</si>
  <si>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</si>
  <si>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</si>
  <si>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</si>
  <si>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</si>
  <si>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</si>
  <si>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</si>
  <si>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</si>
  <si>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</si>
  <si>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</si>
  <si>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</si>
  <si>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</si>
  <si>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</si>
  <si>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</si>
  <si>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</si>
  <si>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</si>
  <si>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</si>
  <si>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</si>
  <si>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</si>
  <si>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</si>
  <si>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</si>
  <si>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</si>
  <si>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</si>
  <si>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</si>
  <si>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</si>
  <si>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</si>
  <si>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</si>
  <si>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</si>
  <si>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</si>
  <si>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</si>
  <si>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</si>
  <si>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</si>
  <si>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</si>
  <si>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</si>
  <si>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</si>
  <si>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</si>
  <si>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</si>
  <si>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</si>
  <si>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</si>
  <si>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</si>
  <si>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</si>
  <si>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</si>
  <si>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</si>
  <si>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</si>
  <si>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</si>
  <si>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</si>
  <si>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</si>
  <si>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</si>
  <si>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</si>
  <si>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</si>
  <si>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</si>
  <si>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</si>
  <si>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</si>
  <si>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</si>
  <si>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</si>
  <si>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</si>
  <si>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</si>
  <si>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</si>
  <si>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</si>
  <si>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</si>
  <si>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</si>
  <si>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</si>
  <si>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</si>
  <si>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</si>
  <si>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</si>
  <si>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</si>
  <si>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</si>
  <si>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</si>
  <si>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</si>
  <si>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</si>
  <si>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</si>
  <si>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</si>
  <si>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</si>
  <si>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</si>
  <si>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</si>
  <si>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</si>
  <si>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</si>
  <si>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</si>
  <si>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</si>
  <si>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</si>
  <si>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</si>
  <si>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</si>
  <si>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</si>
  <si>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</si>
  <si>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</si>
  <si>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</si>
  <si>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</si>
  <si>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</si>
  <si>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</si>
  <si>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</si>
  <si>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</si>
  <si>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</si>
  <si>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</si>
  <si>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</si>
  <si>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</si>
  <si>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</si>
  <si>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</si>
  <si>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</si>
  <si>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</si>
  <si>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</si>
  <si>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</si>
  <si>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</si>
  <si>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</si>
  <si>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</si>
  <si>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</si>
  <si>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</si>
  <si>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</si>
  <si>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</si>
  <si>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</si>
  <si>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</si>
  <si>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</si>
  <si>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</si>
  <si>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</si>
  <si>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</si>
  <si>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</si>
  <si>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</si>
  <si>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</si>
  <si>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</si>
  <si>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</si>
  <si>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</si>
  <si>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</si>
  <si>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</si>
  <si>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</si>
  <si>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</si>
  <si>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</si>
  <si>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</si>
  <si>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</si>
  <si>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</si>
  <si>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</si>
  <si>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</si>
  <si>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</si>
  <si>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</si>
  <si>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</si>
  <si>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</si>
  <si>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</si>
  <si>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</si>
  <si>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</si>
  <si>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</si>
  <si>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</si>
  <si>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</si>
  <si>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</si>
  <si>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</si>
  <si>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</si>
  <si>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</si>
  <si>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</si>
  <si>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</si>
  <si>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</si>
  <si>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</si>
  <si>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</si>
  <si>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</si>
  <si>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</si>
  <si>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</si>
  <si>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</si>
  <si>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</si>
  <si>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</si>
  <si>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</si>
  <si>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</si>
  <si>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</si>
  <si>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</si>
  <si>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</si>
  <si>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</si>
  <si>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</si>
  <si>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</si>
  <si>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</si>
  <si>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</si>
  <si>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</si>
  <si>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</si>
  <si>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</si>
  <si>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</si>
  <si>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</si>
  <si>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</si>
  <si>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</si>
  <si>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</si>
  <si>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</si>
  <si>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</si>
  <si>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</si>
  <si>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</si>
  <si>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</si>
  <si>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</si>
  <si>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</si>
  <si>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</si>
  <si>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</si>
  <si>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</si>
  <si>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</si>
  <si>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</si>
  <si>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</si>
  <si>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</si>
  <si>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</si>
  <si>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</si>
  <si>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</si>
  <si>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</si>
  <si>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</si>
  <si>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</si>
  <si>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</si>
  <si>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</si>
  <si>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</si>
  <si>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</si>
  <si>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</si>
  <si>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</si>
  <si>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</si>
  <si>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</si>
  <si>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</si>
  <si>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</si>
  <si>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</si>
  <si>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</si>
  <si>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</si>
  <si>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</si>
  <si>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</si>
  <si>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</si>
  <si>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</si>
  <si>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</si>
  <si>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</si>
  <si>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</si>
  <si>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</si>
  <si>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</si>
  <si>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</si>
  <si>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</si>
  <si>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</si>
  <si>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</si>
  <si>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</si>
  <si>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</si>
  <si>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</si>
  <si>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</si>
  <si>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</si>
  <si>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</si>
  <si>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</si>
  <si>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</si>
  <si>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</si>
  <si>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</si>
  <si>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</si>
  <si>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</si>
  <si>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</si>
  <si>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</si>
  <si>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</si>
  <si>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</si>
  <si>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</si>
  <si>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</si>
  <si>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</si>
  <si>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</si>
  <si>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</si>
  <si>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</si>
  <si>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</si>
  <si>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</si>
  <si>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</si>
  <si>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</si>
  <si>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</si>
  <si>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</si>
  <si>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</si>
  <si>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</si>
  <si>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</si>
  <si>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</si>
  <si>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</si>
  <si>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</si>
  <si>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</si>
  <si>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</si>
  <si>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</si>
  <si>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</si>
  <si>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</si>
  <si>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</si>
  <si>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</si>
  <si>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</si>
  <si>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</si>
  <si>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</si>
  <si>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</si>
  <si>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</si>
  <si>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</si>
  <si>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</si>
  <si>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</si>
  <si>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</si>
  <si>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</si>
  <si>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</si>
  <si>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</si>
  <si>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</si>
  <si>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</si>
  <si>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</si>
  <si>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</si>
  <si>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</si>
  <si>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</si>
  <si>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</si>
  <si>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</si>
  <si>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</si>
  <si>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</si>
  <si>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</si>
  <si>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</si>
  <si>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</si>
  <si>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</si>
  <si>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</si>
  <si>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</si>
  <si>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</si>
  <si>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</si>
  <si>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</si>
  <si>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</si>
  <si>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</si>
  <si>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</si>
  <si>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</si>
  <si>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</si>
  <si>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</si>
  <si>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</si>
  <si>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</si>
  <si>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</si>
  <si>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</si>
  <si>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</si>
  <si>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</si>
  <si>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</si>
  <si>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</si>
  <si>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</si>
  <si>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</si>
  <si>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</si>
  <si>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</si>
  <si>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</si>
  <si>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</si>
  <si>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</si>
  <si>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</si>
  <si>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</si>
  <si>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</si>
  <si>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</si>
  <si>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</si>
  <si>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</si>
  <si>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</si>
  <si>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</si>
  <si>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</si>
  <si>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</si>
  <si>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</si>
  <si>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</si>
  <si>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</si>
  <si>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</si>
  <si>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</si>
  <si>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</si>
  <si>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</si>
  <si>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</si>
  <si>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</si>
  <si>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</si>
  <si>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</si>
  <si>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</si>
  <si>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</si>
  <si>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</si>
  <si>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</si>
  <si>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</si>
  <si>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</si>
  <si>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</si>
  <si>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</si>
  <si>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</si>
  <si>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</si>
  <si>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</si>
  <si>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</si>
  <si>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</si>
  <si>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</si>
  <si>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</si>
  <si>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</si>
  <si>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</si>
  <si>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</si>
  <si>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</si>
  <si>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</si>
  <si>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</si>
  <si>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</si>
  <si>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</si>
  <si>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</si>
  <si>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</si>
  <si>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</si>
  <si>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</si>
  <si>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</si>
  <si>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</si>
  <si>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</si>
  <si>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</si>
  <si>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</si>
  <si>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</si>
  <si>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</si>
  <si>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</si>
  <si>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</si>
  <si>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</si>
  <si>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</si>
  <si>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</si>
  <si>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</si>
  <si>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</si>
  <si>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</si>
  <si>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</si>
  <si>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</si>
  <si>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</si>
  <si>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</si>
  <si>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</si>
  <si>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</si>
  <si>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</si>
  <si>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</si>
  <si>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</si>
  <si>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</si>
  <si>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</si>
  <si>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</si>
  <si>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</si>
  <si>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</si>
  <si>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</si>
  <si>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</si>
  <si>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</si>
  <si>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</si>
  <si>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</si>
  <si>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</si>
  <si>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</si>
  <si>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</si>
  <si>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</si>
  <si>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</si>
  <si>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</si>
  <si>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</si>
  <si>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</si>
  <si>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</si>
  <si>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</si>
  <si>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</si>
  <si>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</si>
  <si>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</si>
  <si>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</si>
  <si>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</si>
  <si>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</si>
  <si>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</si>
  <si>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</si>
  <si>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</si>
  <si>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</si>
  <si>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</si>
  <si>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</si>
  <si>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</si>
  <si>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</si>
  <si>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</si>
  <si>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</si>
  <si>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</si>
  <si>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</si>
  <si>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</si>
  <si>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</si>
  <si>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</si>
  <si>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</si>
  <si>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</si>
  <si>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</si>
  <si>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</si>
  <si>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</si>
  <si>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</si>
  <si>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</si>
  <si>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</si>
  <si>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</si>
  <si>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</si>
  <si>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</si>
  <si>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</si>
  <si>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</si>
  <si>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</si>
  <si>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</si>
  <si>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</si>
  <si>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</si>
  <si>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</si>
  <si>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</si>
  <si>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</si>
  <si>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</si>
  <si>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</si>
  <si>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</si>
  <si>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</si>
  <si>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</si>
  <si>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</si>
  <si>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</si>
  <si>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</si>
  <si>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</si>
  <si>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</si>
  <si>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</si>
  <si>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</si>
  <si>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</si>
  <si>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</si>
  <si>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</si>
  <si>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</si>
  <si>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</si>
  <si>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</si>
  <si>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</si>
  <si>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</si>
  <si>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</si>
  <si>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</si>
  <si>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</si>
  <si>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</si>
  <si>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</si>
  <si>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</si>
  <si>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</si>
  <si>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</si>
  <si>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</si>
  <si>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</si>
  <si>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</si>
  <si>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</si>
  <si>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</si>
  <si>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</si>
  <si>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</si>
  <si>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</si>
  <si>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</si>
  <si>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</si>
  <si>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</si>
  <si>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</si>
  <si>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</si>
  <si>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</si>
  <si>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</si>
  <si>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</si>
  <si>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</si>
  <si>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</si>
  <si>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</si>
  <si>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</si>
  <si>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</si>
  <si>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</si>
  <si>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</si>
  <si>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</si>
  <si>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</si>
  <si>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</si>
  <si>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</si>
  <si>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</si>
  <si>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</si>
  <si>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</si>
  <si>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</si>
  <si>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</si>
  <si>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</si>
  <si>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</si>
  <si>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</si>
  <si>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</si>
  <si>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</si>
  <si>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</si>
  <si>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</si>
  <si>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</si>
  <si>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</si>
  <si>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</si>
  <si>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</si>
  <si>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</si>
  <si>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</si>
  <si>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</si>
  <si>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</si>
  <si>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</si>
  <si>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</si>
  <si>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</si>
  <si>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</si>
  <si>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</si>
  <si>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</si>
  <si>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</si>
  <si>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</si>
  <si>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</si>
  <si>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</si>
  <si>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</si>
  <si>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</si>
  <si>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</si>
  <si>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</si>
  <si>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</si>
  <si>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</si>
  <si>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</si>
  <si>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</si>
  <si>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</si>
  <si>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</si>
  <si>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</si>
  <si>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</si>
  <si>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</si>
  <si>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</si>
  <si>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</si>
  <si>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</si>
  <si>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</si>
  <si>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</si>
  <si>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</si>
  <si>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</si>
  <si>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</si>
  <si>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</si>
  <si>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</si>
  <si>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</si>
  <si>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</si>
  <si>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</si>
  <si>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</si>
  <si>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</si>
  <si>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</si>
  <si>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</si>
  <si>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</si>
  <si>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</si>
  <si>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</si>
  <si>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</si>
  <si>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</si>
  <si>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</si>
  <si>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</si>
  <si>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</si>
  <si>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</si>
  <si>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</si>
  <si>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</si>
  <si>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</si>
  <si>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</si>
  <si>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</si>
  <si>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</si>
  <si>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</si>
  <si>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</si>
  <si>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</si>
  <si>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</si>
  <si>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</si>
  <si>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</si>
  <si>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</si>
  <si>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</si>
  <si>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</si>
  <si>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</si>
  <si>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</si>
  <si>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</si>
  <si>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</si>
  <si>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</si>
  <si>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</si>
  <si>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</si>
  <si>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</si>
  <si>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</si>
  <si>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</si>
  <si>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</si>
  <si>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</si>
  <si>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</si>
  <si>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</si>
  <si>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</si>
  <si>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</si>
  <si>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</si>
  <si>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</si>
  <si>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</si>
  <si>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</si>
  <si>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</si>
  <si>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</si>
  <si>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</si>
  <si>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</si>
  <si>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</si>
  <si>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</si>
  <si>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</si>
  <si>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</si>
  <si>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</si>
  <si>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</si>
  <si>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</si>
  <si>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</si>
  <si>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</si>
  <si>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</si>
  <si>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</si>
  <si>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</si>
  <si>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</si>
  <si>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</si>
  <si>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</si>
  <si>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</si>
  <si>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</si>
  <si>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</si>
  <si>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</si>
  <si>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</si>
  <si>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</si>
  <si>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</si>
  <si>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</si>
  <si>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</si>
  <si>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</si>
  <si>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</si>
  <si>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</si>
  <si>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</si>
  <si>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</si>
  <si>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</si>
  <si>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</si>
  <si>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</si>
  <si>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</si>
  <si>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</si>
  <si>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</si>
  <si>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</si>
  <si>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</si>
  <si>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</si>
  <si>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</si>
  <si>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</si>
  <si>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</si>
  <si>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</si>
  <si>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</si>
  <si>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</si>
  <si>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</si>
  <si>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</si>
  <si>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</si>
  <si>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</si>
  <si>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</si>
  <si>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</si>
  <si>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</si>
  <si>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</si>
  <si>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</si>
  <si>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</si>
  <si>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</si>
  <si>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</si>
  <si>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</si>
  <si>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</si>
  <si>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</si>
  <si>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</si>
  <si>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</si>
  <si>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</si>
  <si>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</si>
  <si>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</si>
  <si>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</si>
  <si>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</si>
  <si>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</si>
  <si>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</si>
  <si>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</si>
  <si>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</si>
  <si>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</si>
  <si>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</si>
  <si>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</si>
  <si>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</si>
  <si>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</si>
  <si>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</si>
  <si>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</si>
  <si>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</si>
  <si>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</si>
  <si>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</si>
  <si>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</si>
  <si>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</si>
  <si>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</si>
  <si>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</si>
  <si>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</si>
  <si>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</si>
  <si>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</si>
  <si>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</si>
  <si>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</si>
  <si>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</si>
  <si>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</si>
  <si>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</si>
  <si>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</si>
  <si>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</si>
  <si>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</si>
  <si>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</si>
  <si>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</si>
  <si>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</si>
  <si>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</si>
  <si>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</si>
  <si>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</si>
  <si>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</si>
  <si>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</si>
  <si>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</si>
  <si>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</si>
  <si>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</si>
  <si>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</si>
  <si>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</si>
  <si>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</si>
  <si>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</si>
  <si>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</si>
  <si>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</si>
  <si>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</si>
  <si>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</si>
  <si>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</si>
  <si>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</si>
  <si>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</si>
  <si>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</si>
  <si>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</si>
  <si>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</si>
  <si>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</si>
  <si>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</si>
  <si>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</si>
  <si>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</si>
  <si>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</si>
  <si>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</si>
  <si>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</si>
  <si>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</si>
  <si>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</si>
  <si>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</si>
  <si>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</si>
  <si>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</si>
  <si>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</si>
  <si>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</si>
  <si>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</si>
  <si>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</si>
  <si>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</si>
  <si>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</si>
  <si>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</si>
  <si>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</si>
  <si>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</si>
  <si>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</si>
  <si>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</si>
  <si>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</si>
  <si>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</si>
  <si>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</si>
  <si>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</si>
  <si>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</si>
  <si>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</si>
  <si>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</si>
  <si>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</si>
  <si>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</si>
  <si>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</si>
  <si>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</si>
  <si>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</si>
  <si>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</si>
  <si>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</si>
  <si>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</si>
  <si>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</si>
  <si>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</si>
  <si>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</si>
  <si>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</si>
  <si>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</si>
  <si>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</si>
  <si>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</si>
  <si>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</si>
  <si>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</si>
  <si>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</si>
  <si>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</si>
  <si>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</si>
  <si>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</si>
  <si>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</si>
  <si>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</si>
  <si>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</si>
  <si>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</si>
  <si>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</si>
  <si>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</si>
  <si>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</si>
  <si>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</si>
  <si>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</si>
  <si>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</si>
  <si>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</si>
  <si>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</si>
  <si>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</si>
  <si>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</si>
  <si>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</si>
  <si>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</si>
  <si>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</si>
  <si>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</si>
  <si>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</si>
  <si>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</si>
  <si>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</si>
  <si>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</si>
  <si>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</si>
  <si>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</si>
  <si>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</si>
  <si>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</si>
  <si>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</si>
  <si>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</si>
  <si>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</si>
  <si>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</si>
  <si>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</si>
  <si>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</si>
  <si>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</si>
  <si>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</si>
  <si>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</si>
  <si>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</si>
  <si>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</si>
  <si>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</si>
  <si>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</si>
  <si>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</si>
  <si>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</si>
  <si>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</si>
  <si>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</si>
  <si>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</si>
  <si>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</si>
  <si>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</si>
  <si>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</si>
  <si>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</si>
  <si>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</si>
  <si>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</si>
  <si>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</si>
  <si>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</si>
  <si>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</si>
  <si>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</si>
  <si>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</si>
  <si>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</si>
  <si>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</si>
  <si>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</si>
  <si>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</si>
  <si>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</si>
  <si>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</si>
  <si>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</si>
  <si>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</si>
  <si>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</si>
  <si>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</si>
  <si>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</si>
  <si>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</si>
  <si>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</si>
  <si>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</si>
  <si>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</si>
  <si>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</si>
  <si>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</si>
  <si>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</si>
  <si>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</si>
  <si>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</si>
  <si>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</si>
  <si>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</si>
  <si>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</si>
  <si>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</si>
  <si>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</si>
  <si>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</si>
  <si>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</si>
  <si>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</si>
  <si>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</si>
  <si>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</si>
  <si>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</si>
  <si>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</si>
  <si>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</si>
  <si>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</si>
  <si>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</si>
  <si>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</si>
  <si>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</si>
  <si>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</si>
  <si>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</si>
  <si>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</si>
  <si>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</si>
  <si>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</si>
  <si>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</si>
  <si>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</si>
  <si>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</si>
  <si>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</si>
  <si>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</si>
  <si>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</si>
  <si>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</si>
  <si>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</si>
  <si>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</si>
  <si>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</si>
  <si>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</si>
  <si>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</si>
  <si>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</si>
  <si>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</si>
  <si>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</si>
  <si>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</si>
  <si>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</si>
  <si>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</si>
  <si>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</si>
  <si>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</si>
  <si>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</si>
  <si>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</si>
  <si>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</si>
  <si>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</si>
  <si>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</si>
  <si>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</si>
  <si>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</si>
  <si>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</si>
  <si>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</si>
  <si>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</si>
  <si>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</si>
  <si>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</si>
  <si>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</si>
  <si>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</si>
  <si>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</si>
  <si>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</si>
  <si>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</si>
  <si>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</si>
  <si>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</si>
  <si>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</si>
  <si>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</si>
  <si>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</si>
  <si>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</si>
  <si>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</si>
  <si>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</si>
  <si>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</si>
  <si>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</si>
  <si>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</si>
  <si>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</si>
  <si>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</si>
  <si>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</si>
  <si>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</si>
  <si>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</si>
  <si>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</si>
  <si>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</si>
  <si>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</si>
  <si>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</si>
  <si>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</si>
  <si>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</si>
  <si>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</si>
  <si>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</si>
  <si>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</si>
  <si>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</si>
  <si>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</si>
  <si>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</si>
  <si>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</si>
  <si>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</si>
  <si>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</si>
  <si>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</si>
  <si>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</si>
  <si>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</si>
  <si>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</si>
  <si>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</si>
  <si>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</si>
  <si>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</si>
  <si>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</si>
  <si>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</si>
  <si>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</si>
  <si>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</si>
  <si>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</si>
  <si>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</si>
  <si>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</si>
  <si>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</si>
  <si>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</si>
  <si>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</si>
  <si>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</si>
  <si>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</si>
  <si>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</si>
  <si>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</si>
  <si>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</si>
  <si>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</si>
  <si>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</si>
  <si>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</si>
  <si>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</si>
  <si>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</si>
  <si>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</si>
  <si>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</si>
  <si>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</si>
  <si>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</si>
  <si>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</si>
  <si>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</si>
  <si>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</si>
  <si>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</si>
  <si>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</si>
  <si>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</si>
  <si>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</si>
  <si>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</si>
  <si>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</si>
  <si>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</si>
  <si>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</si>
  <si>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</si>
  <si>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</si>
  <si>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</si>
  <si>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</si>
  <si>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</si>
  <si>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</si>
  <si>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</si>
  <si>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</si>
  <si>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</si>
  <si>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</si>
  <si>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</si>
  <si>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</si>
  <si>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</si>
  <si>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</si>
  <si>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</si>
  <si>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</si>
  <si>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</si>
  <si>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</si>
  <si>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</si>
  <si>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</si>
  <si>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</si>
  <si>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</si>
  <si>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</si>
  <si>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</si>
  <si>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</si>
  <si>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</si>
  <si>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</si>
  <si>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</si>
  <si>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</si>
  <si>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</si>
  <si>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</si>
  <si>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</si>
  <si>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</si>
  <si>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</si>
  <si>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</si>
  <si>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</si>
  <si>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</si>
  <si>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</si>
  <si>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</si>
  <si>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</si>
  <si>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</si>
  <si>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</si>
  <si>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</si>
  <si>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</si>
  <si>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</si>
  <si>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</si>
  <si>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</si>
  <si>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</si>
  <si>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</si>
  <si>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</si>
  <si>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</si>
  <si>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</si>
  <si>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</si>
  <si>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</si>
  <si>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</si>
  <si>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</si>
  <si>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</si>
  <si>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</si>
  <si>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</si>
  <si>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</si>
  <si>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</si>
  <si>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</si>
  <si>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</si>
  <si>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</si>
  <si>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</si>
  <si>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</si>
  <si>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</si>
  <si>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</si>
  <si>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</si>
  <si>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</si>
  <si>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</si>
  <si>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</si>
  <si>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</si>
  <si>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</si>
  <si>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</si>
  <si>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</si>
  <si>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</si>
  <si>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</si>
  <si>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</si>
  <si>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</si>
  <si>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</si>
  <si>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</si>
  <si>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</si>
  <si>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</si>
  <si>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</si>
  <si>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</si>
  <si>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</si>
  <si>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</si>
  <si>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</si>
  <si>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</si>
  <si>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</si>
  <si>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</si>
  <si>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</si>
  <si>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</si>
  <si>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</si>
  <si>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</si>
  <si>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</si>
  <si>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</si>
  <si>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</si>
  <si>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</si>
  <si>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</si>
  <si>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</si>
  <si>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</si>
  <si>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</si>
  <si>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</si>
  <si>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</si>
  <si>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</si>
  <si>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</si>
  <si>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</si>
  <si>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</si>
  <si>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</si>
  <si>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</si>
  <si>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</si>
  <si>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</si>
  <si>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</si>
  <si>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</si>
  <si>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</si>
  <si>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</si>
  <si>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</si>
  <si>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</si>
  <si>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</si>
  <si>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</si>
  <si>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</si>
  <si>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</si>
  <si>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</si>
  <si>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</si>
  <si>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</si>
  <si>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</si>
  <si>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</si>
  <si>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</si>
  <si>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</si>
  <si>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</si>
  <si>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</si>
  <si>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</si>
  <si>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</si>
  <si>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</si>
  <si>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</si>
  <si>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</si>
  <si>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</si>
  <si>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</si>
  <si>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</si>
  <si>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</si>
  <si>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</si>
  <si>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</si>
  <si>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</si>
  <si>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</si>
  <si>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</si>
  <si>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</si>
  <si>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</si>
  <si>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</si>
  <si>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</si>
  <si>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</si>
  <si>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</si>
  <si>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</si>
  <si>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</si>
  <si>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</si>
  <si>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</si>
  <si>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</si>
  <si>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</si>
  <si>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</si>
  <si>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</si>
  <si>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</si>
  <si>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</si>
  <si>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</si>
  <si>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</si>
  <si>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</si>
  <si>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</si>
  <si>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</si>
  <si>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</si>
  <si>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</si>
  <si>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</si>
  <si>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</si>
  <si>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</si>
  <si>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</si>
  <si>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</si>
  <si>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</si>
  <si>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</si>
  <si>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</si>
  <si>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</si>
  <si>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</si>
  <si>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</si>
  <si>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</si>
  <si>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</si>
  <si>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</si>
  <si>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</si>
  <si>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</si>
  <si>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</si>
  <si>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</si>
  <si>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</si>
  <si>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</si>
  <si>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</si>
  <si>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</si>
  <si>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</si>
  <si>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</si>
  <si>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</si>
  <si>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</si>
  <si>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</si>
  <si>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</si>
  <si>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</si>
  <si>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</si>
  <si>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</si>
  <si>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</si>
  <si>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</si>
  <si>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</si>
  <si>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</si>
  <si>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</si>
  <si>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</si>
  <si>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</si>
  <si>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</si>
  <si>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</si>
  <si>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</si>
  <si>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</si>
  <si>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</si>
  <si>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</si>
  <si>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</si>
  <si>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</si>
  <si>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</si>
  <si>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</si>
  <si>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</si>
  <si>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</si>
  <si>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</si>
  <si>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</si>
  <si>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</si>
  <si>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</si>
  <si>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</si>
  <si>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</si>
  <si>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</si>
  <si>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</si>
  <si>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</si>
  <si>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</si>
  <si>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</si>
  <si>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</si>
  <si>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</si>
  <si>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</si>
  <si>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</si>
  <si>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</si>
  <si>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</si>
  <si>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</si>
  <si>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</si>
  <si>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</si>
  <si>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</si>
  <si>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</si>
  <si>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</si>
  <si>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</si>
  <si>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</si>
  <si>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</si>
  <si>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</si>
  <si>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</si>
  <si>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</si>
  <si>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</si>
  <si>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</si>
  <si>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</si>
  <si>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</si>
  <si>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</si>
  <si>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</si>
  <si>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</si>
  <si>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</si>
  <si>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</si>
  <si>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</si>
  <si>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</si>
  <si>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</si>
  <si>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</si>
  <si>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</si>
  <si>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</si>
  <si>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</si>
  <si>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</si>
  <si>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</si>
  <si>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</si>
  <si>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</si>
  <si>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</si>
  <si>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</si>
  <si>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</si>
  <si>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</si>
  <si>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</si>
  <si>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</si>
  <si>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</si>
  <si>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</si>
  <si>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</si>
  <si>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</si>
  <si>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</si>
  <si>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</si>
  <si>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</si>
  <si>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</si>
  <si>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</si>
  <si>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</si>
  <si>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</si>
  <si>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</si>
  <si>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</si>
  <si>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</si>
  <si>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</si>
  <si>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</si>
  <si>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</si>
  <si>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</si>
  <si>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</si>
  <si>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</si>
  <si>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</si>
  <si>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</si>
  <si>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</si>
  <si>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</si>
  <si>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</si>
  <si>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</si>
  <si>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</si>
  <si>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</si>
  <si>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</si>
  <si>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</si>
  <si>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</si>
  <si>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</si>
  <si>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</si>
  <si>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</si>
  <si>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</si>
  <si>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</si>
  <si>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</si>
  <si>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</si>
  <si>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</si>
  <si>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</si>
  <si>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</si>
  <si>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</si>
  <si>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</si>
  <si>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</si>
  <si>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</si>
  <si>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</si>
  <si>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</si>
  <si>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</si>
  <si>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</si>
  <si>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</si>
  <si>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</si>
  <si>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</si>
  <si>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</si>
  <si>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</si>
  <si>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</si>
  <si>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</si>
  <si>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</si>
  <si>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</si>
  <si>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</si>
  <si>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</si>
  <si>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</si>
  <si>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</si>
  <si>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</si>
  <si>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</si>
  <si>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</si>
  <si>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</si>
  <si>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</si>
  <si>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</si>
  <si>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</si>
  <si>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</si>
  <si>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</si>
  <si>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</si>
  <si>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</si>
  <si>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</si>
  <si>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</si>
  <si>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</si>
  <si>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</si>
  <si>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</si>
  <si>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</si>
  <si>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</si>
  <si>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</si>
  <si>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</si>
  <si>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</si>
  <si>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</si>
  <si>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</si>
  <si>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</si>
  <si>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</si>
  <si>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</si>
  <si>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</si>
  <si>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</si>
  <si>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</si>
  <si>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</si>
  <si>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</si>
  <si>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</si>
  <si>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</si>
  <si>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</si>
  <si>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</si>
  <si>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</si>
  <si>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</si>
  <si>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</si>
  <si>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</si>
  <si>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</si>
  <si>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</si>
  <si>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</si>
  <si>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</si>
  <si>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</si>
  <si>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</si>
  <si>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</si>
  <si>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</si>
  <si>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</si>
  <si>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</si>
  <si>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</si>
  <si>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</si>
  <si>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</si>
  <si>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</si>
  <si>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</si>
  <si>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</si>
  <si>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</si>
  <si>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</si>
  <si>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</si>
  <si>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</si>
  <si>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</si>
  <si>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</si>
  <si>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</si>
  <si>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</si>
  <si>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</si>
  <si>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</si>
  <si>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</si>
  <si>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</si>
  <si>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</si>
  <si>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</si>
  <si>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</si>
  <si>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</si>
  <si>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</si>
  <si>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</si>
  <si>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</si>
  <si>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</si>
  <si>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</si>
  <si>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</si>
  <si>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</si>
  <si>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</si>
  <si>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</si>
  <si>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</si>
  <si>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</si>
  <si>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</si>
  <si>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</si>
  <si>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</si>
  <si>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</si>
  <si>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</si>
  <si>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</si>
  <si>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</si>
  <si>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</si>
  <si>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</si>
  <si>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</si>
  <si>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</si>
  <si>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</si>
  <si>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</si>
  <si>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</si>
  <si>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</si>
  <si>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</si>
  <si>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</si>
  <si>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</si>
  <si>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</si>
  <si>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</si>
  <si>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</si>
  <si>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</si>
  <si>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</si>
  <si>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</si>
  <si>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</si>
  <si>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</si>
  <si>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</si>
  <si>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</si>
  <si>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</si>
  <si>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</si>
  <si>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</si>
  <si>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</si>
  <si>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</si>
  <si>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</si>
  <si>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</si>
  <si>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</si>
  <si>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</si>
  <si>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</si>
  <si>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</si>
  <si>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</si>
  <si>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</si>
  <si>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</si>
  <si>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</si>
  <si>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</si>
  <si>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</si>
  <si>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</si>
  <si>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</si>
  <si>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</si>
  <si>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</si>
  <si>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</si>
  <si>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</si>
  <si>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</si>
  <si>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</si>
  <si>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</si>
  <si>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</si>
  <si>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</si>
  <si>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</si>
  <si>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</si>
  <si>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</si>
  <si>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</si>
  <si>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</si>
  <si>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</si>
  <si>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</si>
  <si>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</si>
  <si>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</si>
  <si>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</si>
  <si>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</si>
  <si>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</si>
  <si>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</si>
  <si>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</si>
  <si>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</si>
  <si>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</si>
  <si>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</si>
  <si>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</si>
  <si>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</si>
  <si>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</si>
  <si>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</si>
  <si>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</si>
  <si>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</si>
  <si>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</si>
  <si>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</si>
  <si>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</si>
  <si>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</si>
  <si>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</si>
  <si>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</si>
  <si>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</si>
  <si>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</si>
  <si>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</si>
  <si>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</si>
  <si>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</si>
  <si>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</si>
  <si>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</si>
  <si>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</si>
  <si>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</si>
  <si>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</si>
  <si>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</si>
  <si>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</si>
  <si>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</si>
  <si>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</si>
  <si>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</si>
  <si>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</si>
  <si>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</si>
  <si>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</si>
  <si>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</si>
  <si>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</si>
  <si>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</si>
  <si>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</si>
  <si>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</si>
  <si>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</si>
  <si>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</si>
  <si>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</si>
  <si>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</si>
  <si>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</si>
  <si>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</si>
  <si>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</si>
  <si>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</si>
  <si>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</si>
  <si>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</si>
  <si>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</si>
  <si>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</si>
  <si>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</si>
  <si>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</si>
  <si>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</si>
  <si>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</si>
  <si>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</si>
  <si>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</si>
  <si>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</si>
  <si>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</si>
  <si>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</si>
  <si>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</si>
  <si>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</si>
  <si>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</si>
  <si>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</si>
  <si>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</si>
  <si>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</si>
  <si>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</si>
  <si>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</si>
  <si>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</si>
  <si>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</si>
  <si>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</si>
  <si>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</si>
  <si>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</si>
  <si>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</si>
  <si>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</si>
  <si>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</si>
  <si>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</si>
  <si>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</si>
  <si>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</si>
  <si>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</si>
  <si>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</si>
  <si>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</si>
  <si>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</si>
  <si>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</si>
  <si>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</si>
  <si>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</si>
  <si>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</si>
  <si>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</si>
  <si>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</si>
  <si>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</si>
  <si>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</si>
  <si>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</si>
  <si>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</si>
  <si>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</si>
  <si>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</si>
  <si>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</si>
  <si>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</si>
  <si>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</si>
  <si>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</si>
  <si>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</si>
  <si>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</si>
  <si>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</si>
  <si>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</si>
  <si>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</si>
  <si>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</si>
  <si>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</si>
  <si>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</si>
  <si>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</si>
  <si>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</si>
  <si>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</si>
  <si>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</si>
  <si>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</si>
  <si>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</si>
  <si>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</si>
  <si>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</si>
  <si>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</si>
  <si>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</si>
  <si>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</si>
  <si>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</si>
  <si>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</si>
  <si>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</si>
  <si>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</si>
  <si>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</si>
  <si>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</si>
  <si>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</si>
  <si>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</si>
  <si>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</si>
  <si>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</si>
  <si>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</si>
  <si>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</si>
  <si>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</si>
  <si>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</si>
  <si>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</si>
  <si>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</si>
  <si>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</si>
  <si>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</si>
  <si>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</si>
  <si>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</si>
  <si>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</si>
  <si>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</si>
  <si>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</si>
  <si>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</si>
  <si>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</si>
  <si>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</si>
  <si>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</si>
  <si>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</si>
  <si>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</si>
  <si>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</si>
  <si>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</si>
  <si>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</si>
  <si>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</si>
  <si>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</si>
  <si>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</si>
  <si>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</si>
  <si>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</si>
  <si>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</si>
  <si>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</si>
  <si>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</si>
  <si>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</si>
  <si>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</si>
  <si>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</si>
  <si>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</si>
  <si>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</si>
  <si>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</si>
  <si>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</si>
  <si>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</si>
  <si>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</si>
  <si>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</si>
  <si>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</si>
  <si>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</si>
  <si>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</si>
  <si>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</si>
  <si>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</si>
  <si>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</si>
  <si>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</si>
  <si>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</si>
  <si>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</si>
  <si>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</si>
  <si>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</si>
  <si>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</si>
  <si>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</si>
  <si>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</si>
  <si>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</si>
  <si>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</si>
  <si>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</si>
  <si>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</si>
  <si>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</si>
  <si>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</si>
  <si>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</si>
  <si>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</si>
  <si>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</si>
  <si>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</si>
  <si>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</si>
  <si>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</si>
  <si>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</si>
  <si>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</si>
  <si>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</si>
  <si>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</si>
  <si>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</si>
  <si>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</si>
  <si>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</si>
  <si>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</si>
  <si>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</si>
  <si>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</si>
  <si>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</si>
  <si>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</si>
  <si>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</si>
  <si>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</si>
  <si>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</si>
  <si>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</si>
  <si>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</si>
  <si>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</si>
  <si>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</si>
  <si>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</si>
  <si>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</si>
  <si>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</si>
  <si>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</si>
  <si>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</si>
  <si>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</si>
  <si>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</si>
  <si>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</si>
  <si>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</si>
  <si>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</si>
  <si>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</si>
  <si>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</si>
  <si>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</si>
  <si>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</si>
  <si>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</si>
  <si>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</si>
  <si>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</si>
  <si>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</si>
  <si>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</si>
  <si>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</si>
  <si>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</si>
  <si>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</si>
  <si>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</si>
  <si>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</si>
  <si>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</si>
  <si>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</si>
  <si>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</si>
  <si>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</si>
  <si>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</si>
  <si>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</si>
  <si>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</si>
  <si>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</si>
  <si>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</si>
  <si>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</si>
  <si>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</si>
  <si>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</si>
  <si>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</si>
  <si>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</si>
  <si>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</si>
  <si>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</si>
  <si>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</si>
  <si>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</si>
  <si>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</si>
  <si>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</si>
  <si>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</si>
  <si>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</si>
  <si>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</si>
  <si>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</si>
  <si>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</si>
  <si>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</si>
  <si>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</si>
  <si>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</si>
  <si>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</si>
  <si>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</si>
  <si>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</si>
  <si>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</si>
  <si>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</si>
  <si>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</si>
  <si>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</si>
  <si>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</si>
  <si>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</si>
  <si>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</si>
  <si>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</si>
  <si>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</si>
  <si>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</si>
  <si>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</si>
  <si>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</si>
  <si>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</si>
  <si>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</si>
  <si>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</si>
  <si>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</si>
  <si>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</si>
  <si>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</si>
  <si>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</si>
  <si>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</si>
  <si>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</si>
  <si>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</si>
  <si>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</si>
  <si>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</si>
  <si>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</si>
  <si>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</si>
  <si>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</si>
  <si>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</si>
  <si>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</si>
  <si>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</si>
  <si>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</si>
  <si>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</si>
  <si>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</si>
  <si>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</si>
  <si>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</si>
  <si>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</si>
  <si>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</si>
  <si>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</si>
  <si>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</si>
  <si>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</si>
  <si>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</si>
  <si>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</si>
  <si>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</si>
  <si>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</si>
  <si>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</si>
  <si>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</si>
  <si>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</si>
  <si>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</si>
  <si>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</si>
  <si>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</si>
  <si>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</si>
  <si>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</si>
  <si>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</si>
  <si>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</si>
  <si>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</si>
  <si>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</si>
  <si>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</si>
  <si>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</si>
  <si>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</si>
  <si>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</si>
  <si>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</si>
  <si>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</si>
  <si>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</si>
  <si>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</si>
  <si>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</si>
  <si>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</si>
  <si>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</si>
  <si>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</si>
  <si>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</si>
  <si>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</si>
  <si>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</si>
  <si>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</si>
  <si>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</si>
  <si>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</si>
  <si>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</si>
  <si>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</si>
  <si>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</si>
  <si>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</si>
  <si>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</si>
  <si>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</si>
  <si>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</si>
  <si>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</si>
  <si>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</si>
  <si>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</si>
  <si>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</si>
  <si>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</si>
  <si>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</si>
  <si>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</si>
  <si>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</si>
  <si>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</si>
  <si>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</si>
  <si>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</si>
  <si>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</si>
  <si>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</si>
  <si>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</si>
  <si>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</si>
  <si>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</si>
  <si>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</si>
  <si>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</si>
  <si>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</si>
  <si>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</si>
  <si>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</si>
  <si>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</si>
  <si>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</si>
  <si>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</si>
  <si>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</si>
  <si>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</si>
  <si>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</si>
  <si>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</si>
  <si>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</si>
  <si>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</si>
  <si>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</si>
  <si>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</si>
  <si>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</si>
  <si>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</si>
  <si>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</si>
  <si>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</si>
  <si>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</si>
  <si>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</si>
  <si>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</si>
  <si>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</si>
  <si>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</si>
  <si>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</si>
  <si>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</si>
  <si>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</si>
  <si>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</si>
  <si>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</si>
  <si>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</si>
  <si>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</si>
  <si>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</si>
  <si>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</si>
  <si>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</si>
  <si>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</si>
  <si>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</si>
  <si>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</si>
  <si>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</si>
  <si>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</si>
  <si>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</si>
  <si>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</si>
  <si>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</si>
  <si>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</si>
  <si>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</si>
  <si>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</si>
  <si>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</si>
  <si>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</si>
  <si>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</si>
  <si>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</si>
  <si>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</si>
  <si>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</si>
  <si>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</si>
  <si>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</si>
  <si>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</si>
  <si>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</si>
  <si>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</si>
  <si>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</si>
  <si>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</si>
  <si>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</si>
  <si>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</si>
  <si>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</si>
  <si>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</si>
  <si>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</si>
  <si>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</si>
  <si>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</si>
  <si>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</si>
  <si>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</si>
  <si>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</si>
  <si>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</si>
  <si>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</si>
  <si>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</si>
  <si>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</si>
  <si>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</si>
  <si>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</si>
  <si>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</si>
  <si>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</si>
  <si>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</si>
  <si>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</si>
  <si>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</si>
  <si>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</si>
  <si>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</si>
  <si>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</si>
  <si>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</si>
  <si>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</si>
  <si>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</si>
  <si>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</si>
  <si>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</si>
  <si>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</si>
  <si>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</si>
  <si>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</si>
  <si>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</si>
  <si>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</si>
  <si>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</si>
  <si>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</si>
  <si>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</si>
  <si>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</si>
  <si>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</si>
  <si>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</si>
  <si>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</si>
  <si>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</si>
  <si>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</si>
  <si>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</si>
  <si>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</si>
  <si>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</si>
  <si>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</si>
  <si>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</si>
  <si>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</si>
  <si>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</si>
  <si>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</si>
  <si>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</si>
  <si>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</si>
  <si>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</si>
  <si>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</si>
  <si>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</si>
  <si>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</si>
  <si>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</si>
  <si>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</si>
  <si>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</si>
  <si>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</si>
  <si>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</si>
  <si>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</si>
  <si>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</si>
  <si>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</si>
  <si>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</si>
  <si>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</si>
  <si>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</si>
  <si>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</si>
  <si>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</si>
  <si>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</si>
  <si>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</si>
  <si>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</si>
  <si>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</si>
  <si>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</si>
  <si>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</si>
  <si>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</si>
  <si>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</si>
  <si>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</si>
  <si>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</si>
  <si>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</si>
  <si>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</si>
  <si>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</si>
  <si>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</si>
  <si>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</si>
  <si>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</si>
  <si>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</si>
  <si>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</si>
  <si>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</si>
  <si>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</si>
  <si>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</si>
  <si>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</si>
  <si>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</si>
  <si>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</si>
  <si>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</si>
  <si>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</si>
  <si>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</si>
  <si>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</si>
  <si>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</si>
  <si>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</si>
  <si>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</si>
  <si>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</si>
  <si>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</si>
  <si>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</si>
  <si>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</si>
  <si>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</si>
  <si>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</si>
  <si>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</si>
  <si>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</si>
  <si>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</si>
  <si>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</si>
  <si>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</si>
  <si>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</si>
  <si>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</si>
  <si>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</si>
  <si>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</si>
  <si>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</si>
  <si>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</si>
  <si>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</si>
  <si>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</si>
  <si>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</si>
  <si>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</si>
  <si>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</si>
  <si>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</si>
  <si>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</si>
  <si>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</si>
  <si>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</si>
  <si>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</si>
  <si>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</si>
  <si>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</si>
  <si>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</si>
  <si>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</si>
  <si>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</si>
  <si>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</si>
  <si>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</si>
  <si>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</si>
  <si>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</si>
  <si>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</si>
  <si>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</si>
  <si>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</si>
  <si>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</si>
  <si>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</si>
  <si>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</si>
  <si>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</si>
  <si>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</si>
  <si>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</si>
  <si>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</si>
  <si>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</si>
  <si>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</si>
  <si>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</si>
  <si>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</si>
  <si>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</si>
  <si>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</si>
  <si>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</si>
  <si>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</si>
  <si>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</si>
  <si>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</si>
  <si>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</si>
  <si>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</si>
  <si>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</si>
  <si>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</si>
  <si>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</si>
  <si>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</si>
  <si>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</si>
  <si>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</si>
  <si>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</si>
  <si>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</si>
  <si>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</si>
  <si>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</si>
  <si>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</si>
  <si>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</si>
  <si>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</si>
  <si>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</si>
  <si>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</si>
  <si>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</si>
  <si>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</si>
  <si>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</si>
  <si>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</si>
  <si>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</si>
  <si>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</si>
  <si>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</si>
  <si>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</si>
  <si>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</si>
  <si>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</si>
  <si>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</si>
  <si>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</si>
  <si>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</si>
  <si>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</si>
  <si>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</si>
  <si>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</si>
  <si>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</si>
  <si>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</si>
  <si>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</si>
  <si>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</si>
  <si>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</si>
  <si>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</si>
  <si>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</si>
  <si>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</si>
  <si>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</si>
  <si>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</si>
  <si>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</si>
  <si>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</si>
  <si>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</si>
  <si>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</si>
  <si>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</si>
  <si>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</si>
  <si>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</si>
  <si>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</si>
  <si>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</si>
  <si>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</si>
  <si>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</si>
  <si>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</si>
  <si>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</si>
  <si>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</si>
  <si>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</si>
  <si>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</si>
  <si>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</si>
  <si>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</si>
  <si>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</si>
  <si>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</si>
  <si>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</si>
  <si>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</si>
  <si>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</si>
  <si>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</si>
  <si>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</si>
  <si>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</si>
  <si>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</si>
  <si>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</si>
  <si>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</si>
  <si>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</si>
  <si>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</si>
  <si>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</si>
  <si>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</si>
  <si>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</si>
  <si>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</si>
  <si>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</si>
  <si>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</si>
  <si>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</si>
  <si>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</si>
  <si>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</si>
  <si>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</si>
  <si>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</si>
  <si>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</si>
  <si>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</si>
  <si>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</si>
  <si>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</si>
  <si>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</si>
  <si>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</si>
  <si>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</si>
  <si>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</si>
  <si>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</si>
  <si>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</si>
  <si>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</si>
  <si>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</si>
  <si>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</si>
  <si>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</si>
  <si>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</si>
  <si>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</si>
  <si>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</si>
  <si>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</si>
  <si>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</si>
  <si>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</si>
  <si>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</si>
  <si>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</si>
  <si>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</si>
  <si>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</si>
  <si>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</si>
  <si>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</si>
  <si>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</si>
  <si>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</si>
  <si>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</si>
  <si>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</si>
  <si>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</si>
  <si>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</si>
  <si>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</si>
  <si>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</si>
  <si>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</si>
  <si>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</si>
  <si>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</si>
  <si>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</si>
  <si>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</si>
  <si>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</si>
  <si>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</si>
  <si>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</si>
  <si>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</si>
  <si>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</si>
  <si>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</si>
  <si>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</si>
  <si>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</si>
  <si>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</si>
  <si>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</si>
  <si>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</si>
  <si>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</si>
  <si>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</si>
  <si>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</si>
  <si>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</si>
  <si>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</si>
  <si>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</si>
  <si>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</si>
  <si>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</si>
  <si>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</si>
  <si>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</si>
  <si>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</si>
  <si>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</si>
  <si>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</si>
  <si>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</si>
  <si>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</si>
  <si>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</si>
  <si>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</si>
  <si>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</si>
  <si>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</si>
  <si>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</si>
  <si>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</si>
  <si>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</si>
  <si>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</si>
  <si>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</si>
  <si>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</si>
  <si>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</si>
  <si>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</si>
  <si>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</si>
  <si>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</si>
  <si>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</si>
  <si>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</si>
  <si>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</si>
  <si>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</si>
  <si>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</si>
  <si>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</si>
  <si>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</si>
  <si>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</si>
  <si>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</si>
  <si>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</si>
  <si>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</si>
  <si>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</si>
  <si>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</si>
  <si>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</si>
  <si>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</si>
  <si>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</si>
  <si>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</si>
  <si>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</si>
  <si>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</si>
  <si>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</si>
  <si>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</si>
  <si>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</si>
  <si>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</si>
  <si>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</si>
  <si>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</si>
  <si>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</si>
  <si>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</si>
  <si>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</si>
  <si>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</si>
  <si>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</si>
  <si>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</si>
  <si>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</si>
  <si>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</si>
  <si>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</si>
  <si>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</si>
  <si>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</si>
  <si>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</si>
  <si>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</si>
  <si>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</si>
  <si>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</si>
  <si>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</si>
  <si>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</si>
  <si>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</si>
  <si>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</si>
  <si>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</si>
  <si>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</si>
  <si>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</si>
  <si>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</si>
  <si>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</si>
  <si>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</si>
  <si>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</si>
  <si>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</si>
  <si>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</si>
  <si>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</si>
  <si>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</si>
  <si>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</si>
  <si>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</si>
  <si>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</si>
  <si>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</si>
  <si>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</si>
  <si>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</si>
  <si>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</si>
  <si>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</si>
  <si>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</si>
  <si>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</si>
  <si>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</si>
  <si>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</si>
  <si>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</si>
  <si>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</si>
  <si>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</si>
  <si>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</si>
  <si>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</si>
  <si>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</si>
  <si>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</si>
  <si>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</si>
  <si>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</si>
  <si>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</si>
  <si>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</si>
  <si>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</si>
  <si>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</si>
  <si>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</si>
  <si>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</si>
  <si>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</si>
  <si>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</si>
  <si>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</si>
  <si>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</si>
  <si>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</si>
  <si>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</si>
  <si>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</si>
  <si>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</si>
  <si>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</si>
  <si>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</si>
  <si>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</si>
  <si>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</si>
  <si>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</si>
  <si>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</si>
  <si>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</si>
  <si>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</si>
  <si>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</si>
  <si>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</si>
  <si>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</si>
  <si>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</si>
  <si>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</si>
  <si>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</si>
  <si>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</si>
  <si>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</si>
  <si>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</si>
  <si>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</si>
  <si>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</si>
  <si>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</si>
  <si>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</si>
  <si>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</si>
  <si>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</si>
  <si>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</si>
  <si>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</si>
  <si>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</si>
  <si>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</si>
  <si>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</si>
  <si>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</si>
  <si>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</si>
  <si>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</si>
  <si>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</si>
  <si>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</si>
  <si>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</si>
  <si>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</si>
  <si>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</si>
  <si>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</si>
  <si>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</si>
  <si>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</si>
  <si>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</si>
  <si>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</si>
  <si>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</si>
  <si>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</si>
  <si>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</si>
  <si>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</si>
  <si>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</si>
  <si>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</si>
  <si>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</si>
  <si>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</si>
  <si>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</si>
  <si>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</si>
  <si>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</si>
  <si>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</si>
  <si>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</si>
  <si>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</si>
  <si>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</si>
  <si>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</si>
  <si>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</si>
  <si>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</si>
  <si>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</si>
  <si>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</si>
  <si>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</si>
  <si>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</si>
  <si>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</si>
  <si>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</si>
  <si>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</si>
  <si>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</si>
  <si>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</si>
  <si>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</si>
  <si>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</si>
  <si>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</si>
  <si>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</si>
  <si>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</si>
  <si>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</si>
  <si>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</si>
  <si>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</si>
  <si>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</si>
  <si>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</si>
  <si>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</si>
  <si>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</si>
  <si>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</si>
  <si>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</si>
  <si>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</si>
  <si>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</si>
  <si>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</si>
  <si>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</si>
  <si>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</si>
  <si>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</si>
  <si>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</si>
  <si>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</si>
  <si>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</si>
  <si>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</si>
  <si>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</si>
  <si>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</si>
  <si>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</si>
  <si>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</si>
  <si>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</si>
  <si>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</si>
  <si>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</si>
  <si>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</si>
  <si>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</si>
  <si>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</si>
  <si>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</si>
  <si>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</si>
  <si>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</si>
  <si>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</si>
  <si>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</si>
  <si>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</si>
  <si>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</si>
  <si>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</si>
  <si>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</si>
  <si>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</si>
  <si>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</si>
  <si>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</si>
  <si>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</si>
  <si>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</si>
  <si>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</si>
  <si>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</si>
  <si>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</si>
  <si>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</si>
  <si>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</si>
  <si>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</si>
  <si>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</si>
  <si>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</si>
  <si>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</si>
  <si>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</si>
  <si>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</si>
  <si>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</si>
  <si>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</si>
  <si>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</si>
  <si>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</si>
  <si>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</si>
  <si>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</si>
  <si>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</si>
  <si>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</si>
  <si>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</si>
  <si>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</si>
  <si>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</si>
  <si>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</si>
  <si>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</si>
  <si>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</si>
  <si>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</si>
  <si>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</si>
  <si>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</si>
  <si>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</si>
  <si>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</si>
  <si>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</si>
  <si>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</si>
  <si>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</si>
  <si>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</si>
  <si>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</si>
  <si>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</si>
  <si>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</si>
  <si>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</si>
  <si>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</si>
  <si>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</si>
  <si>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</si>
  <si>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</si>
  <si>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</si>
  <si>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</si>
  <si>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</si>
  <si>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</si>
  <si>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</si>
  <si>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</si>
  <si>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</si>
  <si>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</si>
  <si>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</si>
  <si>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</si>
  <si>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</si>
  <si>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</si>
  <si>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</si>
  <si>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</si>
  <si>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</si>
  <si>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</si>
  <si>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</si>
  <si>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</si>
  <si>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</si>
  <si>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</si>
  <si>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</si>
  <si>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</si>
  <si>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</si>
  <si>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</si>
  <si>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</si>
  <si>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</si>
  <si>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</si>
  <si>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</si>
  <si>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</si>
  <si>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</si>
  <si>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</si>
  <si>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</si>
  <si>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</si>
  <si>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</si>
  <si>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</si>
  <si>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</si>
  <si>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</si>
  <si>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</si>
  <si>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</si>
  <si>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</si>
  <si>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</si>
  <si>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</si>
  <si>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</si>
  <si>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</si>
  <si>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</si>
  <si>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</si>
  <si>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</si>
  <si>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</si>
  <si>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</si>
  <si>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</si>
  <si>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</si>
  <si>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</si>
  <si>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</si>
  <si>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</si>
  <si>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</si>
  <si>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</si>
  <si>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</si>
  <si>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</si>
  <si>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</si>
  <si>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</si>
  <si>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</si>
  <si>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</si>
  <si>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</si>
  <si>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</si>
  <si>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</si>
  <si>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</si>
  <si>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</si>
  <si>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</si>
  <si>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</si>
  <si>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</si>
  <si>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</si>
  <si>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</si>
  <si>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</si>
  <si>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</si>
  <si>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</si>
  <si>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</si>
  <si>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</si>
  <si>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</si>
  <si>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</si>
  <si>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</si>
  <si>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</si>
  <si>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</si>
  <si>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</si>
  <si>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</si>
  <si>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</si>
  <si>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</si>
  <si>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</si>
  <si>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</si>
  <si>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</si>
  <si>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</si>
  <si>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</si>
  <si>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</si>
  <si>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</si>
  <si>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</si>
  <si>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</si>
  <si>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</si>
  <si>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</si>
  <si>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</si>
  <si>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</si>
  <si>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</si>
  <si>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</si>
  <si>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</si>
  <si>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</si>
  <si>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</si>
  <si>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</si>
  <si>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</si>
  <si>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</si>
  <si>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</si>
  <si>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</si>
  <si>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</si>
  <si>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</si>
  <si>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</si>
  <si>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</si>
  <si>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</si>
  <si>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</si>
  <si>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</si>
  <si>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</si>
  <si>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</si>
  <si>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</si>
  <si>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</si>
  <si>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</si>
  <si>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</si>
  <si>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</si>
  <si>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</si>
  <si>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</si>
  <si>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</si>
  <si>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</si>
  <si>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</si>
  <si>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</si>
  <si>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</si>
  <si>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</si>
  <si>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</si>
  <si>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</si>
  <si>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</si>
  <si>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</si>
  <si>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</si>
  <si>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</si>
  <si>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</si>
  <si>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</si>
  <si>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</si>
  <si>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</si>
  <si>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</si>
  <si>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</si>
  <si>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</si>
  <si>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</si>
  <si>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</si>
  <si>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</si>
  <si>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</si>
  <si>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</si>
  <si>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</si>
  <si>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</si>
  <si>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</si>
  <si>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</si>
  <si>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</si>
  <si>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</si>
  <si>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</si>
  <si>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</si>
  <si>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</si>
  <si>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</si>
  <si>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</si>
  <si>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</si>
  <si>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</si>
  <si>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</si>
  <si>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</si>
  <si>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</si>
  <si>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</si>
  <si>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</si>
  <si>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</si>
  <si>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</si>
  <si>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</si>
  <si>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</si>
  <si>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</si>
  <si>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</si>
  <si>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</si>
  <si>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</si>
  <si>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</si>
  <si>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</si>
  <si>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</si>
  <si>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</si>
  <si>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</si>
  <si>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</si>
  <si>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</si>
  <si>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</si>
  <si>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</si>
  <si>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</si>
  <si>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</si>
  <si>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</si>
  <si>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</si>
  <si>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</si>
  <si>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</si>
  <si>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</si>
  <si>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</si>
  <si>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</si>
  <si>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</si>
  <si>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</si>
  <si>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</si>
  <si>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</si>
  <si>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</si>
  <si>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</si>
  <si>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</si>
  <si>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</si>
  <si>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</si>
  <si>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</si>
  <si>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</si>
  <si>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</si>
  <si>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</si>
  <si>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</si>
  <si>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</si>
  <si>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</si>
  <si>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</si>
  <si>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</si>
  <si>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</si>
  <si>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</si>
  <si>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</si>
  <si>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</si>
  <si>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</si>
  <si>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</si>
  <si>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</si>
  <si>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</si>
  <si>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</si>
  <si>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</si>
  <si>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</si>
  <si>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</si>
  <si>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</si>
  <si>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</si>
  <si>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</si>
  <si>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</si>
  <si>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</si>
  <si>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</si>
  <si>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</si>
  <si>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</si>
  <si>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</si>
  <si>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</si>
  <si>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</si>
  <si>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</si>
  <si>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</si>
  <si>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</si>
  <si>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</si>
  <si>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</si>
  <si>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</si>
  <si>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</si>
  <si>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</si>
  <si>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</si>
  <si>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</si>
  <si>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</si>
  <si>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</si>
  <si>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</si>
  <si>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</si>
  <si>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</si>
  <si>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</si>
  <si>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</si>
  <si>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</si>
  <si>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</si>
  <si>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</si>
  <si>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</si>
  <si>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</si>
  <si>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</si>
  <si>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</si>
  <si>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</si>
  <si>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</si>
  <si>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</si>
  <si>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</si>
  <si>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</si>
  <si>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</si>
  <si>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</si>
  <si>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</si>
  <si>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</si>
  <si>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</si>
  <si>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</si>
  <si>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</si>
  <si>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</si>
  <si>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</si>
  <si>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</si>
  <si>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</si>
  <si>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</si>
  <si>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</si>
  <si>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</si>
  <si>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</si>
  <si>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</si>
  <si>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</si>
  <si>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</si>
  <si>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</si>
  <si>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</si>
  <si>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</si>
  <si>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</si>
  <si>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</si>
  <si>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</si>
  <si>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</si>
  <si>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</si>
  <si>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</si>
  <si>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</si>
  <si>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</si>
  <si>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</si>
  <si>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</si>
  <si>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</si>
  <si>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</si>
  <si>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</si>
  <si>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</si>
  <si>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</si>
  <si>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</si>
  <si>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</si>
  <si>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</si>
  <si>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</si>
  <si>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</si>
  <si>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</si>
  <si>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</si>
  <si>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</si>
  <si>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</si>
  <si>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</si>
  <si>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</si>
  <si>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</si>
  <si>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</si>
  <si>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</si>
  <si>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</si>
  <si>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</si>
  <si>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</si>
  <si>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</si>
  <si>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</si>
  <si>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</si>
  <si>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</si>
  <si>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</si>
  <si>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</si>
  <si>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</si>
  <si>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</si>
  <si>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</si>
  <si>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</si>
  <si>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</si>
  <si>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</si>
  <si>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</si>
  <si>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</si>
  <si>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</si>
  <si>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</si>
  <si>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</si>
  <si>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</si>
  <si>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</si>
  <si>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</si>
  <si>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</si>
  <si>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</si>
  <si>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</si>
  <si>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</si>
  <si>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</si>
  <si>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</si>
  <si>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</si>
  <si>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</si>
  <si>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</si>
  <si>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</si>
  <si>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</si>
  <si>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</si>
  <si>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</si>
  <si>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</si>
  <si>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</si>
  <si>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</si>
  <si>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</si>
  <si>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</si>
  <si>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</si>
  <si>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</si>
  <si>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</si>
  <si>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</si>
  <si>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</si>
  <si>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</si>
  <si>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</si>
  <si>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</si>
  <si>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</si>
  <si>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</si>
  <si>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</si>
  <si>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</si>
  <si>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</si>
  <si>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</si>
  <si>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</si>
  <si>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</si>
  <si>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</si>
  <si>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</si>
  <si>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</si>
  <si>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</si>
  <si>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</si>
  <si>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</si>
  <si>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</si>
  <si>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</si>
  <si>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</si>
  <si>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</si>
  <si>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</si>
  <si>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</si>
  <si>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</si>
  <si>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</si>
  <si>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</si>
  <si>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</si>
  <si>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</si>
  <si>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</si>
  <si>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</si>
  <si>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</si>
  <si>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</si>
  <si>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</si>
  <si>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</si>
  <si>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</si>
  <si>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</si>
  <si>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</si>
  <si>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</si>
  <si>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</si>
  <si>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</si>
  <si>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</si>
  <si>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</si>
  <si>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</si>
  <si>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</si>
  <si>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</si>
  <si>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</si>
  <si>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</si>
  <si>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</si>
  <si>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</si>
  <si>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</si>
  <si>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</si>
  <si>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</si>
  <si>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</si>
  <si>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</si>
  <si>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</si>
  <si>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</si>
  <si>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</si>
  <si>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</si>
  <si>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</si>
  <si>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</si>
  <si>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</si>
  <si>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</si>
  <si>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</si>
  <si>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</si>
  <si>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</si>
  <si>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</si>
  <si>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</si>
  <si>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</si>
  <si>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</si>
  <si>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</si>
  <si>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</si>
  <si>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</si>
  <si>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</si>
  <si>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</si>
  <si>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</si>
  <si>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</si>
  <si>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</si>
  <si>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</si>
  <si>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</si>
  <si>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</si>
  <si>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</si>
  <si>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</si>
  <si>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</si>
  <si>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</si>
  <si>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</si>
  <si>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</si>
  <si>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</si>
  <si>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</si>
  <si>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</si>
  <si>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</si>
  <si>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</si>
  <si>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</si>
  <si>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</si>
  <si>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</si>
  <si>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</si>
  <si>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</si>
  <si>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</si>
  <si>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</si>
  <si>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</si>
  <si>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</si>
  <si>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</si>
  <si>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</si>
  <si>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</si>
  <si>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</si>
  <si>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</si>
  <si>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</si>
  <si>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</si>
  <si>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</si>
  <si>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</si>
  <si>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</si>
  <si>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</si>
  <si>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</si>
  <si>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</si>
  <si>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</si>
  <si>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</si>
  <si>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</si>
  <si>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</si>
  <si>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</si>
  <si>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</si>
  <si>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</si>
  <si>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</si>
  <si>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</si>
  <si>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</si>
  <si>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</si>
  <si>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</si>
  <si>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</si>
  <si>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</si>
  <si>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</si>
  <si>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</si>
  <si>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</si>
  <si>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</si>
  <si>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</si>
  <si>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</si>
  <si>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</si>
  <si>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</si>
  <si>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</si>
  <si>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</si>
  <si>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</si>
  <si>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</si>
  <si>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</si>
  <si>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</si>
  <si>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</si>
  <si>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</si>
  <si>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</si>
  <si>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</si>
  <si>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</si>
  <si>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</si>
  <si>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</si>
  <si>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</si>
  <si>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</si>
  <si>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</si>
  <si>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</si>
  <si>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</si>
  <si>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</si>
  <si>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</si>
  <si>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</si>
  <si>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</si>
  <si>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</si>
  <si>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</si>
  <si>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</si>
  <si>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</si>
  <si>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</si>
  <si>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</si>
  <si>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</si>
  <si>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</si>
  <si>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</si>
  <si>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</si>
  <si>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</si>
  <si>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</si>
  <si>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</si>
  <si>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</si>
  <si>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</si>
  <si>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</si>
  <si>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</si>
  <si>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</si>
  <si>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</si>
  <si>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</si>
  <si>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</si>
  <si>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</si>
  <si>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</si>
  <si>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</si>
  <si>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</si>
  <si>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</si>
  <si>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</si>
  <si>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</si>
  <si>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</si>
  <si>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</si>
  <si>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</si>
  <si>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</si>
  <si>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</si>
  <si>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</si>
  <si>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</si>
  <si>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</si>
  <si>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</si>
  <si>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</si>
  <si>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</si>
  <si>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</si>
  <si>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</si>
  <si>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</si>
  <si>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</si>
  <si>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</si>
  <si>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</si>
  <si>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</si>
  <si>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</si>
  <si>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</si>
  <si>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</si>
  <si>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</si>
  <si>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</si>
  <si>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</si>
  <si>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</si>
  <si>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</si>
  <si>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</si>
  <si>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</si>
  <si>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</si>
  <si>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</si>
  <si>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</si>
  <si>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</si>
  <si>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</si>
  <si>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</si>
  <si>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</si>
  <si>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</si>
  <si>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</si>
  <si>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</si>
  <si>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</si>
  <si>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</si>
  <si>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</si>
  <si>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</si>
  <si>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</si>
  <si>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</si>
  <si>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</si>
  <si>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</si>
  <si>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</si>
  <si>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</si>
  <si>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</si>
  <si>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</si>
  <si>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</si>
  <si>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</si>
  <si>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</si>
  <si>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</si>
  <si>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</si>
  <si>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</si>
  <si>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</si>
  <si>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</si>
  <si>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</si>
  <si>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</si>
  <si>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</si>
  <si>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</si>
  <si>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</si>
  <si>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</si>
  <si>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</si>
  <si>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</si>
  <si>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</si>
  <si>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</si>
  <si>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</si>
  <si>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</si>
  <si>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</si>
  <si>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</si>
  <si>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</si>
  <si>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</si>
  <si>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</si>
  <si>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</si>
  <si>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</si>
  <si>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</si>
  <si>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</si>
  <si>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</si>
  <si>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</si>
  <si>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</si>
  <si>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</si>
  <si>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</si>
  <si>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</si>
  <si>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</si>
  <si>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</si>
  <si>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</si>
  <si>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</si>
  <si>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</si>
  <si>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</si>
  <si>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</si>
  <si>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</si>
  <si>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</si>
  <si>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</si>
  <si>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</si>
  <si>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</si>
  <si>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</si>
  <si>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</si>
  <si>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</si>
  <si>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</si>
  <si>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</si>
  <si>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</si>
  <si>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</si>
  <si>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</si>
  <si>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</si>
  <si>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</si>
  <si>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</si>
  <si>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</si>
  <si>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</si>
  <si>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</si>
  <si>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</si>
  <si>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</si>
  <si>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</si>
  <si>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</si>
  <si>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</si>
  <si>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</si>
  <si>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</si>
  <si>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</si>
  <si>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</si>
  <si>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</si>
  <si>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</si>
  <si>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</si>
  <si>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</si>
  <si>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</si>
  <si>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</si>
  <si>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</si>
  <si>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</si>
  <si>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</si>
  <si>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</si>
  <si>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</si>
  <si>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</si>
  <si>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</si>
  <si>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</si>
  <si>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</si>
  <si>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</si>
  <si>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</si>
  <si>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</si>
  <si>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</si>
  <si>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</si>
  <si>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</si>
  <si>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</si>
  <si>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</si>
  <si>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</si>
  <si>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</si>
  <si>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</si>
  <si>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</si>
  <si>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</si>
  <si>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</si>
  <si>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</si>
  <si>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</si>
  <si>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</si>
  <si>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</si>
  <si>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</si>
  <si>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</si>
  <si>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</si>
  <si>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</si>
  <si>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</si>
  <si>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</si>
  <si>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</si>
  <si>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</si>
  <si>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</si>
  <si>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</si>
  <si>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</si>
  <si>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</si>
  <si>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</si>
  <si>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</si>
  <si>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</si>
  <si>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</si>
  <si>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</si>
  <si>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</si>
  <si>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</si>
  <si>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</si>
  <si>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</si>
  <si>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</si>
  <si>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</si>
  <si>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</si>
  <si>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</si>
  <si>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</si>
  <si>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</si>
  <si>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</si>
  <si>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</si>
  <si>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</si>
  <si>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</si>
  <si>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</si>
  <si>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</si>
  <si>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</si>
  <si>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</si>
  <si>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</si>
  <si>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</si>
  <si>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</si>
  <si>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</si>
  <si>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</si>
  <si>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</si>
  <si>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</si>
  <si>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</si>
  <si>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</si>
  <si>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</si>
  <si>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</si>
  <si>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</si>
  <si>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</si>
  <si>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</si>
  <si>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</si>
  <si>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</si>
  <si>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</si>
  <si>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</si>
  <si>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</si>
  <si>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</si>
  <si>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</si>
  <si>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</si>
  <si>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</si>
  <si>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</si>
  <si>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</si>
  <si>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</si>
  <si>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</si>
  <si>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</si>
  <si>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</si>
  <si>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</si>
  <si>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</si>
  <si>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</si>
  <si>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</si>
  <si>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</si>
  <si>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</si>
  <si>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</si>
  <si>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</si>
  <si>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</si>
  <si>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</si>
  <si>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</si>
  <si>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</si>
  <si>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</si>
  <si>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</si>
  <si>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</si>
  <si>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</si>
  <si>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</si>
  <si>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</si>
  <si>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</si>
  <si>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</si>
  <si>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</si>
  <si>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</si>
  <si>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</si>
  <si>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</si>
  <si>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</si>
  <si>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</si>
  <si>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</si>
  <si>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</si>
  <si>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</si>
  <si>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</si>
  <si>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</si>
  <si>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</si>
  <si>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</si>
  <si>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</si>
  <si>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</si>
  <si>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</si>
  <si>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</si>
  <si>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</si>
  <si>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</si>
  <si>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</si>
  <si>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</si>
  <si>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</si>
  <si>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</si>
  <si>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</si>
  <si>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</si>
  <si>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</si>
  <si>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</si>
  <si>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</si>
  <si>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</si>
  <si>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</si>
  <si>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</si>
  <si>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</si>
  <si>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</si>
  <si>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</si>
  <si>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</si>
  <si>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</si>
  <si>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</si>
  <si>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</si>
  <si>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</si>
  <si>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</si>
  <si>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</si>
  <si>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</si>
  <si>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</si>
  <si>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</si>
  <si>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</si>
  <si>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</si>
  <si>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</si>
  <si>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</si>
  <si>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</si>
  <si>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</si>
  <si>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</si>
  <si>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</si>
  <si>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</si>
  <si>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</si>
  <si>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</si>
  <si>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</si>
  <si>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</si>
  <si>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</si>
  <si>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</si>
  <si>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</si>
  <si>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</si>
  <si>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</si>
  <si>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</si>
  <si>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</si>
  <si>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</si>
  <si>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</si>
  <si>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</si>
  <si>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</si>
  <si>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</si>
  <si>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</si>
  <si>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</si>
  <si>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</si>
  <si>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</si>
  <si>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</si>
  <si>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</si>
  <si>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</si>
  <si>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</si>
  <si>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</si>
  <si>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</si>
  <si>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</si>
  <si>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</si>
  <si>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</si>
  <si>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</si>
  <si>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</si>
  <si>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</si>
  <si>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</si>
  <si>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</si>
  <si>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</si>
  <si>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</si>
  <si>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</si>
  <si>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</si>
  <si>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</si>
  <si>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</si>
  <si>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</si>
  <si>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</si>
  <si>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</si>
  <si>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</si>
  <si>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</si>
  <si>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</si>
  <si>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</si>
  <si>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</si>
  <si>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</si>
  <si>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</si>
  <si>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</si>
  <si>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</si>
  <si>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</si>
  <si>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</si>
  <si>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</si>
  <si>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</si>
  <si>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</si>
  <si>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</si>
  <si>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</si>
  <si>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</si>
  <si>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</si>
  <si>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</si>
  <si>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</si>
  <si>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</si>
  <si>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</si>
  <si>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</si>
  <si>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</si>
  <si>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</si>
  <si>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</si>
  <si>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</si>
  <si>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</si>
  <si>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</si>
  <si>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</si>
  <si>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</si>
  <si>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</si>
  <si>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</si>
  <si>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</si>
  <si>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</si>
  <si>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</si>
  <si>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</si>
  <si>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</si>
  <si>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</si>
  <si>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</si>
  <si>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</si>
  <si>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</si>
  <si>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</si>
  <si>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</si>
  <si>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</si>
  <si>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</si>
  <si>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</si>
  <si>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</si>
  <si>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</si>
  <si>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</si>
  <si>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</si>
  <si>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</si>
  <si>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</si>
  <si>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</si>
  <si>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</si>
  <si>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</si>
  <si>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</si>
  <si>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</si>
  <si>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</si>
  <si>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</si>
  <si>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</si>
  <si>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</si>
  <si>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</si>
  <si>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</si>
  <si>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</si>
  <si>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</si>
  <si>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</si>
  <si>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</si>
  <si>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</si>
  <si>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</si>
  <si>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</si>
  <si>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</si>
  <si>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</si>
  <si>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</si>
  <si>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</si>
  <si>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</si>
  <si>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</si>
  <si>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</si>
  <si>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</si>
  <si>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</si>
  <si>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</si>
  <si>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</si>
  <si>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</si>
  <si>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</si>
  <si>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</si>
  <si>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</si>
  <si>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</si>
  <si>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</si>
  <si>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</si>
  <si>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</si>
  <si>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</si>
  <si>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</si>
  <si>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</si>
  <si>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</si>
  <si>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</si>
  <si>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</si>
  <si>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</si>
  <si>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</si>
  <si>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</si>
  <si>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</si>
  <si>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</si>
  <si>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</si>
  <si>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</si>
  <si>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</si>
  <si>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</si>
  <si>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</si>
  <si>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</si>
  <si>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</si>
  <si>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</si>
  <si>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</si>
  <si>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</si>
  <si>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</si>
  <si>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</si>
  <si>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</si>
  <si>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</si>
  <si>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</si>
  <si>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</si>
  <si>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</si>
  <si>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</si>
  <si>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</si>
  <si>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</si>
  <si>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</si>
  <si>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</si>
  <si>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</si>
  <si>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</si>
  <si>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</si>
  <si>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</si>
  <si>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</si>
  <si>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</si>
  <si>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</si>
  <si>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</si>
  <si>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</si>
  <si>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</si>
  <si>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</si>
  <si>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</si>
  <si>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</si>
  <si>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</si>
  <si>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</si>
  <si>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</si>
  <si>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</si>
  <si>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</si>
  <si>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</si>
  <si>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</si>
  <si>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</si>
  <si>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</si>
  <si>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</si>
  <si>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</si>
  <si>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</si>
  <si>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</si>
  <si>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</si>
  <si>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</si>
  <si>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</si>
  <si>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</si>
  <si>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</si>
  <si>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</si>
  <si>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</si>
  <si>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</si>
  <si>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</si>
  <si>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</si>
  <si>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</si>
  <si>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</si>
  <si>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</si>
  <si>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</si>
  <si>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</si>
  <si>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</si>
  <si>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</si>
  <si>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</si>
  <si>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</si>
  <si>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</si>
  <si>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</si>
  <si>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</si>
  <si>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</si>
  <si>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</si>
  <si>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</si>
  <si>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</si>
  <si>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</si>
  <si>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</si>
  <si>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</si>
  <si>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</si>
  <si>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</si>
  <si>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</si>
  <si>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</si>
  <si>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</si>
  <si>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</si>
  <si>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</si>
  <si>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</si>
  <si>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</si>
  <si>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</si>
  <si>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</si>
  <si>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</si>
  <si>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</si>
  <si>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</si>
  <si>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</si>
  <si>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</si>
  <si>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</si>
  <si>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</si>
  <si>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</si>
  <si>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</si>
  <si>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</si>
  <si>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</si>
  <si>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</si>
  <si>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</si>
  <si>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</si>
  <si>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</si>
  <si>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</si>
  <si>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</si>
  <si>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</si>
  <si>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</si>
  <si>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</si>
  <si>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</si>
  <si>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</si>
  <si>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</si>
  <si>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</si>
  <si>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</si>
  <si>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</si>
  <si>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</si>
  <si>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</si>
  <si>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</si>
  <si>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</si>
  <si>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</si>
  <si>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</si>
  <si>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</si>
  <si>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</si>
  <si>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</si>
  <si>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</si>
  <si>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</si>
  <si>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</si>
  <si>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</si>
  <si>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</si>
  <si>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</si>
  <si>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</si>
  <si>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</si>
  <si>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</si>
  <si>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</si>
  <si>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</si>
  <si>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</si>
  <si>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</si>
  <si>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</si>
  <si>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</si>
  <si>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</si>
  <si>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</si>
  <si>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</si>
  <si>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</si>
  <si>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</si>
  <si>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</si>
  <si>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</si>
  <si>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</si>
  <si>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</si>
  <si>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</si>
  <si>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</si>
  <si>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</si>
  <si>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</si>
  <si>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</si>
  <si>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</si>
  <si>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</si>
  <si>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</si>
  <si>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</si>
  <si>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</si>
  <si>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</si>
  <si>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</si>
  <si>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</si>
  <si>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</si>
  <si>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</si>
  <si>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</si>
  <si>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</si>
  <si>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</si>
  <si>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</si>
  <si>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</si>
  <si>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</si>
  <si>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</si>
  <si>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</si>
  <si>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</si>
  <si>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</si>
  <si>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</si>
  <si>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</si>
  <si>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</si>
  <si>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</si>
  <si>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</si>
  <si>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</si>
  <si>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</si>
  <si>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</si>
  <si>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</si>
  <si>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</si>
  <si>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</si>
  <si>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</si>
  <si>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</si>
  <si>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</si>
  <si>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</si>
  <si>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</si>
  <si>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</si>
  <si>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</si>
  <si>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</si>
  <si>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</si>
  <si>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</si>
  <si>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</si>
  <si>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</si>
  <si>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</si>
  <si>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</si>
  <si>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</si>
  <si>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</si>
  <si>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</si>
  <si>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</si>
  <si>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</si>
  <si>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</si>
  <si>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</si>
  <si>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</si>
  <si>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</si>
  <si>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</si>
  <si>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</si>
  <si>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</si>
  <si>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</si>
  <si>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</si>
  <si>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</si>
  <si>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</si>
  <si>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</si>
  <si>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</si>
  <si>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</si>
  <si>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</si>
  <si>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</si>
  <si>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</si>
  <si>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</si>
  <si>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</si>
  <si>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</si>
  <si>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</si>
  <si>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</si>
  <si>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</si>
  <si>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</si>
  <si>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</si>
  <si>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</si>
  <si>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</si>
  <si>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</si>
  <si>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</si>
  <si>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</si>
  <si>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</si>
  <si>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</si>
  <si>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</si>
  <si>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</si>
  <si>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</si>
  <si>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</si>
  <si>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</si>
  <si>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</si>
  <si>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</si>
  <si>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</si>
  <si>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</si>
  <si>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</si>
  <si>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</si>
  <si>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</si>
  <si>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</si>
  <si>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</si>
  <si>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</si>
  <si>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</si>
  <si>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</si>
  <si>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</si>
  <si>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</si>
  <si>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</si>
  <si>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</si>
  <si>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</si>
  <si>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</si>
  <si>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</si>
  <si>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</si>
  <si>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</si>
  <si>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</si>
  <si>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</si>
  <si>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</si>
  <si>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</si>
  <si>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</si>
  <si>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</si>
  <si>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</si>
  <si>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</si>
  <si>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</si>
  <si>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</si>
  <si>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</si>
  <si>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</si>
  <si>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</si>
  <si>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</si>
  <si>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</si>
  <si>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</si>
  <si>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</si>
  <si>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</si>
  <si>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</si>
  <si>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</si>
  <si>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</si>
  <si>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</si>
  <si>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</si>
  <si>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</si>
  <si>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</si>
  <si>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</si>
  <si>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</si>
  <si>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</si>
  <si>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</si>
  <si>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</si>
  <si>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</si>
  <si>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</si>
  <si>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</si>
  <si>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</si>
  <si>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</si>
  <si>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</si>
  <si>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</si>
  <si>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</si>
  <si>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</si>
  <si>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</si>
  <si>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</si>
  <si>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</si>
  <si>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</si>
  <si>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</si>
  <si>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</si>
  <si>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</si>
  <si>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</si>
  <si>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</si>
  <si>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</si>
  <si>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</si>
  <si>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</si>
  <si>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</si>
  <si>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</si>
  <si>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</si>
  <si>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</si>
  <si>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</si>
  <si>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</si>
  <si>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</si>
  <si>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</si>
  <si>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</si>
  <si>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</si>
  <si>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</si>
  <si>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</si>
  <si>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</si>
  <si>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</si>
  <si>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</si>
  <si>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</si>
  <si>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</si>
  <si>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</si>
  <si>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</si>
  <si>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</si>
  <si>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</si>
  <si>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</si>
  <si>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</si>
  <si>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</si>
  <si>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</si>
  <si>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</si>
  <si>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</si>
  <si>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</si>
  <si>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</si>
  <si>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</si>
  <si>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</si>
  <si>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</si>
  <si>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</si>
  <si>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</si>
  <si>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</si>
  <si>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</si>
  <si>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</si>
  <si>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</si>
  <si>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</si>
  <si>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</si>
  <si>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</si>
  <si>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</si>
  <si>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</si>
  <si>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</si>
  <si>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</si>
  <si>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</si>
  <si>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</si>
  <si>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</si>
  <si>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</si>
  <si>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</si>
  <si>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</si>
  <si>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</si>
  <si>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</si>
  <si>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</si>
  <si>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</si>
  <si>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</si>
  <si>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</si>
  <si>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</si>
  <si>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</si>
  <si>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</si>
  <si>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</si>
  <si>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</si>
  <si>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</si>
  <si>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</si>
  <si>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</si>
  <si>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</si>
  <si>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</si>
  <si>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</si>
  <si>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</si>
  <si>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</si>
  <si>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</si>
  <si>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</si>
  <si>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</si>
  <si>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</si>
  <si>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</si>
  <si>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</si>
  <si>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</si>
  <si>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</si>
  <si>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</si>
  <si>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</si>
  <si>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</si>
  <si>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</si>
  <si>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</si>
  <si>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</si>
  <si>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</si>
  <si>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</si>
  <si>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</si>
  <si>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</si>
  <si>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</si>
  <si>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</si>
  <si>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</si>
  <si>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</si>
  <si>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</si>
  <si>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</si>
  <si>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</si>
  <si>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</si>
  <si>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</si>
  <si>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</si>
  <si>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</si>
  <si>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</si>
  <si>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</si>
  <si>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</si>
  <si>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</si>
  <si>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</si>
  <si>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</si>
  <si>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</si>
  <si>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</si>
  <si>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</si>
  <si>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</si>
  <si>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</si>
  <si>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</si>
  <si>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</si>
  <si>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</si>
  <si>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</si>
  <si>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</si>
  <si>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</si>
  <si>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</si>
  <si>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</si>
  <si>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</si>
  <si>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</si>
  <si>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</si>
  <si>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</si>
  <si>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</si>
  <si>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</si>
  <si>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</si>
  <si>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</si>
  <si>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</si>
  <si>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</si>
  <si>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</si>
  <si>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</si>
  <si>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</si>
  <si>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</si>
  <si>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</si>
  <si>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</si>
  <si>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</si>
  <si>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</si>
  <si>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</si>
  <si>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</si>
  <si>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</si>
  <si>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</si>
  <si>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</si>
  <si>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</si>
  <si>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</si>
  <si>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</si>
  <si>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</si>
  <si>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</si>
  <si>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</si>
  <si>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</si>
  <si>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</si>
  <si>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</si>
  <si>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</si>
  <si>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</si>
  <si>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</si>
  <si>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</si>
  <si>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</si>
  <si>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</si>
  <si>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</si>
  <si>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</si>
  <si>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</si>
  <si>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</si>
  <si>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</si>
  <si>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</si>
  <si>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</si>
  <si>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</si>
  <si>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</si>
  <si>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</si>
  <si>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</si>
  <si>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</si>
  <si>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</si>
  <si>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</si>
  <si>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</si>
  <si>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</si>
  <si>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</si>
  <si>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</si>
  <si>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</si>
  <si>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</si>
  <si>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</si>
  <si>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</si>
  <si>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</si>
  <si>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</si>
  <si>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</si>
  <si>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</si>
  <si>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</si>
  <si>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</si>
  <si>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</si>
  <si>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</si>
  <si>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</si>
  <si>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</si>
  <si>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</si>
  <si>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</si>
  <si>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</si>
  <si>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</si>
  <si>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</si>
  <si>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</si>
  <si>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</si>
  <si>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</si>
  <si>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</si>
  <si>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</si>
  <si>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</si>
  <si>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</si>
  <si>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</si>
  <si>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</si>
  <si>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</si>
  <si>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</si>
  <si>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</si>
  <si>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</si>
  <si>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</si>
  <si>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</si>
  <si>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</si>
  <si>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</si>
  <si>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</si>
  <si>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</si>
  <si>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</si>
  <si>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</si>
  <si>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</si>
  <si>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</si>
  <si>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</si>
  <si>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</si>
  <si>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</si>
  <si>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</si>
  <si>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</si>
  <si>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</si>
  <si>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</si>
  <si>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</si>
  <si>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</si>
  <si>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</si>
  <si>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</si>
  <si>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</si>
  <si>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</si>
  <si>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</si>
  <si>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</si>
  <si>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</si>
  <si>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</si>
  <si>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</si>
  <si>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</si>
  <si>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</si>
  <si>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</si>
  <si>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</si>
  <si>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</si>
  <si>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</si>
  <si>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</si>
  <si>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</si>
  <si>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</si>
  <si>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</si>
  <si>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</si>
  <si>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</si>
  <si>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</si>
  <si>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</si>
  <si>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</si>
  <si>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</si>
  <si>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</si>
  <si>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</si>
  <si>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</si>
  <si>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</si>
  <si>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</si>
  <si>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</si>
  <si>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</si>
  <si>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</si>
  <si>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</si>
  <si>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</si>
  <si>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</si>
  <si>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</si>
  <si>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</si>
  <si>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</si>
  <si>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</si>
  <si>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</si>
  <si>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</si>
  <si>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</si>
  <si>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</si>
  <si>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</si>
  <si>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</si>
  <si>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</si>
  <si>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</si>
  <si>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</si>
  <si>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</si>
  <si>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</si>
  <si>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</si>
  <si>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</si>
  <si>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</si>
  <si>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</si>
  <si>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</si>
  <si>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</si>
  <si>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</si>
  <si>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</si>
  <si>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</si>
  <si>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</si>
  <si>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</si>
  <si>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</si>
  <si>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</si>
  <si>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</si>
  <si>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</si>
  <si>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</si>
  <si>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</si>
  <si>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</si>
  <si>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</si>
  <si>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</si>
  <si>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</si>
  <si>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</si>
  <si>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</si>
  <si>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</si>
  <si>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</si>
  <si>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</si>
  <si>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</si>
  <si>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</si>
  <si>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</si>
  <si>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</si>
  <si>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</si>
  <si>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</si>
  <si>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</si>
  <si>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</si>
  <si>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</si>
  <si>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</si>
  <si>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</si>
  <si>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</si>
  <si>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</si>
  <si>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</si>
  <si>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</si>
  <si>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</si>
  <si>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</si>
  <si>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</si>
  <si>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</si>
  <si>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</si>
  <si>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</si>
  <si>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</si>
  <si>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</si>
  <si>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</si>
  <si>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</si>
  <si>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</si>
  <si>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</si>
  <si>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</si>
  <si>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</si>
  <si>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</si>
  <si>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</si>
  <si>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</si>
  <si>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</si>
  <si>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</si>
  <si>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</si>
  <si>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</si>
  <si>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</si>
  <si>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</si>
  <si>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</si>
  <si>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</si>
  <si>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</si>
  <si>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</si>
  <si>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</si>
  <si>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</si>
  <si>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</si>
  <si>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</si>
  <si>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</si>
  <si>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</si>
  <si>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</si>
  <si>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</si>
  <si>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</si>
  <si>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</si>
  <si>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</si>
  <si>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</si>
  <si>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</si>
  <si>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</si>
  <si>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</si>
  <si>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</si>
  <si>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</si>
  <si>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</si>
  <si>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</si>
  <si>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</si>
  <si>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</si>
  <si>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</si>
  <si>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</si>
  <si>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</si>
  <si>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</si>
  <si>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</si>
  <si>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</si>
  <si>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</si>
  <si>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</si>
  <si>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</si>
  <si>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</si>
  <si>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</si>
  <si>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</si>
  <si>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</si>
  <si>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</si>
  <si>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</si>
  <si>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</si>
  <si>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</si>
  <si>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</si>
  <si>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</si>
  <si>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</si>
  <si>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</si>
  <si>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</si>
  <si>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</si>
  <si>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</si>
  <si>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</si>
  <si>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</si>
  <si>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</si>
  <si>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</si>
  <si>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</si>
  <si>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</si>
  <si>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</si>
  <si>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</si>
  <si>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</si>
  <si>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</si>
  <si>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</si>
  <si>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</si>
  <si>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</si>
  <si>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</si>
  <si>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</si>
  <si>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</si>
  <si>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</si>
  <si>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</si>
  <si>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</si>
  <si>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</si>
  <si>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</si>
  <si>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</si>
  <si>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</si>
  <si>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</si>
  <si>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</si>
  <si>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</si>
  <si>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</si>
  <si>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</si>
  <si>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</si>
  <si>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</si>
  <si>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</si>
  <si>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</si>
  <si>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</si>
  <si>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</si>
  <si>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</si>
  <si>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</si>
  <si>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</si>
  <si>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</si>
  <si>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</si>
  <si>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</si>
  <si>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</si>
  <si>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</si>
  <si>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</si>
  <si>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</si>
  <si>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</si>
  <si>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</si>
  <si>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</si>
  <si>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</si>
  <si>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</si>
  <si>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</si>
  <si>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</si>
  <si>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</si>
  <si>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</si>
  <si>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</si>
  <si>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</si>
  <si>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</si>
  <si>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</si>
  <si>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</si>
  <si>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</si>
  <si>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</si>
  <si>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</si>
  <si>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</si>
  <si>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</si>
  <si>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</si>
  <si>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</si>
  <si>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</si>
  <si>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</si>
  <si>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</si>
  <si>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</si>
  <si>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</si>
  <si>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</si>
  <si>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</si>
  <si>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</si>
  <si>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</si>
  <si>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</si>
  <si>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</si>
  <si>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</si>
  <si>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</si>
  <si>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</si>
  <si>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</si>
  <si>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</si>
  <si>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</si>
  <si>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</si>
  <si>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</si>
  <si>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</si>
  <si>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</si>
  <si>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</si>
  <si>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</si>
  <si>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</si>
  <si>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</si>
  <si>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</si>
  <si>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</si>
  <si>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</si>
  <si>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</si>
  <si>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</si>
  <si>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</si>
  <si>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</si>
  <si>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</si>
  <si>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</si>
  <si>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</si>
  <si>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</si>
  <si>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</si>
  <si>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</si>
  <si>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</si>
  <si>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</si>
  <si>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</si>
  <si>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</si>
  <si>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</si>
  <si>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</si>
  <si>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</si>
  <si>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</si>
  <si>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</si>
  <si>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</si>
  <si>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</si>
  <si>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</si>
  <si>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</si>
  <si>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</si>
  <si>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</si>
  <si>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</si>
  <si>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</si>
  <si>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</si>
  <si>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</si>
  <si>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</si>
  <si>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</si>
  <si>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</si>
  <si>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</si>
  <si>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</si>
  <si>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</si>
  <si>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</si>
  <si>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</si>
  <si>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</si>
  <si>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</si>
  <si>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</si>
  <si>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</si>
  <si>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</si>
  <si>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</si>
  <si>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</si>
  <si>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</si>
  <si>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</si>
  <si>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</si>
  <si>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</si>
  <si>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</si>
  <si>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</si>
  <si>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</si>
  <si>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</si>
  <si>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</si>
  <si>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</si>
  <si>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</si>
  <si>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</si>
  <si>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</si>
  <si>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</si>
  <si>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</si>
  <si>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</si>
  <si>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</si>
  <si>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</si>
  <si>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</si>
  <si>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</si>
  <si>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</si>
  <si>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</si>
  <si>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</si>
  <si>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</si>
  <si>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</si>
  <si>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</si>
  <si>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</si>
  <si>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</si>
  <si>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</si>
  <si>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</si>
  <si>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</si>
  <si>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</si>
  <si>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</si>
  <si>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</si>
  <si>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</si>
  <si>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</si>
  <si>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</si>
  <si>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</si>
  <si>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</si>
  <si>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</si>
  <si>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</si>
  <si>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</si>
  <si>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</si>
  <si>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</si>
  <si>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</si>
  <si>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</si>
  <si>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</si>
  <si>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</si>
  <si>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</si>
  <si>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</si>
  <si>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</si>
  <si>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</si>
  <si>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</si>
  <si>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</si>
  <si>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</si>
  <si>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</si>
  <si>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</si>
  <si>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</si>
  <si>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</si>
  <si>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</si>
  <si>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</si>
  <si>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</si>
  <si>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</si>
  <si>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</si>
  <si>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</si>
  <si>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</si>
  <si>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</si>
  <si>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</si>
  <si>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</si>
  <si>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</si>
  <si>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</si>
  <si>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</si>
  <si>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</si>
  <si>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</si>
  <si>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</si>
  <si>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</si>
  <si>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</si>
  <si>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</si>
  <si>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</si>
  <si>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</si>
  <si>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</si>
  <si>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</si>
  <si>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</si>
  <si>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</si>
  <si>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</si>
  <si>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</si>
  <si>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</si>
  <si>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</si>
  <si>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</si>
  <si>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</si>
  <si>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</si>
  <si>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</si>
  <si>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</si>
  <si>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</si>
  <si>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</si>
  <si>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</si>
  <si>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</si>
  <si>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</si>
  <si>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</si>
  <si>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</si>
  <si>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</si>
  <si>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</si>
  <si>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</si>
  <si>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</si>
  <si>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</si>
  <si>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</si>
  <si>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</si>
  <si>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</si>
  <si>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</si>
  <si>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</si>
  <si>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</si>
  <si>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</si>
  <si>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</si>
  <si>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</si>
  <si>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</si>
  <si>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</si>
  <si>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</si>
  <si>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</si>
  <si>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</si>
  <si>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</si>
  <si>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</si>
  <si>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</si>
  <si>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</si>
  <si>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</si>
  <si>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</si>
  <si>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</si>
  <si>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</si>
  <si>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</si>
  <si>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</si>
  <si>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</si>
  <si>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</si>
  <si>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</si>
  <si>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</si>
  <si>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</si>
  <si>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</si>
  <si>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</si>
  <si>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</si>
  <si>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</si>
  <si>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</si>
  <si>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</si>
  <si>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</si>
  <si>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</si>
  <si>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</si>
  <si>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</si>
  <si>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</si>
  <si>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</si>
  <si>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</si>
  <si>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</si>
  <si>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</si>
  <si>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</si>
  <si>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</si>
  <si>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</si>
  <si>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</si>
  <si>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</si>
  <si>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</si>
  <si>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</si>
  <si>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</si>
  <si>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</si>
  <si>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</si>
  <si>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</si>
  <si>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</si>
  <si>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</si>
  <si>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</si>
  <si>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</si>
  <si>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</si>
  <si>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</si>
  <si>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</si>
  <si>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</si>
  <si>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</si>
  <si>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</si>
  <si>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</si>
  <si>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</si>
  <si>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</si>
  <si>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</si>
  <si>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</si>
  <si>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</si>
  <si>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</si>
  <si>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</si>
  <si>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</si>
  <si>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</si>
  <si>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</si>
  <si>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</si>
  <si>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</si>
  <si>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</si>
  <si>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</si>
  <si>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</si>
  <si>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</si>
  <si>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</si>
  <si>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</si>
  <si>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</si>
  <si>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</si>
  <si>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</si>
  <si>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</si>
  <si>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</si>
  <si>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</si>
  <si>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</si>
  <si>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</si>
  <si>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</si>
  <si>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</si>
  <si>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</si>
  <si>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</si>
  <si>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</si>
  <si>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</si>
  <si>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</si>
  <si>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</si>
  <si>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</si>
  <si>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</si>
  <si>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</si>
  <si>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</si>
  <si>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</si>
  <si>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</si>
  <si>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</si>
  <si>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</si>
  <si>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</si>
  <si>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</si>
  <si>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</si>
  <si>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</si>
  <si>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</si>
  <si>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</si>
  <si>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</si>
  <si>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</si>
  <si>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</si>
  <si>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</si>
  <si>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</si>
  <si>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</si>
  <si>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</si>
  <si>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</si>
  <si>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</si>
  <si>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</si>
  <si>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</si>
  <si>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</si>
  <si>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</si>
  <si>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</si>
  <si>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</si>
  <si>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</si>
  <si>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</si>
  <si>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</si>
  <si>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</si>
  <si>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</si>
  <si>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</si>
  <si>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</si>
  <si>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</si>
  <si>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</si>
  <si>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</si>
  <si>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</si>
  <si>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</si>
  <si>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</si>
  <si>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</si>
  <si>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</si>
  <si>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</si>
  <si>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</si>
  <si>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</si>
  <si>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</si>
  <si>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</si>
  <si>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</si>
  <si>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</si>
  <si>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</si>
  <si>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</si>
  <si>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</si>
  <si>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</si>
  <si>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</si>
  <si>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</si>
  <si>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</si>
  <si>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</si>
  <si>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</si>
  <si>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</si>
  <si>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</si>
  <si>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</si>
  <si>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</si>
  <si>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</si>
  <si>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</si>
  <si>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</si>
  <si>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</si>
  <si>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</si>
  <si>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</si>
  <si>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</si>
  <si>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</si>
  <si>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</si>
  <si>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</si>
  <si>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</si>
  <si>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</si>
  <si>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</si>
  <si>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</si>
  <si>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</si>
  <si>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</si>
  <si>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</si>
  <si>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</si>
  <si>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</si>
  <si>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</si>
  <si>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</si>
  <si>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</si>
  <si>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</si>
  <si>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</si>
  <si>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</si>
  <si>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</si>
  <si>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</si>
  <si>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</si>
  <si>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</si>
  <si>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</si>
  <si>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</si>
  <si>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</si>
  <si>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</si>
  <si>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</si>
  <si>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</si>
  <si>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</si>
  <si>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</si>
  <si>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</si>
  <si>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</si>
  <si>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</si>
  <si>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</si>
  <si>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</si>
  <si>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</si>
  <si>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</si>
  <si>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</si>
  <si>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</si>
  <si>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</si>
  <si>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</si>
  <si>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</si>
  <si>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</si>
  <si>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</si>
  <si>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</si>
  <si>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</si>
  <si>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</si>
  <si>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</si>
  <si>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</si>
  <si>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</si>
  <si>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</si>
  <si>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</si>
  <si>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</si>
  <si>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</si>
  <si>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</si>
  <si>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</si>
  <si>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</si>
  <si>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</si>
  <si>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</si>
  <si>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</si>
  <si>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</si>
  <si>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</si>
  <si>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</si>
  <si>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</si>
  <si>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</si>
  <si>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</si>
  <si>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</si>
  <si>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</si>
  <si>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</si>
  <si>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</si>
  <si>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</si>
  <si>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</si>
  <si>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</si>
  <si>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</si>
  <si>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</si>
  <si>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</si>
  <si>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</si>
  <si>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</si>
  <si>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</si>
  <si>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</si>
  <si>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</si>
  <si>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</si>
  <si>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</si>
  <si>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</si>
  <si>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</si>
  <si>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</si>
  <si>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</si>
  <si>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</si>
  <si>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</si>
  <si>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</si>
  <si>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</si>
  <si>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</si>
  <si>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</si>
  <si>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</si>
  <si>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</si>
  <si>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</si>
  <si>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</si>
  <si>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</si>
  <si>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</si>
  <si>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</si>
  <si>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</si>
  <si>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</si>
  <si>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</si>
  <si>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</si>
  <si>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</si>
  <si>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</si>
  <si>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</si>
  <si>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</si>
  <si>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</si>
  <si>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</si>
  <si>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</si>
  <si>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</si>
  <si>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</si>
  <si>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</si>
  <si>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</si>
  <si>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</si>
  <si>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</si>
  <si>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</si>
  <si>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</si>
  <si>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</si>
  <si>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</si>
  <si>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</si>
  <si>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</si>
  <si>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</si>
  <si>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</si>
  <si>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</si>
  <si>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</si>
  <si>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</si>
  <si>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</si>
  <si>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</si>
  <si>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</si>
  <si>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</si>
  <si>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</si>
  <si>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</si>
  <si>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</si>
  <si>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</si>
  <si>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</si>
  <si>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</si>
  <si>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</si>
  <si>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</si>
  <si>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</si>
  <si>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</si>
  <si>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</si>
  <si>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</si>
  <si>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</si>
  <si>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</si>
  <si>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</si>
  <si>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</si>
  <si>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</si>
  <si>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</si>
  <si>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</si>
  <si>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</si>
  <si>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</si>
  <si>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</si>
  <si>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</si>
  <si>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</si>
  <si>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</si>
  <si>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</si>
  <si>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</si>
  <si>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</si>
  <si>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</si>
  <si>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</si>
  <si>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</si>
  <si>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</si>
  <si>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</si>
  <si>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</si>
  <si>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</si>
  <si>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</si>
  <si>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</si>
  <si>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</si>
  <si>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</si>
  <si>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</si>
  <si>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</si>
  <si>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</si>
  <si>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</si>
  <si>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</si>
  <si>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</si>
  <si>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</si>
  <si>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</si>
  <si>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</si>
  <si>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</si>
  <si>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</si>
  <si>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</si>
  <si>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</si>
  <si>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</si>
  <si>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</si>
  <si>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</si>
  <si>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</si>
  <si>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</si>
  <si>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</si>
  <si>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</si>
  <si>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</si>
  <si>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</si>
  <si>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</si>
  <si>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</si>
  <si>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</si>
  <si>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</si>
  <si>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</si>
  <si>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</si>
  <si>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</si>
  <si>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</si>
  <si>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</si>
  <si>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</si>
  <si>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</si>
  <si>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</si>
  <si>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</si>
  <si>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</si>
  <si>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</si>
  <si>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</si>
  <si>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</si>
  <si>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</si>
  <si>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</si>
  <si>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</si>
  <si>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</si>
  <si>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</si>
  <si>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</si>
  <si>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</si>
  <si>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</si>
  <si>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</si>
  <si>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</si>
  <si>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</si>
  <si>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</si>
  <si>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</si>
  <si>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</si>
  <si>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</si>
  <si>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</si>
  <si>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</si>
  <si>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</si>
  <si>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</si>
  <si>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</si>
  <si>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</si>
  <si>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</si>
  <si>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</si>
  <si>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</si>
  <si>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</si>
  <si>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</si>
  <si>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</si>
  <si>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</si>
  <si>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</si>
  <si>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</si>
  <si>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</si>
  <si>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</si>
  <si>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</si>
  <si>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</si>
  <si>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</si>
  <si>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</si>
  <si>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</si>
  <si>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</si>
  <si>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</si>
  <si>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</si>
  <si>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</si>
  <si>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</si>
  <si>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</si>
  <si>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</si>
  <si>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</si>
  <si>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</si>
  <si>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</si>
  <si>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</si>
  <si>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</si>
  <si>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</si>
  <si>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</si>
  <si>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</si>
  <si>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</si>
  <si>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</si>
  <si>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</si>
  <si>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</si>
  <si>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</si>
  <si>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</si>
  <si>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</si>
  <si>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</si>
  <si>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</si>
  <si>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</si>
  <si>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</si>
  <si>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</si>
  <si>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</si>
  <si>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</si>
  <si>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</si>
  <si>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</si>
  <si>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</si>
  <si>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</si>
  <si>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</si>
  <si>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</si>
  <si>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</si>
  <si>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</si>
  <si>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</si>
  <si>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</si>
  <si>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</si>
  <si>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</si>
  <si>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</si>
  <si>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</si>
  <si>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</si>
  <si>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</si>
  <si>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</si>
  <si>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</si>
  <si>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</si>
  <si>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</si>
  <si>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</si>
  <si>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</si>
  <si>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</si>
  <si>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</si>
  <si>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</si>
  <si>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</si>
  <si>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</si>
  <si>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</si>
  <si>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</si>
  <si>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</si>
  <si>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</si>
  <si>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</si>
  <si>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</si>
  <si>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</si>
  <si>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</si>
  <si>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</si>
  <si>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</si>
  <si>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</si>
  <si>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</si>
  <si>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</si>
  <si>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</si>
  <si>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</si>
  <si>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</si>
  <si>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</si>
  <si>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</si>
  <si>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</si>
  <si>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</si>
  <si>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</si>
  <si>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</si>
  <si>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</si>
  <si>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</si>
  <si>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</si>
  <si>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</si>
  <si>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</si>
  <si>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</si>
  <si>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</si>
  <si>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</si>
  <si>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</si>
  <si>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</si>
  <si>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</si>
  <si>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</si>
  <si>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</si>
  <si>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</si>
  <si>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</si>
  <si>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</si>
  <si>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</si>
  <si>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</si>
  <si>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</si>
  <si>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</si>
  <si>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</si>
  <si>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</si>
  <si>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</si>
  <si>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</si>
  <si>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</si>
  <si>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</si>
  <si>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</si>
  <si>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</si>
  <si>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</si>
  <si>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</si>
  <si>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</si>
  <si>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</si>
  <si>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</si>
  <si>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</si>
  <si>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</si>
  <si>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</si>
  <si>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</si>
  <si>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</si>
  <si>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</si>
  <si>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</si>
  <si>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</si>
  <si>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</si>
  <si>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</si>
  <si>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</si>
  <si>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</si>
  <si>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</si>
  <si>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</si>
  <si>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</si>
  <si>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</si>
  <si>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</si>
  <si>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</si>
  <si>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</si>
  <si>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</si>
  <si>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</si>
  <si>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</si>
  <si>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</si>
  <si>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</si>
  <si>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</si>
  <si>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</si>
  <si>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</si>
  <si>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</si>
  <si>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</si>
  <si>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</si>
  <si>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</si>
  <si>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</si>
  <si>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</si>
  <si>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</si>
  <si>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</si>
  <si>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</si>
  <si>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</si>
  <si>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</si>
  <si>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</si>
  <si>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</si>
  <si>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</si>
  <si>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</si>
  <si>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</si>
  <si>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</si>
  <si>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</si>
  <si>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</si>
  <si>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</si>
  <si>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</si>
  <si>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</si>
  <si>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</si>
  <si>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</si>
  <si>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</si>
  <si>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</si>
  <si>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</si>
  <si>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</si>
  <si>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</si>
  <si>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</si>
  <si>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</si>
  <si>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</si>
  <si>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</si>
  <si>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</si>
  <si>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</si>
  <si>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</si>
  <si>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</si>
  <si>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</si>
  <si>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</si>
  <si>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</si>
  <si>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</si>
  <si>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</si>
  <si>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</si>
  <si>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</si>
  <si>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</si>
  <si>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</si>
  <si>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</si>
  <si>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</si>
  <si>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</si>
  <si>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</si>
  <si>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</si>
  <si>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</si>
  <si>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</si>
  <si>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</si>
  <si>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</si>
  <si>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</si>
  <si>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</si>
  <si>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</si>
  <si>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</si>
  <si>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</si>
  <si>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</si>
  <si>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</si>
  <si>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</si>
  <si>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</si>
  <si>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</si>
  <si>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</si>
  <si>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</si>
  <si>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</si>
  <si>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</si>
  <si>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</si>
  <si>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</si>
  <si>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</si>
  <si>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</si>
  <si>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</si>
  <si>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</si>
  <si>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</si>
  <si>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</si>
  <si>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</si>
  <si>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</si>
  <si>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</si>
  <si>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</si>
  <si>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</si>
  <si>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</si>
  <si>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</si>
  <si>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</si>
  <si>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</si>
  <si>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</si>
  <si>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</si>
  <si>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</si>
  <si>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</si>
  <si>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</si>
  <si>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</si>
  <si>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</si>
  <si>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</si>
  <si>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</si>
  <si>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</si>
  <si>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</si>
  <si>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</si>
  <si>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</si>
  <si>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</si>
  <si>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</si>
  <si>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</si>
  <si>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</si>
  <si>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</si>
  <si>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</si>
  <si>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</si>
  <si>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</si>
  <si>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</si>
  <si>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</si>
  <si>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</si>
  <si>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</si>
  <si>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</si>
  <si>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</si>
  <si>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</si>
  <si>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</si>
  <si>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</si>
  <si>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</si>
  <si>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</si>
  <si>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</si>
  <si>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</si>
  <si>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</si>
  <si>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</si>
  <si>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</si>
  <si>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</si>
  <si>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</si>
  <si>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</si>
  <si>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</si>
  <si>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</si>
  <si>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</si>
  <si>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</si>
  <si>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</si>
  <si>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</si>
  <si>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</si>
  <si>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</si>
  <si>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</si>
  <si>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</si>
  <si>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</si>
  <si>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</si>
  <si>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</si>
  <si>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</si>
  <si>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</si>
  <si>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</si>
  <si>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</si>
  <si>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</si>
  <si>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</si>
  <si>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</si>
  <si>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</si>
  <si>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</si>
  <si>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</si>
  <si>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</si>
  <si>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</si>
  <si>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</si>
  <si>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</si>
  <si>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</si>
  <si>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</si>
  <si>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</si>
  <si>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</si>
  <si>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</si>
  <si>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</si>
  <si>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</si>
  <si>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</si>
  <si>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</si>
  <si>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</si>
  <si>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</si>
  <si>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</si>
  <si>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</si>
  <si>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</si>
  <si>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</si>
  <si>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</si>
  <si>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</si>
  <si>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</si>
  <si>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</si>
  <si>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</si>
  <si>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</si>
  <si>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</si>
  <si>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</si>
  <si>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</si>
  <si>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</si>
  <si>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</si>
  <si>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</si>
  <si>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</si>
  <si>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</si>
  <si>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</si>
  <si>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</si>
  <si>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</si>
  <si>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</si>
  <si>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</si>
  <si>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</si>
  <si>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</si>
  <si>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</si>
  <si>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</si>
  <si>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</si>
  <si>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</si>
  <si>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</si>
  <si>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</si>
  <si>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</si>
  <si>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</si>
  <si>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</si>
  <si>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</si>
  <si>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</si>
  <si>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</si>
  <si>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</si>
  <si>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</si>
  <si>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</si>
  <si>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</si>
  <si>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</si>
  <si>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</si>
  <si>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</si>
  <si>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</si>
  <si>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</si>
  <si>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</si>
  <si>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</si>
  <si>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</si>
  <si>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</si>
  <si>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</si>
  <si>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</si>
  <si>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</si>
  <si>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</si>
  <si>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</si>
  <si>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</si>
  <si>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</si>
  <si>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</si>
  <si>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</si>
  <si>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</si>
  <si>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</si>
  <si>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</si>
  <si>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</si>
  <si>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</si>
  <si>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</si>
  <si>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</si>
  <si>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</si>
  <si>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</si>
  <si>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</si>
  <si>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</si>
  <si>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</si>
  <si>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</si>
  <si>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</si>
  <si>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</si>
  <si>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</si>
  <si>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</si>
  <si>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</si>
  <si>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</si>
  <si>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</si>
  <si>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</si>
  <si>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</si>
  <si>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</si>
  <si>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</si>
  <si>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</si>
  <si>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</si>
  <si>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</si>
  <si>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</si>
  <si>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</si>
  <si>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</si>
  <si>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</si>
  <si>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</si>
  <si>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</si>
  <si>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</si>
  <si>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</si>
  <si>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</si>
  <si>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</si>
  <si>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</si>
  <si>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</si>
  <si>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</si>
  <si>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</si>
  <si>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</si>
  <si>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</si>
  <si>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</si>
  <si>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</si>
  <si>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</si>
  <si>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</si>
  <si>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</si>
  <si>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</si>
  <si>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</si>
  <si>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</si>
  <si>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</si>
  <si>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</si>
  <si>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</si>
  <si>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</si>
  <si>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</si>
  <si>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</si>
  <si>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</si>
  <si>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</si>
  <si>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</si>
  <si>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</si>
  <si>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</si>
  <si>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</si>
  <si>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</si>
  <si>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</si>
  <si>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</si>
  <si>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</si>
  <si>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</si>
  <si>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</si>
  <si>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</si>
  <si>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</si>
  <si>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</si>
  <si>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</si>
  <si>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</si>
  <si>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</si>
  <si>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</si>
  <si>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</si>
  <si>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</si>
  <si>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</si>
  <si>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</si>
  <si>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</si>
  <si>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</si>
  <si>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</si>
  <si>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</si>
  <si>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</si>
  <si>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</si>
  <si>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</si>
  <si>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</si>
  <si>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</si>
  <si>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</si>
  <si>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</si>
  <si>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</si>
  <si>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</si>
  <si>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</si>
  <si>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</si>
  <si>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</si>
  <si>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</si>
  <si>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</si>
  <si>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</si>
  <si>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</si>
  <si>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</si>
  <si>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</si>
  <si>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</si>
  <si>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</si>
  <si>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</si>
  <si>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</si>
  <si>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</si>
  <si>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</si>
  <si>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</si>
  <si>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</si>
  <si>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</si>
  <si>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</si>
  <si>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</si>
  <si>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</si>
  <si>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</si>
  <si>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</si>
  <si>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</si>
  <si>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</si>
  <si>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</si>
  <si>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</si>
  <si>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</si>
  <si>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</si>
  <si>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</si>
  <si>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</si>
  <si>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</si>
  <si>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</si>
  <si>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</si>
  <si>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</si>
  <si>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</si>
  <si>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</si>
  <si>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</si>
  <si>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</si>
  <si>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</si>
  <si>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</si>
  <si>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</si>
  <si>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</si>
  <si>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</si>
  <si>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</si>
  <si>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</si>
  <si>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</si>
  <si>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</si>
  <si>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</si>
  <si>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</si>
  <si>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</si>
  <si>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</si>
  <si>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</si>
  <si>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</si>
  <si>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</si>
  <si>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</si>
  <si>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</si>
  <si>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</si>
  <si>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</si>
  <si>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</si>
  <si>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</si>
  <si>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</si>
  <si>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</si>
  <si>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</si>
  <si>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</si>
  <si>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</si>
  <si>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</si>
  <si>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</si>
  <si>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</si>
  <si>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</si>
  <si>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</si>
  <si>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</si>
  <si>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</si>
  <si>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</si>
  <si>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</si>
  <si>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</si>
  <si>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</si>
  <si>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</si>
  <si>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</si>
  <si>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</si>
  <si>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</si>
  <si>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</si>
  <si>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</si>
  <si>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</si>
  <si>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</si>
  <si>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</si>
  <si>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</si>
  <si>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</si>
  <si>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</si>
  <si>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</si>
  <si>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</si>
  <si>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</si>
  <si>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</si>
  <si>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</si>
  <si>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</si>
  <si>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</si>
  <si>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</si>
  <si>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</si>
  <si>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</si>
  <si>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</si>
  <si>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</si>
  <si>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</si>
  <si>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</si>
  <si>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</si>
  <si>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</si>
  <si>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</si>
  <si>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</si>
  <si>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</si>
  <si>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</si>
  <si>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</si>
  <si>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</si>
  <si>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</si>
  <si>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</si>
  <si>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</si>
  <si>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</si>
  <si>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</si>
  <si>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</si>
  <si>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</si>
  <si>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</si>
  <si>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</si>
  <si>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</si>
  <si>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</si>
  <si>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</si>
  <si>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</si>
  <si>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</si>
  <si>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</si>
  <si>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</si>
  <si>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</si>
  <si>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</si>
  <si>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</si>
  <si>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</si>
  <si>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</si>
  <si>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</si>
  <si>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</si>
  <si>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</si>
  <si>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</si>
  <si>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</si>
  <si>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</si>
  <si>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</si>
  <si>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</si>
  <si>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</si>
  <si>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</si>
  <si>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</si>
  <si>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</si>
  <si>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</si>
  <si>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</si>
  <si>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</si>
  <si>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</si>
  <si>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</si>
  <si>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</si>
  <si>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</si>
  <si>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</si>
  <si>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</si>
  <si>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</si>
  <si>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</si>
  <si>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</si>
  <si>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</si>
  <si>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</si>
  <si>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</si>
  <si>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</si>
  <si>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</si>
  <si>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</si>
  <si>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</si>
  <si>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</si>
  <si>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</si>
  <si>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</si>
  <si>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</si>
  <si>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</si>
  <si>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</si>
  <si>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</si>
  <si>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</si>
  <si>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</si>
  <si>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</si>
  <si>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</si>
  <si>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</si>
  <si>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</si>
  <si>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</si>
  <si>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</si>
  <si>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</si>
  <si>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</si>
  <si>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</si>
  <si>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</si>
  <si>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</si>
  <si>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</si>
  <si>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</si>
  <si>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</si>
  <si>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</si>
  <si>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</si>
  <si>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</si>
  <si>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</si>
  <si>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</si>
  <si>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</si>
  <si>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</si>
  <si>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</si>
  <si>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</si>
  <si>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</si>
  <si>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</si>
  <si>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</si>
  <si>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</si>
  <si>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</si>
  <si>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</si>
  <si>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</si>
  <si>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</si>
  <si>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</si>
  <si>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</si>
  <si>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</si>
  <si>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</si>
  <si>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</si>
  <si>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</si>
  <si>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</si>
  <si>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</si>
  <si>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</si>
  <si>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</si>
  <si>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</si>
  <si>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</si>
  <si>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</si>
  <si>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</si>
  <si>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</si>
  <si>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</si>
  <si>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</si>
  <si>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</si>
  <si>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</si>
  <si>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</si>
  <si>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</si>
  <si>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</si>
  <si>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</si>
  <si>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</si>
  <si>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</si>
  <si>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</si>
  <si>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</si>
  <si>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</si>
  <si>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</si>
  <si>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</si>
  <si>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</si>
  <si>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</si>
  <si>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</si>
  <si>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</si>
  <si>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</si>
  <si>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</si>
  <si>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</si>
  <si>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</si>
  <si>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</si>
  <si>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</si>
  <si>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</si>
  <si>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</si>
  <si>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</si>
  <si>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</si>
  <si>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</si>
  <si>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</si>
  <si>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</si>
  <si>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</si>
  <si>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</si>
  <si>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</si>
  <si>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</si>
  <si>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</si>
  <si>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</si>
  <si>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</si>
  <si>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</si>
  <si>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</si>
  <si>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</si>
  <si>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</si>
  <si>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</si>
  <si>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</si>
  <si>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</si>
  <si>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</si>
  <si>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</si>
  <si>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</si>
  <si>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</si>
  <si>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</si>
  <si>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</si>
  <si>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</si>
  <si>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</si>
  <si>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</si>
  <si>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</si>
  <si>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</si>
  <si>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</si>
  <si>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</si>
  <si>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</si>
  <si>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</si>
  <si>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</si>
  <si>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</si>
  <si>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</si>
  <si>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</si>
  <si>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</si>
  <si>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</si>
  <si>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</si>
  <si>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</si>
  <si>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</si>
  <si>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</si>
  <si>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</si>
  <si>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</si>
  <si>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</si>
  <si>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</si>
  <si>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</si>
  <si>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</si>
  <si>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</si>
  <si>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</si>
  <si>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</si>
  <si>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</si>
  <si>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</si>
  <si>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</si>
  <si>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</si>
  <si>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</si>
  <si>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</si>
  <si>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</si>
  <si>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</si>
  <si>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</si>
  <si>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</si>
  <si>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</si>
  <si>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</si>
  <si>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</si>
  <si>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</si>
  <si>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</si>
  <si>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</si>
  <si>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</si>
  <si>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</si>
  <si>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</si>
  <si>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</si>
  <si>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</si>
  <si>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</si>
  <si>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</si>
  <si>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</si>
  <si>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</si>
  <si>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</si>
  <si>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</si>
  <si>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</si>
  <si>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</si>
  <si>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</si>
  <si>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</si>
  <si>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</si>
  <si>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</si>
  <si>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</si>
  <si>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</si>
  <si>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</si>
  <si>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</si>
  <si>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</si>
  <si>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</si>
  <si>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</si>
  <si>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</si>
  <si>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</si>
  <si>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</si>
  <si>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</si>
  <si>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</si>
  <si>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</si>
  <si>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</si>
  <si>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</si>
  <si>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</si>
  <si>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</si>
  <si>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</si>
  <si>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</si>
  <si>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</si>
  <si>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</si>
  <si>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</si>
  <si>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</si>
  <si>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</si>
  <si>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</si>
  <si>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</si>
  <si>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</si>
  <si>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</si>
  <si>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</si>
  <si>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</si>
  <si>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</si>
  <si>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</si>
  <si>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</si>
  <si>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</si>
  <si>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</si>
  <si>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</si>
  <si>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</si>
  <si>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</si>
  <si>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</si>
  <si>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</si>
  <si>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</si>
  <si>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</si>
  <si>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</si>
  <si>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</si>
  <si>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</si>
  <si>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</si>
  <si>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</si>
  <si>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</si>
  <si>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</si>
  <si>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</si>
  <si>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</si>
  <si>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</si>
  <si>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</si>
  <si>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</si>
  <si>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</si>
  <si>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</si>
  <si>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</si>
  <si>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</si>
  <si>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</si>
  <si>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</si>
  <si>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</si>
  <si>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</si>
  <si>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</si>
  <si>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</si>
  <si>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</si>
  <si>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</si>
  <si>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</si>
  <si>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</si>
  <si>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</si>
  <si>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</si>
  <si>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</si>
  <si>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</si>
  <si>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</si>
  <si>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</si>
  <si>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</si>
  <si>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</si>
  <si>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</si>
  <si>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</si>
  <si>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</si>
  <si>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</si>
  <si>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</si>
  <si>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</si>
  <si>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</si>
  <si>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</si>
  <si>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</si>
  <si>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</si>
  <si>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</si>
  <si>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</si>
  <si>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</si>
  <si>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</si>
  <si>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</si>
  <si>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</si>
  <si>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</si>
  <si>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</si>
  <si>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</si>
  <si>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</si>
  <si>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</si>
  <si>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</si>
  <si>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</si>
  <si>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</si>
  <si>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</si>
  <si>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</si>
  <si>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</si>
  <si>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</si>
  <si>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</si>
  <si>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</si>
  <si>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</si>
  <si>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</si>
  <si>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</si>
  <si>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</si>
  <si>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</si>
  <si>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</si>
  <si>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</si>
  <si>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</si>
  <si>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</si>
  <si>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</si>
  <si>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</si>
  <si>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</si>
  <si>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</si>
  <si>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</si>
  <si>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</si>
  <si>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</si>
  <si>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</si>
  <si>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</si>
  <si>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</si>
  <si>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</si>
  <si>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</si>
  <si>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</si>
  <si>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</si>
  <si>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</si>
  <si>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</si>
  <si>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</si>
  <si>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</si>
  <si>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</si>
  <si>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</si>
  <si>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</si>
  <si>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</si>
  <si>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</si>
  <si>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</si>
  <si>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</si>
  <si>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</si>
  <si>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</si>
  <si>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</si>
  <si>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</si>
  <si>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</si>
  <si>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</si>
  <si>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</si>
  <si>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</si>
  <si>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</si>
  <si>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</si>
  <si>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</si>
  <si>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</si>
  <si>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</si>
  <si>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</si>
  <si>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</si>
  <si>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</si>
  <si>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</si>
  <si>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</si>
  <si>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</si>
  <si>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</si>
  <si>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</si>
  <si>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</si>
  <si>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</si>
  <si>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</si>
  <si>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</si>
  <si>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</si>
  <si>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</si>
  <si>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</si>
  <si>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</si>
  <si>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</si>
  <si>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</si>
  <si>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</si>
  <si>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</si>
  <si>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</si>
  <si>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</si>
  <si>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</si>
  <si>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</si>
  <si>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</si>
  <si>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</si>
  <si>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</si>
  <si>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</si>
  <si>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</si>
  <si>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</si>
  <si>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</si>
  <si>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</si>
  <si>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</si>
  <si>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</si>
  <si>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</si>
  <si>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</si>
  <si>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</si>
  <si>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</si>
  <si>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</si>
  <si>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</si>
  <si>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</si>
  <si>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</si>
  <si>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</si>
  <si>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</si>
  <si>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</si>
  <si>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</si>
  <si>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</si>
  <si>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</si>
  <si>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</si>
  <si>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</si>
  <si>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</si>
  <si>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</si>
  <si>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</si>
  <si>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</si>
  <si>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</si>
  <si>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</si>
  <si>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</si>
  <si>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</si>
  <si>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</si>
  <si>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</si>
  <si>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</si>
  <si>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</si>
  <si>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</si>
  <si>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</si>
  <si>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</si>
  <si>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</si>
  <si>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</si>
  <si>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</si>
  <si>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</si>
  <si>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</si>
  <si>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</si>
  <si>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</si>
  <si>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</si>
  <si>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</si>
  <si>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</si>
  <si>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</si>
  <si>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</si>
  <si>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</si>
  <si>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</si>
  <si>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</si>
  <si>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</si>
  <si>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</si>
  <si>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</si>
  <si>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</si>
  <si>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</si>
  <si>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</si>
  <si>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</si>
  <si>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</si>
  <si>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</si>
  <si>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</si>
  <si>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</si>
  <si>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</si>
  <si>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</si>
  <si>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</si>
  <si>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</si>
  <si>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</si>
  <si>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</si>
  <si>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</si>
  <si>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</si>
  <si>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</si>
  <si>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</si>
  <si>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</si>
  <si>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</si>
  <si>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</si>
  <si>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</si>
  <si>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</si>
  <si>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</si>
  <si>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</si>
  <si>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</si>
  <si>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</si>
  <si>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</si>
  <si>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</si>
  <si>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</si>
  <si>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</si>
  <si>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</si>
  <si>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</si>
  <si>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</si>
  <si>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</si>
  <si>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</si>
  <si>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</si>
  <si>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</si>
  <si>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</si>
  <si>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</si>
  <si>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</si>
  <si>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</si>
  <si>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</si>
  <si>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</si>
  <si>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</si>
  <si>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</si>
  <si>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</si>
  <si>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</si>
  <si>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</si>
  <si>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</si>
  <si>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</si>
  <si>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</si>
  <si>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</si>
  <si>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</si>
  <si>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</si>
  <si>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</si>
  <si>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</si>
  <si>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</si>
  <si>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</si>
  <si>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</si>
  <si>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</si>
  <si>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</si>
  <si>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</si>
  <si>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</si>
  <si>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</si>
  <si>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</si>
  <si>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</si>
  <si>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</si>
  <si>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</si>
  <si>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</si>
  <si>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</si>
  <si>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</si>
  <si>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</si>
  <si>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</si>
  <si>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</si>
  <si>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</si>
  <si>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</si>
  <si>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</si>
  <si>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</si>
  <si>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</si>
  <si>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</si>
  <si>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</si>
  <si>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</si>
  <si>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</si>
  <si>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</si>
  <si>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</si>
  <si>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</si>
  <si>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</si>
  <si>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</si>
  <si>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</si>
  <si>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</si>
  <si>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</si>
  <si>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</si>
  <si>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</si>
  <si>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</si>
  <si>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</si>
  <si>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</si>
  <si>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</si>
  <si>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</si>
  <si>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</si>
  <si>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</si>
  <si>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</si>
  <si>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</si>
  <si>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</si>
  <si>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</si>
  <si>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</si>
  <si>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</si>
  <si>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</si>
  <si>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</si>
  <si>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</si>
  <si>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</si>
  <si>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</si>
  <si>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</si>
  <si>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</si>
  <si>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</si>
  <si>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</si>
  <si>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</si>
  <si>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</si>
  <si>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</si>
  <si>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</si>
  <si>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</si>
  <si>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</si>
  <si>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</si>
  <si>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</si>
  <si>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</si>
  <si>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</si>
  <si>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</si>
  <si>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</si>
  <si>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</si>
  <si>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</si>
  <si>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</si>
  <si>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</si>
  <si>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</si>
  <si>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</si>
  <si>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</si>
  <si>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</si>
  <si>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</si>
  <si>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</si>
  <si>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</si>
  <si>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</si>
  <si>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</si>
  <si>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</si>
  <si>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</si>
  <si>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</si>
  <si>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</si>
  <si>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</si>
  <si>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</si>
  <si>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</si>
  <si>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</si>
  <si>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</si>
  <si>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</si>
  <si>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</si>
  <si>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</si>
  <si>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</si>
  <si>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</si>
  <si>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</si>
  <si>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</si>
  <si>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</si>
  <si>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</si>
  <si>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</si>
  <si>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</si>
  <si>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</si>
  <si>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</si>
  <si>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</si>
  <si>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</si>
  <si>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</si>
  <si>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</si>
  <si>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</si>
  <si>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</si>
  <si>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</si>
  <si>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</si>
  <si>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</si>
  <si>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</si>
  <si>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</si>
  <si>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</si>
  <si>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</si>
  <si>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</si>
  <si>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</si>
  <si>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</si>
  <si>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</si>
  <si>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</si>
  <si>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</si>
  <si>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</si>
  <si>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</si>
  <si>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</si>
  <si>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</si>
  <si>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</si>
  <si>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</si>
  <si>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</si>
  <si>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</si>
  <si>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</si>
  <si>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</si>
  <si>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</si>
  <si>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</si>
  <si>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</si>
  <si>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</si>
  <si>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</si>
  <si>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</si>
  <si>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</si>
  <si>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</si>
  <si>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</si>
  <si>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</si>
  <si>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</si>
  <si>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</si>
  <si>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</si>
  <si>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</si>
  <si>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</si>
  <si>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</si>
  <si>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</si>
  <si>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</si>
  <si>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</si>
  <si>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</si>
  <si>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</si>
  <si>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</si>
  <si>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</si>
  <si>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</si>
  <si>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</si>
  <si>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</si>
  <si>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</si>
  <si>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</si>
  <si>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</si>
  <si>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</si>
  <si>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</si>
  <si>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</si>
  <si>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</si>
  <si>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</si>
  <si>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</si>
  <si>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</si>
  <si>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</si>
  <si>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</si>
  <si>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</si>
  <si>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</si>
  <si>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</si>
  <si>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</si>
  <si>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</si>
  <si>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</si>
  <si>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</si>
  <si>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</si>
  <si>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</si>
  <si>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</si>
  <si>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</si>
  <si>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</si>
  <si>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</si>
  <si>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</si>
  <si>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</si>
  <si>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</si>
  <si>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</si>
  <si>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</si>
  <si>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</si>
  <si>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</si>
  <si>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</si>
  <si>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</si>
  <si>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</si>
  <si>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</si>
  <si>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</si>
  <si>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</si>
  <si>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</si>
  <si>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</si>
  <si>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</si>
  <si>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</si>
  <si>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</si>
  <si>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</si>
  <si>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</si>
  <si>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</si>
  <si>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</si>
  <si>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</si>
  <si>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</si>
  <si>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</si>
  <si>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</si>
  <si>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</si>
  <si>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</si>
  <si>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</si>
  <si>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</si>
  <si>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</si>
  <si>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</si>
  <si>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</si>
  <si>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</si>
  <si>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</si>
  <si>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</si>
  <si>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</si>
  <si>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</si>
  <si>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</si>
  <si>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</si>
  <si>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</si>
  <si>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</si>
  <si>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</si>
  <si>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</si>
  <si>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</si>
  <si>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</si>
  <si>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</si>
  <si>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</si>
  <si>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</si>
  <si>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</si>
  <si>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</si>
  <si>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</si>
  <si>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</si>
  <si>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</si>
  <si>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</si>
  <si>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</si>
  <si>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</si>
  <si>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</si>
  <si>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</si>
  <si>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</si>
  <si>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</si>
  <si>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</si>
  <si>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</si>
  <si>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</si>
  <si>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</si>
  <si>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</si>
  <si>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</si>
  <si>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</si>
  <si>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</si>
  <si>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</si>
  <si>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</si>
  <si>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</si>
  <si>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</si>
  <si>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</si>
  <si>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</si>
  <si>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</si>
  <si>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</si>
  <si>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</si>
  <si>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</si>
  <si>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</si>
  <si>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</si>
  <si>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</si>
  <si>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</si>
  <si>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</si>
  <si>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</si>
  <si>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</si>
  <si>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</si>
  <si>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</si>
  <si>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</si>
  <si>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</si>
  <si>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</si>
  <si>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</si>
  <si>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</si>
  <si>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</si>
  <si>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</si>
  <si>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</si>
  <si>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</si>
  <si>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</si>
  <si>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</si>
  <si>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</si>
  <si>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</si>
  <si>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</si>
  <si>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</si>
  <si>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</si>
  <si>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</si>
  <si>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</si>
  <si>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</si>
  <si>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</si>
  <si>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</si>
  <si>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</si>
  <si>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</si>
  <si>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</si>
  <si>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</si>
  <si>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</si>
  <si>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</si>
  <si>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</si>
  <si>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</si>
  <si>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</si>
  <si>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</si>
  <si>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</si>
  <si>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</si>
  <si>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</si>
  <si>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</si>
  <si>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</si>
  <si>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</si>
  <si>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</si>
  <si>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</si>
  <si>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</si>
  <si>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</si>
  <si>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</si>
  <si>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</si>
  <si>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</si>
  <si>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</si>
  <si>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</si>
  <si>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</si>
  <si>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</si>
  <si>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</si>
  <si>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</si>
  <si>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</si>
  <si>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</si>
  <si>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</si>
  <si>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</si>
  <si>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</si>
  <si>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</si>
  <si>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</si>
  <si>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</si>
  <si>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</si>
  <si>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</si>
  <si>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</si>
  <si>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</si>
  <si>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</si>
  <si>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</si>
  <si>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</si>
  <si>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</si>
  <si>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</si>
  <si>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</si>
  <si>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</si>
  <si>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</si>
  <si>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</si>
  <si>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</si>
  <si>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</si>
  <si>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</si>
  <si>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</si>
  <si>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</si>
  <si>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</si>
  <si>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</si>
  <si>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</si>
  <si>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</si>
  <si>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</si>
  <si>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</si>
  <si>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</si>
  <si>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</si>
  <si>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</si>
  <si>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</si>
  <si>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</si>
  <si>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</si>
  <si>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</si>
  <si>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</si>
  <si>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</si>
  <si>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</si>
  <si>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</si>
  <si>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</si>
  <si>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</si>
  <si>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</si>
  <si>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</si>
  <si>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</si>
  <si>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</si>
  <si>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</si>
  <si>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</si>
  <si>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</si>
  <si>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</si>
  <si>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</si>
  <si>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</si>
  <si>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</si>
  <si>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</si>
  <si>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</si>
  <si>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</si>
  <si>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</si>
  <si>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</si>
  <si>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</si>
  <si>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</si>
  <si>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</si>
  <si>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</si>
  <si>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</si>
  <si>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</si>
  <si>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</si>
  <si>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</si>
  <si>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</si>
  <si>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</si>
  <si>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</si>
  <si>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</si>
  <si>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</si>
  <si>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</si>
  <si>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</si>
  <si>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</si>
  <si>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</si>
  <si>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</si>
  <si>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</si>
  <si>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</si>
  <si>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</si>
  <si>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</si>
  <si>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</si>
  <si>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</si>
  <si>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</si>
  <si>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</si>
  <si>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</si>
  <si>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</si>
  <si>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</si>
  <si>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</si>
  <si>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</si>
  <si>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</si>
  <si>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</si>
  <si>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</si>
  <si>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</si>
  <si>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</si>
  <si>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</si>
  <si>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</si>
  <si>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</si>
  <si>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</si>
  <si>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</si>
  <si>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</si>
  <si>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</si>
  <si>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</si>
  <si>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</si>
  <si>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</si>
  <si>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</si>
  <si>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</si>
  <si>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</si>
  <si>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</si>
  <si>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</si>
  <si>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</si>
  <si>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</si>
  <si>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</si>
  <si>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</si>
  <si>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</si>
  <si>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</si>
  <si>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</si>
  <si>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</si>
  <si>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</si>
  <si>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</si>
  <si>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</si>
  <si>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</si>
  <si>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</si>
  <si>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</si>
  <si>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</si>
  <si>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</si>
  <si>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</si>
  <si>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</si>
  <si>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</si>
  <si>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</si>
  <si>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</si>
  <si>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</si>
  <si>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</si>
  <si>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</si>
  <si>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</si>
  <si>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</si>
  <si>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</si>
  <si>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</si>
  <si>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</si>
  <si>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</si>
  <si>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</si>
  <si>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</si>
  <si>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</si>
  <si>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</si>
  <si>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</si>
  <si>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</si>
  <si>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</si>
  <si>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</si>
  <si>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</si>
  <si>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</si>
  <si>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</si>
  <si>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</si>
  <si>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</si>
  <si>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</si>
  <si>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</si>
  <si>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</si>
  <si>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</si>
  <si>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</si>
  <si>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</si>
  <si>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</si>
  <si>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</si>
  <si>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</si>
  <si>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</si>
  <si>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</si>
  <si>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</si>
  <si>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</si>
  <si>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</si>
  <si>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</si>
  <si>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</si>
  <si>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</si>
  <si>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</si>
  <si>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</si>
  <si>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</si>
  <si>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</si>
  <si>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</si>
  <si>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</si>
  <si>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</si>
  <si>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</si>
  <si>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</si>
  <si>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</si>
  <si>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</si>
  <si>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</si>
  <si>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</si>
  <si>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</si>
  <si>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</si>
  <si>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</si>
  <si>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</si>
  <si>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</si>
  <si>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</si>
  <si>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</si>
  <si>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</si>
  <si>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</si>
  <si>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</si>
  <si>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</si>
  <si>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</si>
  <si>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</si>
  <si>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</si>
  <si>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</si>
  <si>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</si>
  <si>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</si>
  <si>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</si>
  <si>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</si>
  <si>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</si>
  <si>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</si>
  <si>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</si>
  <si>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</si>
  <si>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</si>
  <si>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</si>
  <si>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</si>
  <si>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</si>
  <si>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</si>
  <si>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</si>
  <si>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</si>
  <si>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</si>
  <si>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</si>
  <si>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</si>
  <si>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</si>
  <si>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</si>
  <si>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</si>
  <si>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</si>
  <si>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</si>
  <si>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</si>
  <si>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</si>
  <si>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</si>
  <si>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</si>
  <si>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</si>
  <si>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</si>
  <si>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</si>
  <si>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</si>
  <si>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</si>
  <si>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</si>
  <si>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</si>
  <si>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</si>
  <si>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</si>
  <si>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</si>
  <si>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</si>
  <si>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</si>
  <si>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</si>
  <si>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</si>
  <si>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</si>
  <si>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</si>
  <si>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</si>
  <si>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</si>
  <si>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</si>
  <si>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</si>
  <si>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</si>
  <si>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</si>
  <si>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</si>
  <si>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</si>
  <si>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</si>
  <si>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</si>
  <si>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</si>
  <si>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</si>
  <si>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</si>
  <si>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</si>
  <si>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</si>
  <si>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</si>
  <si>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</si>
  <si>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</si>
  <si>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</si>
  <si>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</si>
  <si>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</si>
  <si>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</si>
  <si>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</si>
  <si>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</si>
  <si>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</si>
  <si>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</si>
  <si>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</si>
  <si>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</si>
  <si>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</si>
  <si>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</si>
  <si>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</si>
  <si>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</si>
  <si>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</si>
  <si>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</si>
  <si>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</si>
  <si>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</si>
  <si>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</si>
  <si>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</si>
  <si>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</si>
  <si>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</si>
  <si>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</si>
  <si>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</si>
  <si>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</si>
  <si>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</si>
  <si>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</si>
  <si>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</si>
  <si>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</si>
  <si>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</si>
  <si>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</si>
  <si>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</si>
  <si>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</si>
  <si>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</si>
  <si>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</si>
  <si>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</si>
  <si>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</si>
  <si>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</si>
  <si>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</si>
  <si>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</si>
  <si>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</si>
  <si>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</si>
  <si>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</si>
  <si>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</si>
  <si>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</si>
  <si>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</si>
  <si>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</si>
  <si>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</si>
  <si>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</si>
  <si>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</si>
  <si>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</si>
  <si>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</si>
  <si>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</si>
  <si>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</si>
  <si>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</si>
  <si>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</si>
  <si>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</si>
  <si>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</si>
  <si>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</si>
  <si>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</si>
  <si>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</si>
  <si>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</si>
  <si>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</si>
  <si>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</si>
  <si>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</si>
  <si>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</si>
  <si>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</si>
  <si>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</si>
  <si>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</si>
  <si>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</si>
  <si>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</si>
  <si>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</si>
  <si>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</si>
  <si>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</si>
  <si>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</si>
  <si>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</si>
  <si>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</si>
  <si>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</si>
  <si>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</si>
  <si>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</si>
  <si>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</si>
  <si>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</si>
  <si>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</si>
  <si>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</si>
  <si>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</si>
  <si>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</si>
  <si>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</si>
  <si>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</si>
  <si>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</si>
  <si>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</si>
  <si>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</si>
  <si>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</si>
  <si>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</si>
  <si>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</si>
  <si>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</si>
  <si>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</si>
  <si>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</si>
  <si>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</si>
  <si>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</si>
  <si>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</si>
  <si>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</si>
  <si>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</si>
  <si>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</si>
  <si>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</si>
  <si>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</si>
  <si>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</si>
  <si>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</si>
  <si>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</si>
  <si>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</si>
  <si>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</si>
  <si>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</si>
  <si>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</si>
  <si>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</si>
  <si>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</si>
  <si>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</si>
  <si>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</si>
  <si>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</si>
  <si>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</si>
  <si>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</si>
  <si>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</si>
  <si>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</si>
  <si>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</si>
  <si>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</si>
  <si>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</si>
  <si>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</si>
  <si>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</si>
  <si>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</si>
  <si>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</si>
  <si>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</si>
  <si>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</si>
  <si>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</si>
  <si>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</si>
  <si>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</si>
  <si>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</si>
  <si>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</si>
  <si>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</si>
  <si>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</si>
  <si>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</si>
  <si>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</si>
  <si>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</si>
  <si>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</si>
  <si>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</si>
  <si>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</si>
  <si>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</si>
  <si>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</si>
  <si>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</si>
  <si>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</si>
  <si>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</si>
  <si>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</si>
  <si>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</si>
  <si>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</si>
  <si>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</si>
  <si>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</si>
  <si>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</si>
  <si>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</si>
  <si>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</si>
  <si>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</si>
  <si>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</si>
  <si>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</si>
  <si>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</si>
  <si>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</si>
  <si>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</si>
  <si>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</si>
  <si>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</si>
  <si>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</si>
  <si>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</si>
  <si>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</si>
  <si>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</si>
  <si>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</si>
  <si>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</si>
  <si>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</si>
  <si>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</si>
  <si>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</si>
  <si>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</si>
  <si>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</si>
  <si>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</si>
  <si>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</si>
  <si>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</si>
  <si>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</si>
  <si>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</si>
  <si>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</si>
  <si>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</si>
  <si>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</si>
  <si>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</si>
  <si>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</si>
  <si>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</si>
  <si>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</si>
  <si>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</si>
  <si>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</si>
  <si>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</si>
  <si>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</si>
  <si>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</si>
  <si>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</si>
  <si>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</si>
  <si>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</si>
  <si>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</si>
  <si>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</si>
  <si>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</si>
  <si>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</si>
  <si>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</si>
  <si>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</si>
  <si>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</si>
  <si>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</si>
  <si>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</si>
  <si>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</si>
  <si>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</si>
  <si>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</si>
  <si>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</si>
  <si>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</si>
  <si>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</si>
  <si>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</si>
  <si>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</si>
  <si>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</si>
  <si>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</si>
  <si>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</si>
  <si>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</si>
  <si>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</si>
  <si>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</si>
  <si>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</si>
  <si>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</si>
  <si>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</si>
  <si>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</si>
  <si>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</si>
  <si>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</si>
  <si>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</si>
  <si>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</si>
  <si>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</si>
  <si>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</si>
  <si>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</si>
  <si>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</si>
  <si>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</si>
  <si>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</si>
  <si>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</si>
  <si>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</si>
  <si>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</si>
  <si>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</si>
  <si>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</si>
  <si>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</si>
  <si>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</si>
  <si>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</si>
  <si>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</si>
  <si>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</si>
  <si>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</si>
  <si>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</si>
  <si>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</si>
  <si>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</si>
  <si>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</si>
  <si>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</si>
  <si>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</si>
  <si>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</si>
  <si>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</si>
  <si>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</si>
  <si>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</si>
  <si>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</si>
  <si>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</si>
  <si>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</si>
  <si>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</si>
  <si>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</si>
  <si>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</si>
  <si>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</si>
  <si>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</si>
  <si>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</si>
  <si>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</si>
  <si>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</si>
  <si>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</si>
  <si>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</si>
  <si>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</si>
  <si>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</si>
  <si>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</si>
  <si>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</si>
  <si>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</si>
  <si>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</si>
  <si>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</si>
  <si>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</si>
  <si>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</si>
  <si>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</si>
  <si>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</si>
  <si>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</si>
  <si>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</si>
  <si>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</si>
  <si>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</si>
  <si>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</si>
  <si>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</si>
  <si>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</si>
  <si>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</si>
  <si>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</si>
  <si>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</si>
  <si>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</si>
  <si>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</si>
  <si>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</si>
  <si>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</si>
  <si>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</si>
  <si>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</si>
  <si>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</si>
  <si>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</si>
  <si>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</si>
  <si>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</si>
  <si>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</si>
  <si>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</si>
  <si>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</si>
  <si>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</si>
  <si>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</si>
  <si>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</si>
  <si>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</si>
  <si>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</si>
  <si>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</si>
  <si>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</si>
  <si>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</si>
  <si>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</si>
  <si>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</si>
  <si>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</si>
  <si>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</si>
  <si>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</si>
  <si>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</si>
  <si>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</si>
  <si>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</si>
  <si>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</si>
  <si>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</si>
  <si>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</si>
  <si>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</si>
  <si>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</si>
  <si>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</si>
  <si>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</si>
  <si>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</si>
  <si>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</si>
  <si>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</si>
  <si>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</si>
  <si>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</si>
  <si>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</si>
  <si>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</si>
  <si>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</si>
  <si>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</si>
  <si>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</si>
  <si>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</si>
  <si>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</si>
  <si>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</si>
  <si>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</si>
  <si>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</si>
  <si>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</si>
  <si>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</si>
  <si>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</si>
  <si>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</si>
  <si>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</si>
  <si>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</si>
  <si>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</si>
  <si>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</si>
  <si>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</si>
  <si>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</si>
  <si>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</si>
  <si>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</si>
  <si>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</si>
  <si>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</si>
  <si>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</si>
  <si>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</si>
  <si>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</si>
  <si>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</si>
  <si>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</si>
  <si>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</si>
  <si>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</si>
  <si>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</si>
  <si>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</si>
  <si>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</si>
  <si>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</si>
  <si>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</si>
  <si>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</si>
  <si>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</si>
  <si>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</si>
  <si>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</si>
  <si>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</si>
  <si>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</si>
  <si>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</si>
  <si>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</si>
  <si>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</si>
  <si>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</si>
  <si>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</si>
  <si>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</si>
  <si>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</si>
  <si>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</si>
  <si>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</si>
  <si>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</si>
  <si>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</si>
  <si>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</si>
  <si>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</si>
  <si>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</si>
  <si>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</si>
  <si>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</si>
  <si>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</si>
  <si>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</si>
  <si>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</si>
  <si>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</si>
  <si>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</si>
  <si>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</si>
  <si>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</si>
  <si>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</si>
  <si>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</si>
  <si>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</si>
  <si>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</si>
  <si>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</si>
  <si>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</si>
  <si>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</si>
  <si>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</si>
  <si>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</si>
  <si>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</si>
  <si>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</si>
  <si>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</si>
  <si>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</si>
  <si>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</si>
  <si>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</si>
  <si>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</si>
  <si>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</si>
  <si>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</si>
  <si>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</si>
  <si>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</si>
  <si>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</si>
  <si>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</si>
  <si>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</si>
  <si>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</si>
  <si>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</si>
  <si>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</si>
  <si>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</si>
  <si>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</si>
  <si>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</si>
  <si>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</si>
  <si>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</si>
  <si>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</si>
  <si>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</si>
  <si>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</si>
  <si>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</si>
  <si>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</si>
  <si>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</si>
  <si>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</si>
  <si>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</si>
  <si>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</si>
  <si>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</si>
  <si>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</si>
  <si>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</si>
  <si>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</si>
  <si>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</si>
  <si>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</si>
  <si>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</si>
  <si>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</si>
  <si>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</si>
  <si>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</si>
  <si>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</si>
  <si>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</si>
  <si>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</si>
  <si>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</si>
  <si>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</si>
  <si>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</si>
  <si>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</si>
  <si>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</si>
  <si>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</si>
  <si>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</si>
  <si>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</si>
  <si>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</si>
  <si>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</si>
  <si>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</si>
  <si>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</si>
  <si>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</si>
  <si>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</si>
  <si>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</si>
  <si>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</si>
  <si>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</si>
  <si>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</si>
  <si>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</si>
  <si>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</si>
  <si>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</si>
  <si>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</si>
  <si>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</si>
  <si>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</si>
  <si>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</si>
  <si>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</si>
  <si>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</si>
  <si>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</si>
  <si>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</si>
  <si>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</si>
  <si>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</si>
  <si>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</si>
  <si>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</si>
  <si>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</si>
  <si>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</si>
  <si>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</si>
  <si>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</si>
  <si>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</si>
  <si>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</si>
  <si>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</si>
  <si>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</si>
  <si>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</si>
  <si>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</si>
  <si>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</si>
  <si>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</si>
  <si>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</si>
  <si>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</si>
  <si>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</si>
  <si>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</si>
  <si>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</si>
  <si>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</si>
  <si>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</si>
  <si>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</si>
  <si>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</si>
  <si>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</si>
  <si>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</si>
  <si>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</si>
  <si>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</si>
  <si>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</si>
  <si>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</si>
  <si>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</si>
  <si>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</si>
  <si>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</si>
  <si>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</si>
  <si>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</si>
  <si>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</si>
  <si>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</si>
  <si>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</si>
  <si>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</si>
  <si>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</si>
  <si>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</si>
  <si>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</si>
  <si>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</si>
  <si>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</si>
  <si>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</si>
  <si>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</si>
  <si>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</si>
  <si>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</si>
  <si>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</si>
  <si>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</si>
  <si>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</si>
  <si>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</si>
  <si>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</si>
  <si>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</si>
  <si>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</si>
  <si>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</si>
  <si>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</si>
  <si>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</si>
  <si>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</si>
  <si>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</si>
  <si>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</si>
  <si>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</si>
  <si>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</si>
  <si>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</si>
  <si>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</si>
  <si>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</si>
  <si>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</si>
  <si>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</si>
  <si>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</si>
  <si>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</si>
  <si>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</si>
  <si>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</si>
  <si>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</si>
  <si>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</si>
  <si>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</si>
  <si>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</si>
  <si>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</si>
  <si>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</si>
  <si>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</si>
  <si>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</si>
  <si>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</si>
  <si>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</si>
  <si>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</si>
  <si>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</si>
  <si>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</si>
  <si>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</si>
  <si>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</si>
  <si>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</si>
  <si>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</si>
  <si>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</si>
  <si>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</si>
  <si>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</si>
  <si>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</si>
  <si>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</si>
  <si>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</si>
  <si>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</si>
  <si>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</si>
  <si>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</si>
  <si>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</si>
  <si>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</si>
  <si>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</si>
  <si>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</si>
  <si>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</si>
  <si>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</si>
  <si>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</si>
  <si>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</si>
  <si>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</si>
  <si>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</si>
  <si>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</si>
  <si>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</si>
  <si>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</si>
  <si>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</si>
  <si>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</si>
  <si>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</si>
  <si>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</si>
  <si>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</si>
  <si>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</si>
  <si>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</si>
  <si>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</si>
  <si>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</si>
  <si>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</si>
  <si>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</si>
  <si>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</si>
  <si>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</si>
  <si>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</si>
  <si>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</si>
  <si>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</si>
  <si>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</si>
  <si>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</si>
  <si>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</si>
  <si>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</si>
  <si>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</si>
  <si>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</si>
  <si>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</si>
  <si>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</si>
  <si>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</si>
  <si>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</si>
  <si>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</si>
  <si>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</si>
  <si>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</si>
  <si>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</si>
  <si>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</si>
  <si>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</si>
  <si>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</si>
  <si>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</si>
  <si>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</si>
  <si>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</si>
  <si>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</si>
  <si>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</si>
  <si>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</si>
  <si>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</si>
  <si>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</si>
  <si>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</si>
  <si>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</si>
  <si>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</si>
  <si>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</si>
  <si>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</si>
  <si>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</si>
  <si>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</si>
  <si>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</si>
  <si>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</si>
  <si>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</si>
  <si>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</si>
  <si>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</si>
  <si>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</si>
  <si>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</si>
  <si>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</si>
  <si>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</si>
  <si>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</si>
  <si>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</si>
  <si>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</si>
  <si>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</si>
  <si>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</si>
  <si>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</si>
  <si>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</si>
  <si>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</si>
  <si>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</si>
  <si>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</si>
  <si>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</si>
  <si>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</si>
  <si>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</si>
  <si>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</si>
  <si>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</si>
  <si>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</si>
  <si>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</si>
  <si>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</si>
  <si>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</si>
  <si>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</si>
  <si>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</si>
  <si>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</si>
  <si>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</si>
  <si>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</si>
  <si>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</si>
  <si>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</si>
  <si>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</si>
  <si>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</si>
  <si>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</si>
  <si>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</si>
  <si>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</si>
  <si>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</si>
  <si>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</si>
  <si>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</si>
  <si>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</si>
  <si>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</si>
  <si>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</si>
  <si>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</si>
  <si>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</si>
  <si>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</si>
  <si>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</si>
  <si>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</si>
  <si>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</si>
  <si>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</si>
  <si>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</si>
  <si>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</si>
  <si>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</si>
  <si>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</si>
  <si>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</si>
  <si>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</si>
  <si>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</si>
  <si>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</si>
  <si>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</si>
  <si>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</si>
  <si>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</si>
  <si>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</si>
  <si>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</si>
  <si>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</si>
  <si>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</si>
  <si>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</si>
  <si>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</si>
  <si>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</si>
  <si>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</si>
  <si>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</si>
  <si>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</si>
  <si>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</si>
  <si>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</si>
  <si>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</si>
  <si>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</si>
  <si>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</si>
  <si>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</si>
  <si>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</si>
  <si>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</si>
  <si>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</si>
  <si>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</si>
  <si>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</si>
  <si>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</si>
  <si>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</si>
  <si>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</si>
  <si>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</si>
  <si>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</si>
  <si>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</si>
  <si>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</si>
  <si>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</si>
  <si>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</si>
  <si>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</si>
  <si>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</si>
  <si>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</si>
  <si>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</si>
  <si>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</si>
  <si>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</si>
  <si>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</si>
  <si>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</si>
  <si>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</si>
  <si>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</si>
  <si>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</si>
  <si>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</si>
  <si>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</si>
  <si>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</si>
  <si>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</si>
  <si>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</si>
  <si>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</si>
  <si>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</si>
  <si>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</si>
  <si>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</si>
  <si>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</si>
  <si>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</si>
  <si>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</si>
  <si>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</si>
  <si>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</si>
  <si>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</si>
  <si>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</si>
  <si>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</si>
  <si>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</si>
  <si>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</si>
  <si>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</si>
  <si>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</si>
  <si>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</si>
  <si>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</si>
  <si>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</si>
  <si>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</si>
  <si>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</si>
  <si>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</si>
  <si>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</si>
  <si>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</si>
  <si>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</si>
  <si>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</si>
  <si>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</si>
  <si>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</si>
  <si>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</si>
  <si>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</si>
  <si>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</si>
  <si>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</si>
  <si>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</si>
  <si>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</si>
  <si>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</si>
  <si>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</si>
  <si>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</si>
  <si>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</si>
  <si>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</si>
  <si>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</si>
  <si>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</si>
  <si>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</si>
  <si>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</si>
  <si>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</si>
  <si>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</si>
  <si>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</si>
  <si>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</si>
  <si>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</si>
  <si>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</si>
  <si>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</si>
  <si>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</si>
  <si>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</si>
  <si>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</si>
  <si>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</si>
  <si>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</si>
  <si>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</si>
  <si>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</si>
  <si>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</si>
  <si>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</si>
  <si>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</si>
  <si>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</si>
  <si>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</si>
  <si>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</si>
  <si>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</si>
  <si>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</si>
  <si>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</si>
  <si>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</si>
  <si>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</si>
  <si>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</si>
  <si>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</si>
  <si>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</si>
  <si>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</si>
  <si>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</si>
  <si>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</si>
  <si>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</si>
  <si>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</si>
  <si>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</si>
  <si>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</si>
  <si>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</si>
  <si>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</si>
  <si>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</si>
  <si>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</si>
  <si>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</si>
  <si>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</si>
  <si>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</si>
  <si>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</si>
  <si>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</si>
  <si>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</si>
  <si>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</si>
  <si>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</si>
  <si>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</si>
  <si>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</si>
  <si>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</si>
  <si>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</si>
  <si>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</si>
  <si>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</si>
  <si>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</si>
  <si>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</si>
  <si>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</si>
  <si>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</si>
  <si>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</si>
  <si>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</si>
  <si>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</si>
  <si>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</si>
  <si>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</si>
  <si>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</si>
  <si>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</si>
  <si>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</si>
  <si>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</si>
  <si>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</si>
  <si>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</si>
  <si>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</si>
  <si>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</si>
  <si>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</si>
  <si>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</si>
  <si>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</si>
  <si>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</si>
  <si>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</si>
  <si>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</si>
  <si>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</si>
  <si>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</si>
  <si>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</si>
  <si>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</si>
  <si>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</si>
  <si>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</si>
  <si>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</si>
  <si>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</si>
  <si>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</si>
  <si>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</si>
  <si>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</si>
  <si>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</si>
  <si>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</si>
  <si>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</si>
  <si>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</si>
  <si>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</si>
  <si>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</si>
  <si>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</si>
  <si>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</si>
  <si>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</si>
  <si>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</si>
  <si>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</si>
  <si>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</si>
  <si>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</si>
  <si>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</si>
  <si>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</si>
  <si>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</si>
  <si>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</si>
  <si>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</si>
  <si>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</si>
  <si>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</si>
  <si>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</si>
  <si>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</si>
  <si>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</si>
  <si>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</si>
  <si>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</si>
  <si>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</si>
  <si>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</si>
  <si>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</si>
  <si>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</si>
  <si>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</si>
  <si>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</si>
  <si>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</si>
  <si>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</si>
  <si>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</si>
  <si>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</si>
  <si>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</si>
  <si>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</si>
  <si>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</si>
  <si>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</si>
  <si>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</si>
  <si>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</si>
  <si>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</si>
  <si>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</si>
  <si>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</si>
  <si>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</si>
  <si>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</si>
  <si>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</si>
  <si>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</si>
  <si>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</si>
  <si>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</si>
  <si>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</si>
  <si>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</si>
  <si>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</si>
  <si>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</si>
  <si>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</si>
  <si>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</si>
  <si>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</si>
  <si>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</si>
  <si>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</si>
  <si>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</si>
  <si>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</si>
  <si>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</si>
  <si>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</si>
  <si>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</si>
  <si>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</si>
  <si>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</si>
  <si>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</si>
  <si>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</si>
  <si>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</si>
  <si>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</si>
  <si>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</si>
  <si>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</si>
  <si>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</si>
  <si>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</si>
  <si>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</si>
  <si>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</si>
  <si>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</si>
  <si>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</si>
  <si>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</si>
  <si>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</si>
  <si>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</si>
  <si>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</si>
  <si>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</si>
  <si>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</si>
  <si>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</si>
  <si>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</si>
  <si>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</si>
  <si>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</si>
  <si>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</si>
  <si>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</si>
  <si>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</si>
  <si>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</si>
  <si>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</si>
  <si>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</si>
  <si>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</si>
  <si>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</si>
  <si>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</si>
  <si>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</si>
  <si>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</si>
  <si>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</si>
  <si>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</si>
  <si>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</si>
  <si>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</si>
  <si>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</si>
  <si>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</si>
  <si>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</si>
  <si>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</si>
  <si>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</si>
  <si>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</si>
  <si>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</si>
  <si>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</si>
  <si>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</si>
  <si>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</si>
  <si>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</si>
  <si>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</si>
  <si>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</si>
  <si>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</si>
  <si>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</si>
  <si>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</si>
  <si>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</si>
  <si>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</si>
  <si>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</si>
  <si>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</si>
  <si>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</si>
  <si>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</si>
  <si>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</si>
  <si>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</si>
  <si>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</si>
  <si>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</si>
  <si>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</si>
  <si>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</si>
  <si>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</si>
  <si>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</si>
  <si>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</si>
  <si>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</si>
  <si>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</si>
  <si>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</si>
  <si>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</si>
  <si>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</si>
  <si>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</si>
  <si>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</si>
  <si>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</si>
  <si>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</si>
  <si>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</si>
  <si>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</si>
  <si>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</si>
  <si>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</si>
  <si>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</si>
  <si>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</si>
  <si>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</si>
  <si>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</si>
  <si>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</si>
  <si>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</si>
  <si>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</si>
  <si>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</si>
  <si>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</si>
  <si>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</si>
  <si>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</si>
  <si>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</si>
  <si>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</si>
  <si>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</si>
  <si>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</si>
  <si>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</si>
  <si>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</si>
  <si>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</si>
  <si>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</si>
  <si>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</si>
  <si>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</si>
  <si>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</si>
  <si>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</si>
  <si>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</si>
  <si>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</si>
  <si>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</si>
  <si>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</si>
  <si>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</si>
  <si>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</si>
  <si>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</si>
  <si>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</si>
  <si>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</si>
  <si>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</si>
  <si>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</si>
  <si>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</si>
  <si>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</si>
  <si>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</si>
  <si>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</si>
  <si>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</si>
  <si>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</si>
  <si>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</si>
  <si>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</si>
  <si>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</si>
  <si>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</si>
  <si>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</si>
  <si>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</si>
  <si>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</si>
  <si>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</si>
  <si>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</si>
  <si>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</si>
  <si>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</si>
  <si>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</si>
  <si>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</si>
  <si>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</si>
  <si>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</si>
  <si>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</si>
  <si>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</si>
  <si>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</si>
  <si>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</si>
  <si>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</si>
  <si>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</si>
  <si>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</si>
  <si>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</si>
  <si>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</si>
  <si>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</si>
  <si>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</si>
  <si>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</si>
  <si>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</si>
  <si>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</si>
  <si>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</si>
  <si>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</si>
  <si>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</si>
  <si>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</si>
  <si>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</si>
  <si>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</si>
  <si>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</si>
  <si>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</si>
  <si>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</si>
  <si>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</si>
  <si>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</si>
  <si>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</si>
  <si>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</si>
  <si>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</si>
  <si>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</si>
  <si>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</si>
  <si>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</si>
  <si>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</si>
  <si>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</si>
  <si>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</si>
  <si>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</si>
  <si>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</si>
  <si>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</si>
  <si>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</si>
  <si>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</si>
  <si>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</si>
  <si>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</si>
  <si>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</si>
  <si>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</si>
  <si>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</si>
  <si>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</si>
  <si>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</si>
  <si>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</si>
  <si>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</si>
  <si>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</si>
  <si>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</si>
  <si>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</si>
  <si>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</si>
  <si>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</si>
  <si>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</si>
  <si>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</si>
  <si>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</si>
  <si>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</si>
  <si>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</si>
  <si>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</si>
  <si>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</si>
  <si>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</si>
  <si>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</si>
  <si>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</si>
  <si>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</si>
  <si>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</si>
  <si>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</si>
  <si>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</si>
  <si>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</si>
  <si>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</si>
  <si>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</si>
  <si>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</si>
  <si>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</si>
  <si>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</si>
  <si>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</si>
  <si>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</si>
  <si>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</si>
  <si>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</si>
  <si>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</si>
  <si>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</si>
  <si>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</si>
  <si>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</si>
  <si>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</si>
  <si>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</si>
  <si>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</si>
  <si>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</si>
  <si>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</si>
  <si>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</si>
  <si>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</si>
  <si>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</si>
  <si>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</si>
  <si>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</si>
  <si>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</si>
  <si>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</si>
  <si>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</si>
  <si>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</si>
  <si>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</si>
  <si>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</si>
  <si>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</si>
  <si>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</si>
  <si>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</si>
  <si>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</si>
  <si>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</si>
  <si>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</si>
  <si>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</si>
  <si>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</si>
  <si>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</si>
  <si>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</si>
  <si>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</si>
  <si>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</si>
  <si>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</si>
  <si>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</si>
  <si>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</si>
  <si>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</si>
  <si>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</si>
  <si>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</si>
  <si>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</si>
  <si>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</si>
  <si>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</si>
  <si>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</si>
  <si>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</si>
  <si>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</si>
  <si>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</si>
  <si>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</si>
  <si>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</si>
  <si>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</si>
  <si>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</si>
  <si>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</si>
  <si>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</si>
  <si>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</si>
  <si>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</si>
  <si>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</si>
  <si>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</si>
  <si>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</si>
  <si>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</si>
  <si>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</si>
  <si>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</si>
  <si>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</si>
  <si>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</si>
  <si>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</si>
  <si>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</si>
  <si>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</si>
  <si>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</si>
  <si>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</si>
  <si>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</si>
  <si>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</si>
  <si>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</si>
  <si>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</si>
  <si>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</si>
  <si>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</si>
  <si>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</si>
  <si>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</si>
  <si>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</si>
  <si>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</si>
  <si>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</si>
  <si>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</si>
  <si>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</si>
  <si>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</si>
  <si>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</si>
  <si>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</si>
  <si>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</si>
  <si>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</si>
  <si>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</si>
  <si>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</si>
  <si>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</si>
  <si>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</si>
  <si>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</si>
  <si>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</si>
  <si>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</si>
  <si>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</si>
  <si>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</si>
  <si>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</si>
  <si>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</si>
  <si>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</si>
  <si>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</si>
  <si>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</si>
  <si>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</si>
  <si>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</si>
  <si>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</si>
  <si>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</si>
  <si>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</si>
  <si>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</si>
  <si>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</si>
  <si>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</si>
  <si>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</si>
  <si>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</si>
  <si>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</si>
  <si>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</si>
  <si>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</si>
  <si>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</si>
  <si>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</si>
  <si>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</si>
  <si>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</si>
  <si>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</si>
  <si>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</si>
  <si>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</si>
  <si>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</si>
  <si>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</si>
  <si>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</si>
  <si>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</si>
  <si>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</si>
  <si>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</si>
  <si>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</si>
  <si>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</si>
  <si>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</si>
  <si>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</si>
  <si>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</si>
  <si>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</si>
  <si>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</si>
  <si>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</si>
  <si>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</si>
  <si>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</si>
  <si>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</si>
  <si>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</si>
  <si>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</si>
  <si>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</si>
  <si>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</si>
  <si>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</si>
  <si>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</si>
  <si>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</si>
  <si>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</si>
  <si>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</si>
  <si>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</si>
  <si>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</si>
  <si>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</si>
  <si>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</si>
  <si>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</si>
  <si>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</si>
  <si>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</si>
  <si>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</si>
  <si>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</si>
  <si>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</si>
  <si>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</si>
  <si>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</si>
  <si>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</si>
  <si>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</si>
  <si>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</si>
  <si>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</si>
  <si>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</si>
  <si>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</si>
  <si>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</si>
  <si>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</si>
  <si>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</si>
  <si>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</si>
  <si>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</si>
  <si>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</si>
  <si>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</si>
  <si>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</si>
  <si>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</si>
  <si>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</si>
  <si>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</si>
  <si>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</si>
  <si>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</si>
  <si>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</si>
  <si>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</si>
  <si>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</si>
  <si>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</si>
  <si>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</si>
  <si>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</si>
  <si>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</si>
  <si>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</si>
  <si>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</si>
  <si>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</si>
  <si>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</si>
  <si>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</si>
  <si>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</si>
  <si>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</si>
  <si>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</si>
  <si>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</si>
  <si>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</si>
  <si>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</si>
  <si>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</si>
  <si>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</si>
  <si>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</si>
  <si>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</si>
  <si>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</si>
  <si>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</si>
  <si>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</si>
  <si>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</si>
  <si>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</si>
  <si>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</si>
  <si>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</si>
  <si>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</si>
  <si>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</si>
  <si>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</si>
  <si>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</si>
  <si>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</si>
  <si>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</si>
  <si>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</si>
  <si>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</si>
  <si>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</si>
  <si>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</si>
  <si>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</si>
  <si>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</si>
  <si>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</si>
  <si>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</si>
  <si>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</si>
  <si>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</si>
  <si>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</si>
  <si>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</si>
  <si>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</si>
  <si>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</si>
  <si>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</si>
  <si>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</si>
  <si>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</si>
  <si>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</si>
  <si>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</si>
  <si>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</si>
  <si>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</si>
  <si>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</si>
  <si>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</si>
  <si>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</si>
  <si>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</si>
  <si>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</si>
  <si>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</si>
  <si>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</si>
  <si>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</si>
  <si>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</si>
  <si>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</si>
  <si>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</si>
  <si>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</si>
  <si>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</si>
  <si>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</si>
  <si>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</si>
  <si>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</si>
  <si>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</si>
  <si>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</si>
  <si>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</si>
  <si>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</si>
  <si>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</si>
  <si>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</si>
  <si>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</si>
  <si>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</si>
  <si>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</si>
  <si>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</si>
  <si>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</si>
  <si>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</si>
  <si>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</si>
  <si>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</si>
  <si>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</si>
  <si>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</si>
  <si>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</si>
  <si>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</si>
  <si>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</si>
  <si>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</si>
  <si>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</si>
  <si>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</si>
  <si>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</si>
  <si>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</si>
  <si>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</si>
  <si>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</si>
  <si>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</si>
  <si>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</si>
  <si>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</si>
  <si>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</si>
  <si>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</si>
  <si>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</si>
  <si>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</si>
  <si>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</si>
  <si>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</si>
  <si>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</si>
  <si>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</si>
  <si>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</si>
  <si>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</si>
  <si>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</si>
  <si>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</si>
  <si>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</si>
  <si>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</si>
  <si>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</si>
  <si>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</si>
  <si>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</si>
  <si>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</si>
  <si>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</si>
  <si>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</si>
  <si>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</si>
  <si>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</si>
  <si>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</si>
  <si>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</si>
  <si>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</si>
  <si>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</si>
  <si>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</si>
  <si>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</si>
  <si>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</si>
  <si>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</si>
  <si>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</si>
  <si>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</si>
  <si>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</si>
  <si>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</si>
  <si>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</si>
  <si>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</si>
  <si>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</si>
  <si>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</si>
  <si>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</si>
  <si>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</si>
  <si>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</si>
  <si>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</si>
  <si>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</si>
  <si>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</si>
  <si>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</si>
  <si>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</si>
  <si>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</si>
  <si>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</si>
  <si>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</si>
  <si>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</si>
  <si>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</si>
  <si>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</si>
  <si>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</si>
  <si>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</si>
  <si>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</si>
  <si>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</si>
  <si>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</si>
  <si>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</si>
  <si>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</si>
  <si>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</si>
  <si>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</si>
  <si>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</si>
  <si>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</si>
  <si>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</si>
  <si>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</si>
  <si>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</si>
  <si>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</si>
  <si>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</si>
  <si>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</si>
  <si>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</si>
  <si>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</si>
  <si>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</si>
  <si>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</si>
  <si>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</si>
  <si>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</si>
  <si>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</si>
  <si>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</si>
  <si>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</si>
  <si>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</si>
  <si>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</si>
  <si>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</si>
  <si>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</si>
  <si>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</si>
  <si>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</si>
  <si>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</si>
  <si>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</si>
  <si>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</si>
  <si>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</si>
  <si>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</si>
  <si>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</si>
  <si>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</si>
  <si>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</si>
  <si>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</si>
  <si>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</si>
  <si>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</si>
  <si>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</si>
  <si>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</si>
  <si>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</si>
  <si>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</si>
  <si>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</si>
  <si>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</si>
  <si>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</si>
  <si>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</si>
  <si>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</si>
  <si>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</si>
  <si>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</si>
  <si>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</si>
  <si>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</si>
  <si>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</si>
  <si>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</si>
  <si>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</si>
  <si>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</si>
  <si>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</si>
  <si>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</si>
  <si>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</si>
  <si>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</si>
  <si>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</si>
  <si>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</si>
  <si>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</si>
  <si>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</si>
  <si>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</si>
  <si>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</si>
  <si>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</si>
  <si>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</si>
  <si>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</si>
  <si>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</si>
  <si>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</si>
  <si>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</si>
  <si>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</si>
  <si>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</si>
  <si>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</si>
  <si>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</si>
  <si>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</si>
  <si>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</si>
  <si>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</si>
  <si>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</si>
  <si>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</si>
  <si>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</si>
  <si>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</si>
  <si>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</si>
  <si>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</si>
  <si>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</si>
  <si>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</si>
  <si>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</si>
  <si>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</si>
  <si>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</si>
  <si>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</si>
  <si>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</si>
  <si>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</si>
  <si>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</si>
  <si>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</si>
  <si>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</si>
  <si>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</si>
  <si>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</si>
  <si>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</si>
  <si>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</si>
  <si>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</si>
  <si>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</si>
  <si>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</si>
  <si>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</si>
  <si>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</si>
  <si>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</si>
  <si>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</si>
  <si>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</si>
  <si>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</si>
  <si>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</si>
  <si>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</si>
  <si>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</si>
  <si>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</si>
  <si>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</si>
  <si>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</si>
  <si>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</si>
  <si>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</si>
  <si>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</si>
  <si>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</si>
  <si>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</si>
  <si>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</si>
  <si>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</si>
  <si>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</si>
  <si>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</si>
  <si>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</si>
  <si>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</si>
  <si>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</si>
  <si>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</si>
  <si>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</si>
  <si>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</si>
  <si>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</si>
  <si>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</si>
  <si>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</si>
  <si>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</si>
  <si>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</si>
  <si>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</si>
  <si>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</si>
  <si>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</si>
  <si>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</si>
  <si>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</si>
  <si>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</si>
  <si>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</si>
  <si>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</si>
  <si>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</si>
  <si>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</si>
  <si>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</si>
  <si>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</si>
  <si>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</si>
  <si>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</si>
  <si>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</si>
  <si>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</si>
  <si>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</si>
  <si>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</si>
  <si>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</si>
  <si>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</si>
  <si>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</si>
  <si>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</si>
  <si>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</si>
  <si>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</si>
  <si>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</si>
  <si>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</si>
  <si>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</si>
  <si>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</si>
  <si>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</si>
  <si>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</si>
  <si>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</si>
  <si>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</si>
  <si>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</si>
  <si>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</si>
  <si>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</si>
  <si>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</si>
  <si>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</si>
  <si>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</si>
  <si>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</si>
  <si>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</si>
  <si>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</si>
  <si>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</si>
  <si>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</si>
  <si>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</si>
  <si>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</si>
  <si>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</si>
  <si>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</si>
  <si>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</si>
  <si>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</si>
  <si>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</si>
  <si>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</si>
  <si>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</si>
  <si>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</si>
  <si>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</si>
  <si>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</si>
  <si>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</si>
  <si>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</si>
  <si>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</si>
  <si>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</si>
  <si>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</si>
  <si>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</si>
  <si>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</si>
  <si>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</si>
  <si>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</si>
  <si>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</si>
  <si>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</si>
  <si>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</si>
  <si>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</si>
  <si>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</si>
  <si>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</si>
  <si>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</si>
  <si>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</si>
  <si>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</si>
  <si>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</si>
  <si>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</si>
  <si>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</si>
  <si>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</si>
  <si>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</si>
  <si>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</si>
  <si>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</si>
  <si>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</si>
  <si>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</si>
  <si>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</si>
  <si>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</si>
  <si>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</si>
  <si>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</si>
  <si>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</si>
  <si>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</si>
  <si>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</si>
  <si>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</si>
  <si>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</si>
  <si>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</si>
  <si>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</si>
  <si>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</si>
  <si>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</si>
  <si>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</si>
  <si>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</si>
  <si>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</si>
  <si>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</si>
  <si>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</si>
  <si>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</si>
  <si>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</si>
  <si>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</si>
  <si>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</si>
  <si>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</si>
  <si>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</si>
  <si>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</si>
  <si>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</si>
  <si>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</si>
  <si>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</si>
  <si>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</si>
  <si>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</si>
  <si>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</si>
  <si>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</si>
  <si>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</si>
  <si>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</si>
  <si>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</si>
  <si>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</si>
  <si>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</si>
  <si>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</si>
  <si>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</si>
  <si>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</si>
  <si>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</si>
  <si>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</si>
  <si>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</si>
  <si>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</si>
  <si>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</si>
  <si>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</si>
  <si>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</si>
  <si>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</si>
  <si>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</si>
  <si>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</si>
  <si>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</si>
  <si>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</si>
  <si>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</si>
  <si>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</si>
  <si>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</si>
  <si>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</si>
  <si>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</si>
  <si>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</si>
  <si>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</si>
  <si>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</si>
  <si>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</si>
  <si>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</si>
  <si>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</si>
  <si>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</si>
  <si>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</si>
  <si>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</si>
  <si>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</si>
  <si>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</si>
  <si>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</si>
  <si>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</si>
  <si>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</si>
  <si>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</si>
  <si>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</si>
  <si>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</si>
  <si>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</si>
  <si>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</si>
  <si>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</si>
  <si>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</si>
  <si>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</si>
  <si>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</si>
  <si>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</si>
  <si>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</si>
  <si>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</si>
  <si>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</si>
  <si>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</si>
  <si>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</si>
  <si>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</si>
  <si>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</si>
  <si>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</si>
  <si>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</si>
  <si>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</si>
  <si>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</si>
  <si>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</si>
  <si>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</si>
  <si>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</si>
  <si>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</si>
  <si>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</si>
  <si>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</si>
  <si>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</si>
  <si>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</si>
  <si>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</si>
  <si>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</si>
  <si>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</si>
  <si>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</si>
  <si>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</si>
  <si>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</si>
  <si>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</si>
  <si>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</si>
  <si>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</si>
  <si>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</si>
  <si>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</si>
  <si>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</si>
  <si>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</si>
  <si>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</si>
  <si>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</si>
  <si>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</si>
  <si>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</si>
  <si>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</si>
  <si>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</si>
  <si>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</si>
  <si>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</si>
  <si>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</si>
  <si>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</si>
  <si>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</si>
  <si>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</si>
  <si>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</si>
  <si>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</si>
  <si>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</si>
  <si>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</si>
  <si>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</si>
  <si>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</si>
  <si>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</si>
  <si>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</si>
  <si>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</si>
  <si>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</si>
  <si>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</si>
  <si>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</si>
  <si>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</si>
  <si>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</si>
  <si>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</si>
  <si>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</si>
  <si>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</si>
  <si>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</si>
  <si>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</si>
  <si>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</si>
  <si>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</si>
  <si>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</si>
  <si>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</si>
  <si>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</si>
  <si>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</si>
  <si>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</si>
  <si>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</si>
  <si>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</si>
  <si>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</si>
  <si>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</si>
  <si>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</si>
  <si>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</si>
  <si>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</si>
  <si>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</si>
  <si>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</si>
  <si>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</si>
  <si>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</si>
  <si>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</si>
  <si>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</si>
  <si>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</si>
  <si>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</si>
  <si>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</si>
  <si>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</si>
  <si>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</si>
  <si>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</si>
  <si>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</si>
  <si>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</si>
  <si>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</si>
  <si>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</si>
  <si>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</si>
  <si>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</si>
  <si>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</si>
  <si>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</si>
  <si>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</si>
  <si>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</si>
  <si>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</si>
  <si>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</si>
  <si>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</si>
  <si>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</si>
  <si>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</si>
  <si>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</si>
  <si>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</si>
  <si>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</si>
  <si>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</si>
  <si>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</si>
  <si>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</si>
  <si>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</si>
  <si>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</si>
  <si>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</si>
  <si>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</si>
  <si>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</si>
  <si>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</si>
  <si>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</si>
  <si>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</si>
  <si>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</si>
  <si>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</si>
  <si>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</si>
  <si>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</si>
  <si>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</si>
  <si>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</si>
  <si>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</si>
  <si>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</si>
  <si>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</si>
  <si>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</si>
  <si>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</si>
  <si>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</si>
  <si>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</si>
  <si>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</si>
  <si>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</si>
  <si>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</si>
  <si>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</si>
  <si>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</si>
  <si>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</si>
  <si>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</si>
  <si>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</si>
  <si>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</si>
  <si>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</si>
  <si>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</si>
  <si>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</si>
  <si>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</si>
  <si>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</si>
  <si>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</si>
  <si>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</si>
  <si>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</si>
  <si>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</si>
  <si>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</si>
  <si>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</si>
  <si>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</si>
  <si>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</si>
  <si>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</si>
  <si>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</si>
  <si>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</si>
  <si>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</si>
  <si>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</si>
  <si>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</si>
  <si>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</si>
  <si>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</si>
  <si>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</si>
  <si>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</si>
  <si>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</si>
  <si>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</si>
  <si>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</si>
  <si>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</si>
  <si>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</si>
  <si>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</si>
  <si>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</si>
  <si>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</si>
  <si>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</si>
  <si>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</si>
  <si>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</si>
  <si>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</si>
  <si>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</si>
  <si>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</si>
  <si>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</si>
  <si>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</si>
  <si>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</si>
  <si>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</si>
  <si>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</si>
  <si>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</si>
  <si>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</si>
  <si>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</si>
  <si>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</si>
  <si>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</si>
  <si>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</si>
  <si>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</si>
  <si>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</si>
  <si>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</si>
  <si>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</si>
  <si>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</si>
  <si>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</si>
  <si>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</si>
  <si>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</si>
  <si>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</si>
  <si>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</si>
  <si>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</si>
  <si>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</si>
  <si>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</si>
  <si>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</si>
  <si>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</si>
  <si>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</si>
  <si>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</si>
  <si>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</si>
  <si>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</si>
  <si>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</si>
  <si>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</si>
  <si>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</si>
  <si>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</si>
  <si>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</si>
  <si>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</si>
  <si>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</si>
  <si>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</si>
  <si>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</si>
  <si>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</si>
  <si>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</si>
  <si>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</si>
  <si>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</si>
  <si>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</si>
  <si>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</si>
  <si>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</si>
  <si>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</si>
  <si>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</si>
  <si>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</si>
  <si>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</si>
  <si>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</si>
  <si>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</si>
  <si>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</si>
  <si>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</si>
  <si>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</si>
  <si>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</si>
  <si>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</si>
  <si>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</si>
  <si>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</si>
  <si>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</si>
  <si>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</si>
  <si>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</si>
  <si>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</si>
  <si>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</si>
  <si>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</si>
  <si>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</si>
  <si>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</si>
  <si>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</si>
  <si>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</si>
  <si>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</si>
  <si>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</si>
  <si>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</si>
  <si>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</si>
  <si>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</si>
  <si>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</si>
  <si>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</si>
  <si>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</si>
  <si>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</si>
  <si>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</si>
  <si>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</si>
  <si>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</si>
  <si>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</si>
  <si>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</si>
  <si>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</si>
  <si>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</si>
  <si>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</si>
  <si>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</si>
  <si>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</si>
  <si>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</si>
  <si>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</si>
  <si>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</si>
  <si>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</si>
  <si>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</si>
  <si>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</si>
  <si>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</si>
  <si>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</si>
  <si>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</si>
  <si>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</si>
  <si>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</si>
  <si>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</si>
  <si>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</si>
  <si>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</si>
  <si>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</si>
  <si>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</si>
  <si>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</si>
  <si>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</si>
  <si>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</si>
  <si>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</si>
  <si>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</si>
  <si>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</si>
  <si>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</si>
  <si>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</si>
  <si>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</si>
  <si>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</si>
  <si>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</si>
  <si>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</si>
  <si>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</si>
  <si>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</si>
  <si>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</si>
  <si>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</si>
  <si>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</si>
  <si>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</si>
  <si>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</si>
  <si>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</si>
  <si>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</si>
  <si>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</si>
  <si>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</si>
  <si>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</si>
  <si>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</si>
  <si>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</si>
  <si>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</si>
  <si>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</si>
  <si>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</si>
  <si>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</si>
  <si>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</si>
  <si>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</si>
  <si>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</si>
  <si>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</si>
  <si>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</si>
  <si>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</si>
  <si>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</si>
  <si>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</si>
  <si>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</si>
  <si>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</si>
  <si>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</si>
  <si>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</si>
  <si>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</si>
  <si>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</si>
  <si>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</si>
  <si>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</si>
  <si>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</si>
  <si>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</si>
  <si>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</si>
  <si>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</si>
  <si>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</si>
  <si>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</si>
  <si>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</si>
  <si>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</si>
  <si>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</si>
  <si>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</si>
  <si>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</si>
  <si>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</si>
  <si>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</si>
  <si>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</si>
  <si>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</si>
  <si>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</si>
  <si>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</si>
  <si>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</si>
  <si>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</si>
  <si>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</si>
  <si>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</si>
  <si>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</si>
  <si>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</si>
  <si>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</si>
  <si>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</si>
  <si>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</si>
  <si>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</si>
  <si>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</si>
  <si>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</si>
  <si>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</si>
  <si>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</si>
  <si>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</si>
  <si>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</si>
  <si>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</si>
  <si>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</si>
  <si>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</si>
  <si>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</si>
  <si>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</si>
  <si>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</si>
  <si>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</si>
  <si>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</si>
  <si>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</si>
  <si>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</si>
  <si>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</si>
  <si>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</si>
  <si>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</si>
  <si>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</si>
  <si>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</si>
  <si>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</si>
  <si>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</si>
  <si>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</si>
  <si>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</si>
  <si>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</si>
  <si>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</si>
  <si>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</si>
  <si>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</si>
  <si>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</si>
  <si>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</si>
  <si>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</si>
  <si>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</si>
  <si>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</si>
  <si>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</si>
  <si>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</si>
  <si>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</si>
  <si>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</si>
  <si>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</si>
  <si>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</si>
  <si>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</si>
  <si>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</si>
  <si>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</si>
  <si>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</si>
  <si>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</si>
  <si>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</si>
  <si>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</si>
  <si>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</si>
  <si>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</si>
  <si>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</si>
  <si>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</si>
  <si>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</si>
  <si>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</si>
  <si>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</si>
  <si>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</si>
  <si>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</si>
  <si>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</si>
  <si>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</si>
  <si>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</si>
  <si>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</si>
  <si>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</si>
  <si>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</si>
  <si>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</si>
  <si>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</si>
  <si>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</si>
  <si>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</si>
  <si>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</si>
  <si>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</si>
  <si>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</si>
  <si>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</si>
  <si>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</si>
  <si>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</si>
  <si>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</si>
  <si>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</si>
  <si>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</si>
  <si>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</si>
  <si>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</si>
  <si>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</si>
  <si>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</si>
  <si>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</si>
  <si>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</si>
  <si>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</si>
  <si>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</si>
  <si>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</si>
  <si>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</si>
  <si>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</si>
  <si>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</si>
  <si>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</si>
  <si>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</si>
  <si>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</si>
  <si>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</si>
  <si>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</si>
  <si>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</si>
  <si>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</si>
  <si>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</si>
  <si>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</si>
  <si>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</si>
  <si>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</si>
  <si>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</si>
  <si>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</si>
  <si>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</si>
  <si>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</si>
  <si>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</si>
  <si>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</si>
  <si>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</si>
  <si>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</si>
  <si>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</si>
  <si>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</si>
  <si>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</si>
  <si>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</si>
  <si>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</si>
  <si>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</si>
  <si>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</si>
  <si>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</si>
  <si>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</si>
  <si>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</si>
  <si>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</si>
  <si>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</si>
  <si>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</si>
  <si>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</si>
  <si>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</si>
  <si>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</si>
  <si>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</si>
  <si>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</si>
  <si>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</si>
  <si>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</si>
  <si>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</si>
  <si>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</si>
  <si>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</si>
  <si>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</si>
  <si>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</si>
  <si>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</si>
  <si>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</si>
  <si>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</si>
  <si>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</si>
  <si>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</si>
  <si>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</si>
  <si>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</si>
  <si>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</si>
  <si>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</si>
  <si>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</si>
  <si>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</si>
  <si>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</si>
  <si>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</si>
  <si>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</si>
  <si>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</si>
  <si>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</si>
  <si>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</si>
  <si>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</si>
  <si>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</si>
  <si>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</si>
  <si>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</si>
  <si>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</si>
  <si>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</si>
  <si>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</si>
  <si>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</si>
  <si>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</si>
  <si>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</si>
  <si>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</si>
  <si>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</si>
  <si>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</si>
  <si>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</si>
  <si>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</si>
  <si>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</si>
  <si>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</si>
  <si>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</si>
  <si>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</si>
  <si>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</si>
  <si>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</si>
  <si>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</si>
  <si>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</si>
  <si>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</si>
  <si>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</si>
  <si>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</si>
  <si>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</si>
  <si>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</si>
  <si>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</si>
  <si>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</si>
  <si>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</si>
  <si>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</si>
  <si>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</si>
  <si>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</si>
  <si>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</si>
  <si>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</si>
  <si>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</si>
  <si>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</si>
  <si>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</si>
  <si>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</si>
  <si>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</si>
  <si>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</si>
  <si>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</si>
  <si>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</si>
  <si>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</si>
  <si>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</si>
  <si>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</si>
  <si>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</si>
  <si>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</si>
  <si>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</si>
  <si>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</si>
  <si>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</si>
  <si>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</si>
  <si>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</si>
  <si>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</si>
  <si>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</si>
  <si>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</si>
  <si>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</si>
  <si>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</si>
  <si>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</si>
  <si>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</si>
  <si>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</si>
  <si>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</si>
  <si>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</si>
  <si>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</si>
  <si>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</si>
  <si>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</si>
  <si>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</si>
  <si>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</si>
  <si>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</si>
  <si>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</si>
  <si>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</si>
  <si>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</si>
  <si>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</si>
  <si>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</si>
  <si>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</si>
  <si>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</si>
  <si>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</si>
  <si>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</si>
  <si>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</si>
  <si>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</si>
  <si>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</si>
  <si>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</si>
  <si>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</si>
  <si>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</si>
  <si>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</si>
  <si>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</si>
  <si>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</si>
  <si>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</si>
  <si>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</si>
  <si>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</si>
  <si>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</si>
  <si>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</si>
  <si>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</si>
  <si>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</si>
  <si>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</si>
  <si>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</si>
  <si>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</si>
  <si>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</si>
  <si>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</si>
  <si>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</si>
  <si>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</si>
  <si>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</si>
  <si>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</si>
  <si>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</si>
  <si>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</si>
  <si>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</si>
  <si>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</si>
  <si>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</si>
  <si>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</si>
  <si>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</si>
  <si>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</si>
  <si>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</si>
  <si>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</si>
  <si>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</si>
  <si>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</si>
  <si>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</si>
  <si>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</si>
  <si>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</si>
  <si>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</si>
  <si>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</si>
  <si>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</si>
  <si>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</si>
  <si>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</si>
  <si>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</si>
  <si>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</si>
  <si>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</si>
  <si>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</si>
  <si>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</si>
  <si>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</si>
  <si>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</si>
  <si>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</si>
  <si>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</si>
  <si>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</si>
  <si>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</si>
  <si>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</si>
  <si>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</si>
  <si>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</si>
  <si>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</si>
  <si>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</si>
  <si>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</si>
  <si>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</si>
  <si>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</si>
  <si>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</si>
  <si>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</si>
  <si>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</si>
  <si>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</si>
  <si>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</si>
  <si>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</si>
  <si>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</si>
  <si>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</si>
  <si>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</si>
  <si>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</si>
  <si>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</si>
  <si>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</si>
  <si>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</si>
  <si>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</si>
  <si>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</si>
  <si>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</si>
  <si>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</si>
  <si>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</si>
  <si>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</si>
  <si>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</si>
  <si>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</si>
  <si>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</si>
  <si>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</si>
  <si>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</si>
  <si>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</si>
  <si>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</si>
  <si>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</si>
  <si>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</si>
  <si>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</si>
  <si>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</si>
  <si>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</si>
  <si>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</si>
  <si>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</si>
  <si>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</si>
  <si>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</si>
  <si>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</si>
  <si>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</si>
  <si>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</si>
  <si>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</si>
  <si>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</si>
  <si>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</si>
  <si>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</si>
  <si>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</si>
  <si>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</si>
  <si>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</si>
  <si>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</si>
  <si>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</si>
  <si>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</si>
  <si>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</si>
  <si>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</si>
  <si>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</si>
  <si>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</si>
  <si>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</si>
  <si>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</si>
  <si>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</si>
  <si>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</si>
  <si>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</si>
  <si>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</si>
  <si>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</si>
  <si>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</si>
  <si>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</si>
  <si>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</si>
  <si>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</si>
  <si>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</si>
  <si>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</si>
  <si>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</si>
  <si>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</si>
  <si>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</si>
  <si>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</si>
  <si>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</si>
  <si>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</si>
  <si>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</si>
  <si>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</si>
  <si>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</si>
  <si>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</si>
  <si>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</si>
  <si>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</si>
  <si>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</si>
  <si>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</si>
  <si>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</si>
  <si>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</si>
  <si>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</si>
  <si>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</si>
  <si>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</si>
  <si>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</si>
  <si>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</si>
  <si>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</si>
  <si>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</si>
  <si>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</si>
  <si>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</si>
  <si>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</si>
  <si>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</si>
  <si>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</si>
  <si>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</si>
  <si>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</si>
  <si>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</si>
  <si>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</si>
  <si>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</si>
  <si>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</si>
  <si>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</si>
  <si>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</si>
  <si>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</si>
  <si>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</si>
  <si>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</si>
  <si>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</si>
  <si>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</si>
  <si>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</si>
  <si>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</si>
  <si>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</si>
  <si>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</si>
  <si>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</si>
  <si>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</si>
  <si>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</si>
  <si>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</si>
  <si>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</si>
  <si>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</si>
  <si>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</si>
  <si>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</si>
  <si>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</si>
  <si>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</si>
  <si>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</si>
  <si>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</si>
  <si>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</si>
  <si>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</si>
  <si>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</si>
  <si>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</si>
  <si>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</si>
  <si>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</si>
  <si>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</si>
  <si>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</si>
  <si>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</si>
  <si>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</si>
  <si>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</si>
  <si>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</si>
  <si>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</si>
  <si>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</si>
  <si>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</si>
  <si>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</si>
  <si>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</si>
  <si>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</si>
  <si>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</si>
  <si>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</si>
  <si>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</si>
  <si>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</si>
  <si>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</si>
  <si>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</si>
  <si>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</si>
  <si>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</si>
  <si>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</si>
  <si>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</si>
  <si>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</si>
  <si>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</si>
  <si>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</si>
  <si>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</si>
  <si>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</si>
  <si>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</si>
  <si>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</si>
  <si>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</si>
  <si>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</si>
  <si>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</si>
  <si>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</si>
  <si>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</si>
  <si>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</si>
  <si>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</si>
  <si>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</si>
  <si>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</si>
  <si>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</si>
  <si>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</si>
  <si>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</si>
  <si>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</si>
  <si>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</si>
  <si>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</si>
  <si>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</si>
  <si>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</si>
  <si>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</si>
  <si>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</si>
  <si>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</si>
  <si>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</si>
  <si>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</si>
  <si>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</si>
  <si>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</si>
  <si>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</si>
  <si>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</si>
  <si>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</si>
  <si>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</si>
  <si>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</si>
  <si>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</si>
  <si>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</si>
  <si>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</si>
  <si>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</si>
  <si>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</si>
  <si>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</si>
  <si>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</si>
  <si>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</si>
  <si>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</si>
  <si>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</si>
  <si>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</si>
  <si>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</si>
  <si>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</si>
  <si>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</si>
  <si>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</si>
  <si>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</si>
  <si>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</si>
  <si>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</si>
  <si>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</si>
  <si>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</si>
  <si>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</si>
  <si>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</si>
  <si>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</si>
  <si>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</si>
  <si>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</si>
  <si>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</si>
  <si>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</si>
  <si>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</si>
  <si>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</si>
  <si>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</si>
  <si>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</si>
  <si>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</si>
  <si>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</si>
  <si>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</si>
  <si>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</si>
  <si>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</si>
  <si>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</si>
  <si>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</si>
  <si>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</si>
  <si>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</si>
  <si>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</si>
  <si>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</si>
  <si>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</si>
  <si>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</si>
  <si>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</si>
  <si>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</si>
  <si>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</si>
  <si>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</si>
  <si>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</si>
  <si>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</si>
  <si>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</si>
  <si>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</si>
  <si>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</si>
  <si>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</si>
  <si>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</si>
  <si>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</si>
  <si>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</si>
  <si>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</si>
  <si>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</si>
  <si>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</si>
  <si>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</si>
  <si>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</si>
  <si>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</si>
  <si>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</si>
  <si>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</si>
  <si>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</si>
  <si>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</si>
  <si>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</si>
  <si>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</si>
  <si>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</si>
  <si>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</si>
  <si>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</si>
  <si>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</si>
  <si>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</si>
  <si>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</si>
  <si>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</si>
  <si>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</si>
  <si>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</si>
  <si>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</si>
  <si>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</si>
  <si>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</si>
  <si>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</si>
  <si>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</si>
  <si>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</si>
  <si>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</si>
  <si>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</si>
  <si>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</si>
  <si>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</si>
  <si>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</si>
  <si>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</si>
  <si>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</si>
  <si>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</si>
  <si>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</si>
  <si>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</si>
  <si>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</si>
  <si>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</si>
  <si>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</si>
  <si>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</si>
  <si>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</si>
  <si>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</si>
  <si>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</si>
  <si>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</si>
  <si>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</si>
  <si>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</si>
  <si>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</si>
  <si>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</si>
  <si>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</si>
  <si>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</si>
  <si>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</si>
  <si>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</si>
  <si>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</si>
  <si>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</si>
  <si>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</si>
  <si>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</si>
  <si>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</si>
  <si>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</si>
  <si>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</si>
  <si>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</si>
  <si>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</si>
  <si>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</si>
  <si>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</si>
  <si>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</si>
  <si>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</si>
  <si>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</si>
  <si>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</si>
  <si>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</si>
  <si>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</si>
  <si>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</si>
  <si>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</si>
  <si>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</si>
  <si>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</si>
  <si>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</si>
  <si>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</si>
  <si>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</si>
  <si>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</si>
  <si>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</si>
  <si>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</si>
  <si>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</si>
  <si>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</si>
  <si>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</si>
  <si>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</si>
  <si>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</si>
  <si>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</si>
  <si>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</si>
  <si>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</si>
  <si>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</si>
  <si>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</si>
  <si>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</si>
  <si>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</si>
  <si>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</si>
  <si>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</si>
  <si>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</si>
  <si>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</si>
  <si>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</si>
  <si>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</si>
  <si>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</si>
  <si>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</si>
  <si>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</si>
  <si>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</si>
  <si>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</si>
  <si>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</si>
  <si>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</si>
  <si>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</si>
  <si>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</si>
  <si>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</si>
  <si>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</si>
  <si>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</si>
  <si>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</si>
  <si>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</si>
  <si>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</si>
  <si>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</si>
  <si>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</si>
  <si>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</si>
  <si>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</si>
  <si>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</si>
  <si>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</si>
  <si>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</si>
  <si>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</si>
  <si>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</si>
  <si>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</si>
  <si>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</si>
  <si>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</si>
  <si>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</si>
  <si>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</si>
  <si>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</si>
  <si>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</si>
  <si>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</si>
  <si>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</si>
  <si>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</si>
  <si>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</si>
  <si>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</si>
  <si>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</si>
  <si>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</si>
  <si>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</si>
  <si>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</si>
  <si>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</si>
  <si>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</si>
  <si>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</si>
  <si>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</si>
  <si>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</si>
  <si>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</si>
  <si>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</si>
  <si>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</si>
  <si>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</si>
  <si>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</si>
  <si>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</si>
  <si>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</si>
  <si>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</si>
  <si>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</si>
  <si>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</si>
  <si>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</si>
  <si>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</si>
  <si>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</si>
  <si>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</si>
  <si>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</si>
  <si>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</si>
  <si>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</si>
  <si>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</si>
  <si>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</si>
  <si>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</si>
  <si>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</si>
  <si>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</si>
  <si>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</si>
  <si>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</si>
  <si>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</si>
  <si>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</si>
  <si>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</si>
  <si>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</si>
  <si>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</si>
  <si>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</si>
  <si>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</si>
  <si>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</si>
  <si>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</si>
  <si>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</si>
  <si>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</si>
  <si>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</si>
  <si>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</si>
  <si>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</si>
  <si>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</si>
  <si>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</si>
  <si>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</si>
  <si>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</si>
  <si>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</si>
  <si>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</si>
  <si>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</si>
  <si>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</si>
  <si>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</si>
  <si>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</si>
  <si>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</si>
  <si>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</si>
  <si>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</si>
  <si>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</si>
  <si>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</si>
  <si>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</si>
  <si>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</si>
  <si>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</si>
  <si>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</si>
  <si>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</si>
  <si>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</si>
  <si>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</si>
  <si>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</si>
  <si>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</si>
  <si>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</si>
  <si>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</si>
  <si>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</si>
  <si>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</si>
  <si>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</si>
  <si>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</si>
  <si>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</si>
  <si>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</si>
  <si>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</si>
  <si>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</si>
  <si>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</si>
  <si>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</si>
  <si>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</si>
  <si>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</si>
  <si>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</si>
  <si>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</si>
  <si>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</si>
  <si>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</si>
  <si>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</si>
  <si>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</si>
  <si>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</si>
  <si>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</si>
  <si>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</si>
  <si>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</si>
  <si>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</si>
  <si>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</si>
  <si>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</si>
  <si>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</si>
  <si>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</si>
  <si>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</si>
  <si>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</si>
  <si>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</si>
  <si>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</si>
  <si>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</si>
  <si>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</si>
  <si>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</si>
  <si>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</si>
  <si>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</si>
  <si>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</si>
  <si>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</si>
  <si>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</si>
  <si>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</si>
  <si>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</si>
  <si>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</si>
  <si>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</si>
  <si>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</si>
  <si>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</si>
  <si>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</si>
  <si>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</si>
  <si>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</si>
  <si>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</si>
  <si>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</si>
  <si>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</si>
  <si>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</si>
  <si>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</si>
  <si>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</si>
  <si>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</si>
  <si>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</si>
  <si>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</si>
  <si>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</si>
  <si>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</si>
  <si>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</si>
  <si>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</si>
  <si>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</si>
  <si>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</si>
  <si>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</si>
  <si>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</si>
  <si>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</si>
  <si>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</si>
  <si>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</si>
  <si>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</si>
  <si>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</si>
  <si>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</si>
  <si>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</si>
  <si>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</si>
  <si>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</si>
  <si>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</si>
  <si>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</si>
  <si>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</si>
  <si>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</si>
  <si>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</si>
  <si>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</si>
  <si>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</si>
  <si>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</si>
  <si>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</si>
  <si>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</si>
  <si>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</si>
  <si>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</si>
  <si>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</si>
  <si>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</si>
  <si>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</si>
  <si>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</si>
  <si>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</si>
  <si>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</si>
  <si>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</si>
  <si>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</si>
  <si>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</si>
  <si>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</si>
  <si>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</si>
  <si>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</si>
  <si>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</si>
  <si>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</si>
  <si>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</si>
  <si>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</si>
  <si>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</si>
  <si>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</si>
  <si>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</si>
  <si>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</si>
  <si>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</si>
  <si>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</si>
  <si>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</si>
  <si>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</si>
  <si>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</si>
  <si>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</si>
  <si>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</si>
  <si>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</si>
  <si>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</si>
  <si>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</si>
  <si>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</si>
  <si>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</si>
  <si>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</si>
  <si>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</si>
  <si>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</si>
  <si>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</si>
  <si>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</si>
  <si>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</si>
  <si>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</si>
  <si>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</si>
  <si>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</si>
  <si>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</si>
  <si>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</si>
  <si>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</si>
  <si>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</si>
  <si>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</si>
  <si>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</si>
  <si>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</si>
  <si>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</si>
  <si>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</si>
  <si>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</si>
  <si>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</si>
  <si>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</si>
  <si>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</si>
  <si>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</si>
  <si>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</si>
  <si>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</si>
  <si>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</si>
  <si>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</si>
  <si>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</si>
  <si>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</si>
  <si>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</si>
  <si>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</si>
  <si>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</si>
  <si>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</si>
  <si>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</si>
  <si>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</si>
  <si>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</si>
  <si>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</si>
  <si>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</si>
  <si>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</si>
  <si>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</si>
  <si>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</si>
  <si>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</si>
  <si>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</si>
  <si>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</si>
  <si>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</si>
  <si>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</si>
  <si>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</si>
  <si>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</si>
  <si>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</si>
  <si>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</si>
  <si>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</si>
  <si>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</si>
  <si>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</si>
  <si>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</si>
  <si>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</si>
  <si>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</si>
  <si>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</si>
  <si>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</si>
  <si>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</si>
  <si>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</si>
  <si>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</si>
  <si>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</si>
  <si>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</si>
  <si>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</si>
  <si>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</si>
  <si>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</si>
  <si>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</si>
  <si>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</si>
  <si>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</si>
  <si>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</si>
  <si>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</si>
  <si>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</si>
  <si>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</si>
  <si>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</si>
  <si>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</si>
  <si>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</si>
  <si>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</si>
  <si>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</si>
  <si>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</si>
  <si>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</si>
  <si>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</si>
  <si>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</si>
  <si>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</si>
  <si>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</si>
  <si>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</si>
  <si>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</si>
  <si>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</si>
  <si>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</si>
  <si>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</si>
  <si>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</si>
  <si>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</si>
  <si>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</si>
  <si>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</si>
  <si>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</si>
  <si>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</si>
  <si>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</si>
  <si>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</si>
  <si>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</si>
  <si>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</si>
  <si>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</si>
  <si>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</si>
  <si>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</si>
  <si>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</si>
  <si>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</si>
  <si>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</si>
  <si>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</si>
  <si>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</si>
  <si>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</si>
  <si>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</si>
  <si>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</si>
  <si>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</si>
  <si>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</si>
  <si>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</si>
  <si>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</si>
  <si>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</si>
  <si>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</si>
  <si>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</si>
  <si>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</si>
  <si>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</si>
  <si>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</si>
  <si>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</si>
  <si>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</si>
  <si>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</si>
  <si>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</si>
  <si>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</si>
  <si>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</si>
  <si>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</si>
  <si>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</si>
  <si>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</si>
  <si>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</si>
  <si>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</si>
  <si>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</si>
  <si>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</si>
  <si>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</si>
  <si>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</si>
  <si>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</si>
  <si>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</si>
  <si>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</si>
  <si>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</si>
  <si>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</si>
  <si>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</si>
  <si>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</si>
  <si>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</si>
  <si>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</si>
  <si>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</si>
  <si>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</si>
  <si>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</si>
  <si>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</si>
  <si>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</si>
  <si>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</si>
  <si>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</si>
  <si>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</si>
  <si>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</si>
  <si>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</si>
  <si>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</si>
  <si>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</si>
  <si>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</si>
  <si>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</si>
  <si>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</si>
  <si>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</si>
  <si>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</si>
  <si>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</si>
  <si>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</si>
  <si>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</si>
  <si>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</si>
  <si>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</si>
  <si>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</si>
  <si>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</si>
  <si>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</si>
  <si>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</si>
  <si>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</si>
  <si>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</si>
  <si>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</si>
  <si>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</si>
  <si>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</si>
  <si>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</si>
  <si>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</si>
  <si>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</si>
  <si>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</si>
  <si>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</si>
  <si>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</si>
  <si>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</si>
  <si>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</si>
  <si>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</si>
  <si>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</si>
  <si>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</si>
  <si>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</si>
  <si>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</si>
  <si>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</si>
  <si>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</si>
  <si>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</si>
  <si>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</si>
  <si>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</si>
  <si>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</si>
  <si>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</si>
  <si>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</si>
  <si>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</si>
  <si>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</si>
  <si>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</si>
  <si>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</si>
  <si>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</si>
  <si>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</si>
  <si>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</si>
  <si>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</si>
  <si>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</si>
  <si>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</si>
  <si>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</si>
  <si>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</si>
  <si>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</si>
  <si>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</si>
  <si>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</si>
  <si>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</si>
  <si>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</si>
  <si>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</si>
  <si>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</si>
  <si>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</si>
  <si>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</si>
  <si>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</si>
  <si>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</si>
  <si>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</si>
  <si>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</si>
  <si>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</si>
  <si>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</si>
  <si>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</si>
  <si>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</si>
  <si>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</si>
  <si>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</si>
  <si>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</si>
  <si>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</si>
  <si>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</si>
  <si>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</si>
  <si>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</si>
  <si>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</si>
  <si>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</si>
  <si>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</si>
  <si>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</si>
  <si>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</si>
  <si>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</si>
  <si>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</si>
  <si>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</si>
  <si>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</si>
  <si>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</si>
  <si>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</si>
  <si>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</si>
  <si>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</si>
  <si>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</si>
  <si>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</si>
  <si>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</si>
  <si>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</si>
  <si>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</si>
  <si>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</si>
  <si>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</si>
  <si>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</si>
  <si>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</si>
  <si>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</si>
  <si>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</si>
  <si>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</si>
  <si>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</si>
  <si>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</si>
  <si>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</si>
  <si>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</si>
  <si>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</si>
  <si>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</si>
  <si>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</si>
  <si>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</si>
  <si>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</si>
  <si>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</si>
  <si>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</si>
  <si>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</si>
  <si>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</si>
  <si>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</si>
  <si>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</si>
  <si>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</si>
  <si>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</si>
  <si>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</si>
  <si>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</si>
  <si>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</si>
  <si>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</si>
  <si>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</si>
  <si>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</si>
  <si>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</si>
  <si>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</si>
  <si>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</si>
  <si>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</si>
  <si>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</si>
  <si>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</si>
  <si>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</si>
  <si>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</si>
  <si>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</si>
  <si>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</si>
  <si>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</si>
  <si>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</si>
  <si>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</si>
  <si>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</si>
  <si>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</si>
  <si>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</si>
  <si>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</si>
  <si>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</si>
  <si>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</si>
  <si>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</si>
  <si>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</si>
  <si>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</si>
  <si>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</si>
  <si>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</si>
  <si>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</si>
  <si>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</si>
  <si>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</si>
  <si>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</si>
  <si>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</si>
  <si>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</si>
  <si>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</si>
  <si>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</si>
  <si>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</si>
  <si>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</si>
  <si>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</si>
  <si>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</si>
  <si>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</si>
  <si>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</si>
  <si>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</si>
  <si>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</si>
  <si>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</si>
  <si>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</si>
  <si>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</si>
  <si>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</si>
  <si>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</si>
  <si>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</si>
  <si>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</si>
  <si>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</si>
  <si>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</si>
  <si>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</si>
  <si>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</si>
  <si>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</si>
  <si>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</si>
  <si>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</si>
  <si>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</si>
  <si>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</si>
  <si>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</si>
  <si>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</si>
  <si>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</si>
  <si>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</si>
  <si>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</si>
  <si>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</si>
  <si>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</si>
  <si>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</si>
  <si>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</si>
  <si>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</si>
  <si>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</si>
  <si>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</si>
  <si>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</si>
  <si>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</si>
  <si>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</si>
  <si>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</si>
  <si>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</si>
  <si>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</si>
  <si>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</si>
  <si>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</si>
  <si>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</si>
  <si>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</si>
  <si>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</si>
  <si>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</si>
  <si>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</si>
  <si>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</si>
  <si>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</si>
  <si>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</si>
  <si>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</si>
  <si>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</si>
  <si>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</si>
  <si>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</si>
  <si>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</si>
  <si>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</si>
  <si>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</si>
  <si>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</si>
  <si>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</si>
  <si>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</si>
  <si>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</si>
  <si>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</si>
  <si>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</si>
  <si>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</si>
  <si>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</si>
  <si>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</si>
  <si>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</si>
  <si>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</si>
  <si>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</si>
  <si>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</si>
  <si>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</si>
  <si>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</si>
  <si>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</si>
  <si>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</si>
  <si>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</si>
  <si>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</si>
  <si>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</si>
  <si>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</si>
  <si>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</si>
  <si>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</si>
  <si>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</si>
  <si>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</si>
  <si>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</si>
  <si>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</si>
  <si>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</si>
  <si>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</si>
  <si>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</si>
  <si>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</si>
  <si>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</si>
  <si>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</si>
  <si>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</si>
  <si>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</si>
  <si>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</si>
  <si>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</si>
  <si>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</si>
  <si>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</si>
  <si>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</si>
  <si>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</si>
  <si>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</si>
  <si>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</si>
  <si>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</si>
  <si>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</si>
  <si>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</si>
  <si>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</si>
  <si>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</si>
  <si>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</si>
  <si>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</si>
  <si>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</si>
  <si>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</si>
  <si>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</si>
  <si>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</si>
  <si>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</si>
  <si>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</si>
  <si>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</si>
  <si>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</si>
  <si>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</si>
  <si>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</si>
  <si>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</si>
  <si>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</si>
  <si>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</si>
  <si>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</si>
  <si>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</si>
  <si>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</si>
  <si>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</si>
  <si>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</si>
  <si>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</si>
  <si>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</si>
  <si>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</si>
  <si>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</si>
  <si>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</si>
  <si>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</si>
  <si>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</si>
  <si>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</si>
  <si>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</si>
  <si>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</si>
  <si>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</si>
  <si>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</si>
  <si>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</si>
  <si>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</si>
  <si>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</si>
  <si>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</si>
  <si>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</si>
  <si>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</si>
  <si>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</si>
  <si>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</si>
  <si>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</si>
  <si>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</si>
  <si>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</si>
  <si>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</si>
  <si>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</si>
  <si>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</si>
  <si>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</si>
  <si>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</si>
  <si>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</si>
  <si>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</si>
  <si>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</si>
  <si>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</si>
  <si>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</si>
  <si>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</si>
  <si>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</si>
  <si>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</si>
  <si>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</si>
  <si>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</si>
  <si>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</si>
  <si>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</si>
  <si>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</si>
  <si>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</si>
  <si>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</si>
  <si>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</si>
  <si>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</si>
  <si>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</si>
  <si>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</si>
  <si>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</si>
  <si>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</si>
  <si>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</si>
  <si>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</si>
  <si>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</si>
  <si>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</si>
  <si>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</si>
  <si>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</si>
  <si>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</si>
  <si>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</si>
  <si>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</si>
  <si>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</si>
  <si>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</si>
  <si>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</si>
  <si>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</si>
  <si>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</si>
  <si>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</si>
  <si>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</si>
  <si>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</si>
  <si>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</si>
  <si>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</si>
  <si>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</si>
  <si>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</si>
  <si>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</si>
  <si>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</si>
  <si>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</si>
  <si>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</si>
  <si>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</si>
  <si>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</si>
  <si>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</si>
  <si>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</si>
  <si>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</si>
  <si>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</si>
  <si>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</si>
  <si>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</si>
  <si>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</si>
  <si>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</si>
  <si>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</si>
  <si>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</si>
  <si>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</si>
  <si>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</si>
  <si>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</si>
  <si>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</si>
  <si>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</si>
  <si>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</si>
  <si>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</si>
  <si>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</si>
  <si>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</si>
  <si>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</si>
  <si>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</si>
  <si>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</si>
  <si>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</si>
  <si>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</si>
  <si>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</si>
  <si>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</si>
  <si>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</si>
  <si>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</si>
  <si>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</si>
  <si>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</si>
  <si>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</si>
  <si>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</si>
  <si>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</si>
  <si>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</si>
  <si>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</si>
  <si>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</si>
  <si>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</si>
  <si>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</si>
  <si>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</si>
  <si>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</si>
  <si>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</si>
  <si>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</si>
  <si>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</si>
  <si>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</si>
  <si>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</si>
  <si>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</si>
  <si>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</si>
  <si>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</si>
  <si>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</si>
  <si>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</si>
  <si>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</si>
  <si>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</si>
  <si>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</si>
  <si>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</si>
  <si>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</si>
  <si>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</si>
  <si>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</si>
  <si>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</si>
  <si>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</si>
  <si>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</si>
  <si>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</si>
  <si>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</si>
  <si>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</si>
  <si>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</si>
  <si>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</si>
  <si>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</si>
  <si>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</si>
  <si>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</si>
  <si>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</si>
  <si>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</si>
  <si>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</si>
  <si>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</si>
  <si>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</si>
  <si>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</si>
  <si>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</si>
  <si>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</si>
  <si>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</si>
  <si>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</si>
  <si>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</si>
  <si>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</si>
  <si>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</si>
  <si>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</si>
  <si>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</si>
  <si>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</si>
  <si>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</si>
  <si>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</si>
  <si>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</si>
  <si>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</si>
  <si>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</si>
  <si>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</si>
  <si>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</si>
  <si>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</si>
  <si>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</si>
  <si>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</si>
  <si>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</si>
  <si>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</si>
  <si>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</si>
  <si>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</si>
  <si>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</si>
  <si>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</si>
  <si>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</si>
  <si>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</si>
  <si>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</si>
  <si>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</si>
  <si>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</si>
  <si>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</si>
  <si>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</si>
  <si>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</si>
  <si>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</si>
  <si>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</si>
  <si>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</si>
  <si>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</si>
  <si>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</si>
  <si>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</si>
  <si>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</si>
  <si>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</si>
  <si>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</si>
  <si>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</si>
  <si>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</si>
  <si>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</si>
  <si>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</si>
  <si>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</si>
  <si>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</si>
  <si>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</si>
  <si>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</si>
  <si>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</si>
  <si>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</si>
  <si>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</si>
  <si>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</si>
  <si>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</si>
  <si>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</si>
  <si>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</si>
  <si>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</si>
  <si>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</si>
  <si>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</si>
  <si>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</si>
  <si>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</si>
  <si>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</si>
  <si>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</si>
  <si>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</si>
  <si>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</si>
  <si>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</si>
  <si>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</si>
  <si>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</si>
  <si>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</si>
  <si>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</si>
  <si>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</si>
  <si>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</si>
  <si>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</si>
  <si>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</si>
  <si>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</si>
  <si>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</si>
  <si>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</si>
  <si>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</si>
  <si>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</si>
  <si>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</si>
  <si>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</si>
  <si>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</si>
  <si>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</si>
  <si>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</si>
  <si>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</si>
  <si>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</si>
  <si>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</si>
  <si>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</si>
  <si>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</si>
  <si>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</si>
  <si>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</si>
  <si>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</si>
  <si>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</si>
  <si>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</si>
  <si>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</si>
  <si>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</si>
  <si>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</si>
  <si>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</si>
  <si>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</si>
  <si>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</si>
  <si>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</si>
  <si>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</si>
  <si>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</si>
  <si>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</si>
  <si>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</si>
  <si>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</si>
  <si>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</si>
  <si>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</si>
  <si>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</si>
  <si>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</si>
  <si>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</si>
  <si>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</si>
  <si>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</si>
  <si>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</si>
  <si>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</si>
  <si>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</si>
  <si>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</si>
  <si>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</si>
  <si>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</si>
  <si>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</si>
  <si>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</si>
  <si>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</si>
  <si>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</si>
  <si>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</si>
  <si>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</si>
  <si>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</si>
  <si>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</si>
  <si>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</si>
  <si>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</si>
  <si>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</si>
  <si>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</si>
  <si>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</si>
  <si>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</si>
  <si>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</si>
  <si>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</si>
  <si>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</si>
  <si>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</si>
  <si>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</si>
  <si>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</si>
  <si>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</si>
  <si>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</si>
  <si>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</si>
  <si>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</si>
  <si>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</si>
  <si>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</si>
  <si>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</si>
  <si>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</si>
  <si>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</si>
  <si>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</si>
  <si>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</si>
  <si>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</si>
  <si>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</si>
  <si>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</si>
  <si>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</si>
  <si>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</si>
  <si>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</si>
  <si>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</si>
  <si>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</si>
  <si>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</si>
  <si>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</si>
  <si>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</si>
  <si>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</si>
  <si>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</si>
  <si>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</si>
  <si>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</si>
  <si>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</si>
  <si>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</si>
  <si>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</si>
  <si>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</si>
  <si>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</si>
  <si>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</si>
  <si>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</si>
  <si>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</si>
  <si>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</si>
  <si>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</si>
  <si>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</si>
  <si>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</si>
  <si>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</si>
  <si>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</si>
  <si>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</si>
  <si>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</si>
  <si>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</si>
  <si>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</si>
  <si>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</si>
  <si>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</si>
  <si>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</si>
  <si>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</si>
  <si>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</si>
  <si>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</si>
  <si>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</si>
  <si>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</si>
  <si>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</si>
  <si>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</si>
  <si>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</si>
  <si>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</si>
  <si>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</si>
  <si>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</si>
  <si>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</si>
  <si>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</si>
  <si>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</si>
  <si>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</si>
  <si>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</si>
  <si>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</si>
  <si>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</si>
  <si>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</si>
  <si>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</si>
  <si>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</si>
  <si>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</si>
  <si>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</si>
  <si>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</si>
  <si>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</si>
  <si>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</si>
  <si>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</si>
  <si>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</si>
  <si>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</si>
  <si>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</si>
  <si>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</si>
  <si>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</si>
  <si>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</si>
  <si>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</si>
  <si>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</si>
  <si>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</si>
  <si>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</si>
  <si>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</si>
  <si>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</si>
  <si>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</si>
  <si>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</si>
  <si>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</si>
  <si>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</si>
  <si>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</si>
  <si>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</si>
  <si>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</si>
  <si>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</si>
  <si>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</si>
  <si>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</si>
  <si>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</si>
  <si>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</si>
  <si>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</si>
  <si>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</si>
  <si>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</si>
  <si>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</si>
  <si>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</si>
  <si>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</si>
  <si>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</si>
  <si>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</si>
  <si>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</si>
  <si>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</si>
  <si>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</si>
  <si>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</si>
  <si>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</si>
  <si>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</si>
  <si>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</si>
  <si>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</si>
  <si>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</si>
  <si>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</si>
  <si>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</si>
  <si>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</si>
  <si>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</si>
  <si>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</si>
  <si>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</si>
  <si>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</si>
  <si>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</si>
  <si>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</si>
  <si>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</si>
  <si>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</si>
  <si>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</si>
  <si>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</si>
  <si>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</si>
  <si>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</si>
  <si>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</si>
  <si>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</si>
  <si>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</si>
  <si>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</si>
  <si>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</si>
  <si>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</si>
  <si>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</si>
  <si>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</si>
  <si>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</si>
  <si>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</si>
  <si>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</si>
  <si>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</si>
  <si>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</si>
  <si>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</si>
  <si>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</si>
  <si>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</si>
  <si>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</si>
  <si>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</si>
  <si>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</si>
  <si>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</si>
  <si>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</si>
  <si>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</si>
  <si>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</si>
  <si>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</si>
  <si>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</si>
  <si>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</si>
  <si>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</si>
  <si>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</si>
  <si>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</si>
  <si>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</si>
  <si>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</si>
  <si>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</si>
  <si>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</si>
  <si>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</si>
  <si>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</si>
  <si>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</si>
  <si>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</si>
  <si>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</si>
  <si>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</si>
  <si>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</si>
  <si>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</si>
  <si>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</si>
  <si>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</si>
  <si>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</si>
  <si>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</si>
  <si>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</si>
  <si>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</si>
  <si>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</si>
  <si>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</si>
  <si>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</si>
  <si>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</si>
  <si>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</si>
  <si>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</si>
  <si>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</si>
  <si>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</si>
  <si>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</si>
  <si>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</si>
  <si>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</si>
  <si>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</si>
  <si>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</si>
  <si>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</si>
  <si>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</si>
  <si>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</si>
  <si>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</si>
  <si>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</si>
  <si>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</si>
  <si>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</si>
  <si>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</si>
  <si>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</si>
  <si>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</si>
  <si>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</si>
  <si>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</si>
  <si>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</si>
  <si>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</si>
  <si>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</si>
  <si>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</si>
  <si>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</si>
  <si>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</si>
  <si>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</si>
  <si>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</si>
  <si>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</si>
  <si>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</si>
  <si>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</si>
  <si>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</si>
  <si>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</si>
  <si>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</si>
  <si>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</si>
  <si>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</si>
  <si>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</si>
  <si>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</si>
  <si>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</si>
  <si>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</si>
  <si>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</si>
  <si>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</si>
  <si>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</si>
  <si>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</si>
  <si>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</si>
  <si>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</si>
  <si>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</si>
  <si>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</si>
  <si>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</si>
  <si>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</si>
  <si>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</si>
  <si>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</si>
  <si>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</si>
  <si>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</si>
  <si>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</si>
  <si>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</si>
  <si>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</si>
  <si>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</si>
  <si>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</si>
  <si>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</si>
  <si>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</si>
  <si>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</si>
  <si>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</si>
  <si>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</si>
  <si>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</si>
  <si>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</si>
  <si>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</si>
  <si>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</si>
  <si>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</si>
  <si>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</si>
  <si>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</si>
  <si>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</si>
  <si>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</si>
  <si>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</si>
  <si>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</si>
  <si>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</si>
  <si>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</si>
  <si>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</si>
  <si>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</si>
  <si>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</si>
  <si>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</si>
  <si>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</si>
  <si>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</si>
  <si>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</si>
  <si>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</si>
  <si>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</si>
  <si>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</si>
  <si>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</si>
  <si>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</si>
  <si>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</si>
  <si>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</si>
  <si>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</si>
  <si>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</si>
  <si>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</si>
  <si>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</si>
  <si>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</si>
  <si>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</si>
  <si>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</si>
  <si>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</si>
  <si>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</si>
  <si>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</si>
  <si>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</si>
  <si>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</si>
  <si>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</si>
  <si>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</si>
  <si>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</si>
  <si>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</si>
  <si>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</si>
  <si>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</si>
  <si>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</si>
  <si>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</si>
  <si>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</si>
  <si>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</si>
  <si>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</si>
  <si>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</si>
  <si>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</si>
  <si>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</si>
  <si>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</si>
  <si>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</si>
  <si>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</si>
  <si>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</si>
  <si>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</si>
  <si>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</si>
  <si>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</si>
  <si>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</si>
  <si>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</si>
  <si>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</si>
  <si>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</si>
  <si>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</si>
  <si>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</si>
  <si>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</si>
  <si>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</si>
  <si>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</si>
  <si>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</si>
  <si>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</si>
  <si>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</si>
  <si>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</si>
  <si>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</si>
  <si>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</si>
  <si>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</si>
  <si>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</si>
  <si>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</si>
  <si>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</si>
  <si>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</si>
  <si>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</si>
  <si>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</si>
  <si>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</si>
  <si>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</si>
  <si>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</si>
  <si>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</si>
  <si>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</si>
  <si>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</si>
  <si>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</si>
  <si>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</si>
  <si>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</si>
  <si>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</si>
  <si>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</si>
  <si>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</si>
  <si>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</si>
  <si>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</si>
  <si>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</si>
  <si>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</si>
  <si>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</si>
  <si>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</si>
  <si>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</si>
  <si>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</si>
  <si>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</si>
  <si>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</si>
  <si>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</si>
  <si>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</si>
  <si>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</si>
  <si>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</si>
  <si>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</si>
  <si>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</si>
  <si>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</si>
  <si>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</si>
  <si>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</si>
  <si>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</si>
  <si>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</si>
  <si>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</si>
  <si>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</si>
  <si>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</si>
  <si>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</si>
  <si>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</si>
  <si>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</si>
  <si>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</si>
  <si>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</si>
  <si>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</si>
  <si>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</si>
  <si>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</si>
  <si>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</si>
  <si>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</si>
  <si>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</si>
  <si>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</si>
  <si>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</si>
  <si>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</si>
  <si>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</si>
  <si>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</si>
  <si>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</si>
  <si>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</si>
  <si>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</si>
  <si>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</si>
  <si>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</si>
  <si>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</si>
  <si>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</si>
  <si>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</si>
  <si>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</si>
  <si>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</si>
  <si>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</si>
  <si>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</si>
  <si>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</si>
  <si>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</si>
  <si>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</si>
  <si>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</si>
  <si>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</si>
  <si>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</si>
  <si>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</si>
  <si>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</si>
  <si>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</si>
  <si>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</si>
  <si>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</si>
  <si>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</si>
  <si>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</si>
  <si>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</si>
  <si>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</si>
  <si>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</si>
  <si>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</si>
  <si>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</si>
  <si>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</si>
  <si>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</si>
  <si>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</si>
  <si>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</si>
  <si>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</si>
  <si>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</si>
  <si>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</si>
  <si>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</si>
  <si>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</si>
  <si>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</si>
  <si>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</si>
  <si>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</si>
  <si>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</si>
  <si>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</si>
  <si>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</si>
  <si>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</si>
  <si>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</si>
  <si>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</si>
  <si>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</si>
  <si>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</si>
  <si>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</si>
  <si>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</si>
  <si>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</si>
  <si>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</si>
  <si>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</si>
  <si>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</si>
  <si>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</si>
  <si>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</si>
  <si>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</si>
  <si>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</si>
  <si>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</si>
  <si>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</si>
  <si>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</si>
  <si>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</si>
  <si>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</si>
  <si>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</si>
  <si>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</si>
  <si>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</si>
  <si>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</si>
  <si>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</si>
  <si>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</si>
  <si>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</si>
  <si>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</si>
  <si>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</si>
  <si>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</si>
  <si>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</si>
  <si>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</si>
  <si>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</si>
  <si>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</si>
  <si>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</si>
  <si>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</si>
  <si>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</si>
  <si>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</si>
  <si>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</si>
  <si>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</si>
  <si>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</si>
  <si>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</si>
  <si>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</si>
  <si>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</si>
  <si>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</si>
  <si>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</si>
  <si>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</si>
  <si>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</si>
  <si>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</si>
  <si>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</si>
  <si>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</si>
  <si>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</si>
  <si>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</si>
  <si>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</si>
  <si>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</si>
  <si>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</si>
  <si>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</si>
  <si>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</si>
  <si>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</si>
  <si>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</si>
  <si>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</si>
  <si>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</si>
  <si>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</si>
  <si>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</si>
  <si>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</si>
  <si>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</si>
  <si>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</si>
  <si>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</si>
  <si>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</si>
  <si>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</si>
  <si>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</si>
  <si>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</si>
  <si>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</si>
  <si>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</si>
  <si>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</si>
  <si>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</si>
  <si>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</si>
  <si>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</si>
  <si>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</si>
  <si>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</si>
  <si>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</si>
  <si>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</si>
  <si>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</si>
  <si>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</si>
  <si>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</si>
  <si>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</si>
  <si>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</si>
  <si>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</si>
  <si>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</si>
  <si>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</si>
  <si>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</si>
  <si>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</si>
  <si>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</si>
  <si>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</si>
  <si>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</si>
  <si>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</si>
  <si>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</si>
  <si>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</si>
  <si>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</si>
  <si>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</si>
  <si>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</si>
  <si>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</si>
  <si>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</si>
  <si>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</si>
  <si>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</si>
  <si>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</si>
  <si>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</si>
  <si>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</si>
  <si>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</si>
  <si>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</si>
  <si>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</si>
  <si>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</si>
  <si>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</si>
  <si>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</si>
  <si>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</si>
  <si>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</si>
  <si>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</si>
  <si>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</si>
  <si>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</si>
  <si>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</si>
  <si>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</si>
  <si>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</si>
  <si>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</si>
  <si>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</si>
  <si>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</si>
  <si>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</si>
  <si>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</si>
  <si>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</si>
  <si>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</si>
  <si>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</si>
  <si>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</si>
  <si>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</si>
  <si>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</si>
  <si>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</si>
  <si>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</si>
  <si>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</si>
  <si>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</si>
  <si>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</si>
  <si>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</si>
  <si>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</si>
  <si>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</si>
  <si>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</si>
  <si>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</si>
  <si>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</si>
  <si>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</si>
  <si>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</si>
  <si>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</si>
  <si>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</si>
  <si>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</si>
  <si>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</si>
  <si>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</si>
  <si>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</si>
  <si>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</si>
  <si>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</si>
  <si>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</si>
  <si>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</si>
  <si>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</si>
  <si>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</si>
  <si>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</si>
  <si>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</si>
  <si>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</si>
  <si>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</si>
  <si>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</si>
  <si>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</si>
  <si>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</si>
  <si>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</si>
  <si>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</si>
  <si>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</si>
  <si>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</si>
  <si>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</si>
  <si>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</si>
  <si>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</si>
  <si>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</si>
  <si>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</si>
  <si>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</si>
  <si>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</si>
  <si>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</si>
  <si>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</si>
  <si>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</si>
  <si>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</si>
  <si>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</si>
  <si>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</si>
  <si>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</si>
  <si>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</si>
  <si>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</si>
  <si>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</si>
  <si>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</si>
  <si>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</si>
  <si>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</si>
  <si>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</si>
  <si>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</si>
  <si>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</si>
  <si>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</si>
  <si>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</si>
  <si>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</si>
  <si>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</si>
  <si>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</si>
  <si>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</si>
  <si>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</si>
  <si>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</si>
  <si>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</si>
  <si>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</si>
  <si>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</si>
  <si>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</si>
  <si>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</si>
  <si>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</si>
  <si>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</si>
  <si>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</si>
  <si>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</si>
  <si>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</si>
  <si>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</si>
  <si>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</si>
  <si>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</si>
  <si>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</si>
  <si>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</si>
  <si>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</si>
  <si>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</si>
  <si>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</si>
  <si>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</si>
  <si>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</si>
  <si>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</si>
  <si>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</si>
  <si>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</si>
  <si>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</si>
  <si>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</si>
  <si>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</si>
  <si>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</si>
  <si>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</si>
  <si>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</si>
  <si>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</si>
  <si>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</si>
  <si>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</si>
  <si>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</si>
  <si>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</si>
  <si>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</si>
  <si>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</si>
  <si>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</si>
  <si>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</si>
  <si>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</si>
  <si>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</si>
  <si>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</si>
  <si>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</si>
  <si>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</si>
  <si>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</si>
  <si>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</si>
  <si>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</si>
  <si>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</si>
  <si>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</si>
  <si>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</si>
  <si>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</si>
  <si>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</si>
  <si>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</si>
  <si>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</si>
  <si>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</si>
  <si>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</si>
  <si>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</si>
  <si>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</si>
  <si>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</si>
  <si>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</si>
  <si>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</si>
  <si>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</si>
  <si>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</si>
  <si>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</si>
  <si>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</si>
  <si>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</si>
  <si>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</si>
  <si>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</si>
  <si>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</si>
  <si>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</si>
  <si>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</si>
  <si>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</si>
  <si>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</si>
  <si>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</si>
  <si>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</si>
  <si>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</si>
  <si>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</si>
  <si>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</si>
  <si>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</si>
  <si>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</si>
  <si>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</si>
  <si>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</si>
  <si>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</si>
  <si>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</si>
  <si>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</si>
  <si>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</si>
  <si>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</si>
  <si>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</si>
  <si>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</si>
  <si>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</si>
  <si>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</si>
  <si>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</si>
  <si>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</si>
  <si>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</si>
  <si>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</si>
  <si>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</si>
  <si>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</si>
  <si>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</si>
  <si>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</si>
  <si>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</si>
  <si>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</si>
  <si>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</si>
  <si>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</si>
  <si>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</si>
  <si>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</si>
  <si>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</si>
  <si>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</si>
  <si>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</si>
  <si>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</si>
  <si>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</si>
  <si>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</si>
  <si>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</si>
  <si>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</si>
  <si>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</si>
  <si>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</si>
  <si>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</si>
  <si>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</si>
  <si>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</si>
  <si>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</si>
  <si>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</si>
  <si>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</si>
  <si>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</si>
  <si>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</si>
  <si>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</si>
  <si>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</si>
  <si>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</si>
  <si>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</si>
  <si>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</si>
  <si>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</si>
  <si>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</si>
  <si>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</si>
  <si>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</si>
  <si>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</si>
  <si>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</si>
  <si>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</si>
  <si>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</si>
  <si>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</si>
  <si>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</si>
  <si>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</si>
  <si>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</si>
  <si>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</si>
  <si>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</si>
  <si>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</si>
  <si>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</si>
  <si>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</si>
  <si>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</si>
  <si>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</si>
  <si>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</si>
  <si>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</si>
  <si>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</si>
  <si>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</si>
  <si>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</si>
  <si>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</si>
  <si>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</si>
  <si>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</si>
  <si>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</si>
  <si>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</si>
  <si>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</si>
  <si>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</si>
  <si>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</si>
  <si>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</si>
  <si>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</si>
  <si>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</si>
  <si>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</si>
  <si>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</si>
  <si>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</si>
  <si>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</si>
  <si>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</si>
  <si>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</si>
  <si>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</si>
  <si>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</si>
  <si>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</si>
  <si>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</si>
  <si>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</si>
  <si>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</si>
  <si>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</si>
  <si>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</si>
  <si>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</si>
  <si>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</si>
  <si>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</si>
  <si>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</si>
  <si>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</si>
  <si>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</si>
  <si>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</si>
  <si>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</si>
  <si>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</si>
  <si>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</si>
  <si>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</si>
  <si>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</si>
  <si>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</si>
  <si>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</si>
  <si>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</si>
  <si>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</si>
  <si>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</si>
  <si>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</si>
  <si>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</si>
  <si>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</si>
  <si>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</si>
  <si>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</si>
  <si>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</si>
  <si>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</si>
  <si>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</si>
  <si>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</si>
  <si>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</si>
  <si>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</si>
  <si>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</si>
  <si>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</si>
  <si>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</si>
  <si>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</si>
  <si>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</si>
  <si>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</si>
  <si>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</si>
  <si>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</si>
  <si>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</si>
  <si>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</si>
  <si>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</si>
  <si>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</si>
  <si>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</si>
  <si>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</si>
  <si>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</si>
  <si>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</si>
  <si>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</si>
  <si>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</si>
  <si>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</si>
  <si>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</si>
  <si>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</si>
  <si>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</si>
  <si>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</si>
  <si>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</si>
  <si>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</si>
  <si>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</si>
  <si>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</si>
  <si>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</si>
  <si>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</si>
  <si>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</si>
  <si>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</si>
  <si>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</si>
  <si>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</si>
  <si>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</si>
  <si>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</si>
  <si>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</si>
  <si>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</si>
  <si>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</si>
  <si>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</si>
  <si>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</si>
  <si>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</si>
  <si>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</si>
  <si>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</si>
  <si>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</si>
  <si>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</si>
  <si>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</si>
  <si>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</si>
  <si>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</si>
  <si>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</si>
  <si>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</si>
  <si>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</si>
  <si>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</si>
  <si>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</si>
  <si>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</si>
  <si>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</si>
  <si>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</si>
  <si>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</si>
  <si>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</si>
  <si>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</si>
  <si>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</si>
  <si>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</si>
  <si>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</si>
  <si>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</si>
  <si>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</si>
  <si>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</si>
  <si>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</si>
  <si>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</si>
  <si>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</si>
  <si>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</si>
  <si>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</si>
  <si>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</si>
  <si>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</si>
  <si>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</si>
  <si>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</si>
  <si>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</si>
  <si>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</si>
  <si>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</si>
  <si>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</si>
  <si>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</si>
  <si>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</si>
  <si>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</si>
  <si>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</si>
  <si>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</si>
  <si>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</si>
  <si>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</si>
  <si>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</si>
  <si>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</si>
  <si>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</si>
  <si>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</si>
  <si>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</si>
  <si>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</si>
  <si>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</si>
  <si>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</si>
  <si>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</si>
  <si>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</si>
  <si>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</si>
  <si>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</si>
  <si>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</si>
  <si>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</si>
  <si>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</si>
  <si>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</si>
  <si>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</si>
  <si>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</si>
  <si>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</si>
  <si>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</si>
  <si>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</si>
  <si>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</si>
  <si>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</si>
  <si>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</si>
  <si>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</si>
  <si>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</si>
  <si>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</si>
  <si>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</si>
  <si>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</si>
  <si>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</si>
  <si>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</si>
  <si>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</si>
  <si>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</si>
  <si>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</si>
  <si>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</si>
  <si>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</si>
  <si>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</si>
  <si>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</si>
  <si>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</si>
  <si>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</si>
  <si>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</si>
  <si>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</si>
  <si>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</si>
  <si>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</si>
  <si>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</si>
  <si>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</si>
  <si>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</si>
  <si>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</si>
  <si>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</si>
  <si>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</si>
  <si>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</si>
  <si>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</si>
  <si>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</si>
  <si>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</si>
  <si>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</si>
  <si>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</si>
  <si>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</si>
  <si>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</si>
  <si>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</si>
  <si>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</si>
  <si>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</si>
  <si>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</si>
  <si>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</si>
  <si>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</si>
  <si>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</si>
  <si>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</si>
  <si>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</si>
  <si>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</si>
  <si>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</si>
  <si>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</si>
  <si>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</si>
  <si>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</si>
  <si>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</si>
  <si>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</si>
  <si>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</si>
  <si>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</si>
  <si>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</si>
  <si>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</si>
  <si>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</si>
  <si>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</si>
  <si>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</si>
  <si>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</si>
  <si>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</si>
  <si>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</si>
  <si>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</si>
  <si>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</si>
  <si>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</si>
  <si>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</si>
  <si>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</si>
  <si>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</si>
  <si>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</si>
  <si>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</si>
  <si>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</si>
  <si>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</si>
  <si>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</si>
  <si>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</si>
  <si>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</si>
  <si>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</si>
  <si>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</si>
  <si>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</si>
  <si>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</si>
  <si>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</si>
  <si>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</si>
  <si>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</si>
  <si>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</si>
  <si>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</si>
  <si>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</si>
  <si>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</si>
  <si>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</si>
  <si>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</si>
  <si>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</si>
  <si>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</si>
  <si>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</si>
  <si>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</si>
  <si>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</si>
  <si>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</si>
  <si>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</si>
  <si>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</si>
  <si>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</si>
  <si>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</si>
  <si>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</si>
  <si>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</si>
  <si>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</si>
  <si>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</si>
  <si>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</si>
  <si>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</si>
  <si>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</si>
  <si>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</si>
  <si>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</si>
  <si>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</si>
  <si>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</si>
  <si>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</si>
  <si>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</si>
  <si>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</si>
  <si>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</si>
  <si>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</si>
  <si>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</si>
  <si>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</si>
  <si>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</si>
  <si>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</si>
  <si>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</si>
  <si>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</si>
  <si>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</si>
  <si>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</si>
  <si>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</si>
  <si>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</si>
  <si>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</si>
  <si>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</si>
  <si>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</si>
  <si>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</si>
  <si>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</si>
  <si>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</si>
  <si>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</si>
  <si>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</si>
  <si>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</si>
  <si>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</si>
  <si>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</si>
  <si>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</si>
  <si>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</si>
  <si>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</si>
  <si>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</si>
  <si>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</si>
  <si>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</si>
  <si>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</si>
  <si>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</si>
  <si>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</si>
  <si>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</si>
  <si>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</si>
  <si>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</si>
  <si>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</si>
  <si>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</si>
  <si>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</si>
  <si>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</si>
  <si>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</si>
  <si>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</si>
  <si>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</si>
  <si>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</si>
  <si>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</si>
  <si>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</si>
  <si>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</si>
  <si>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</si>
  <si>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</si>
  <si>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</si>
  <si>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</si>
  <si>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</si>
  <si>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</si>
  <si>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</si>
  <si>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</si>
  <si>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</si>
  <si>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</si>
  <si>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</si>
  <si>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</si>
  <si>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</si>
  <si>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</si>
  <si>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</si>
  <si>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</si>
  <si>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</si>
  <si>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</si>
  <si>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</si>
  <si>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</si>
  <si>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</si>
  <si>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</si>
  <si>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</si>
  <si>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</si>
  <si>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</si>
  <si>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</si>
  <si>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</si>
  <si>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</si>
  <si>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</si>
  <si>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</si>
  <si>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</si>
  <si>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</si>
  <si>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</si>
  <si>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</si>
  <si>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</si>
  <si>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</si>
  <si>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</si>
  <si>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</si>
  <si>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</si>
  <si>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</si>
  <si>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</si>
  <si>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</si>
  <si>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</si>
  <si>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</si>
  <si>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</si>
  <si>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</si>
  <si>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</si>
  <si>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</si>
  <si>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</si>
  <si>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</si>
  <si>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</si>
  <si>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</si>
  <si>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</si>
  <si>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</si>
  <si>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</si>
  <si>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</si>
  <si>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</si>
  <si>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</si>
  <si>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</si>
  <si>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</si>
  <si>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</si>
  <si>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</si>
  <si>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</si>
  <si>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</si>
  <si>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</si>
  <si>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</si>
  <si>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</si>
  <si>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</si>
  <si>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</si>
  <si>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</si>
  <si>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</si>
  <si>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</si>
  <si>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</si>
  <si>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</si>
  <si>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</si>
  <si>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</si>
  <si>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</si>
  <si>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</si>
  <si>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</si>
  <si>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</si>
  <si>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</si>
  <si>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</si>
  <si>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</si>
  <si>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</si>
  <si>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</si>
  <si>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</si>
  <si>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</si>
  <si>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</si>
  <si>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</si>
  <si>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</si>
  <si>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</si>
  <si>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</si>
  <si>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</si>
  <si>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</si>
  <si>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</si>
  <si>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</si>
  <si>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</si>
  <si>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</si>
  <si>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</si>
  <si>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</si>
  <si>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</si>
  <si>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</si>
  <si>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</si>
  <si>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</si>
  <si>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</si>
  <si>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</si>
  <si>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</si>
  <si>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</si>
  <si>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</si>
  <si>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</si>
  <si>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</si>
  <si>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</si>
  <si>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</si>
  <si>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</si>
  <si>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</si>
  <si>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</si>
  <si>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</si>
  <si>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</si>
  <si>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</si>
  <si>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</si>
  <si>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</si>
  <si>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</si>
  <si>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</si>
  <si>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</si>
  <si>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</si>
  <si>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</si>
  <si>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</si>
  <si>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</si>
  <si>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</si>
  <si>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</si>
  <si>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</si>
  <si>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</si>
  <si>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</si>
  <si>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</si>
  <si>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</si>
  <si>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</si>
  <si>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</si>
  <si>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</si>
  <si>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</si>
  <si>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</si>
  <si>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</si>
  <si>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</si>
  <si>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</si>
  <si>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</si>
  <si>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</si>
  <si>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</si>
  <si>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</si>
  <si>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</si>
  <si>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</si>
  <si>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</si>
  <si>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</si>
  <si>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</si>
  <si>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</si>
  <si>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</si>
  <si>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</si>
  <si>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</si>
  <si>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</si>
  <si>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</si>
  <si>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</si>
  <si>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</si>
  <si>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</si>
  <si>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</si>
  <si>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</si>
  <si>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</si>
  <si>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</si>
  <si>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</si>
  <si>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</si>
  <si>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</si>
  <si>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</si>
  <si>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</si>
  <si>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</si>
  <si>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</si>
  <si>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</si>
  <si>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</si>
  <si>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</si>
  <si>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</si>
  <si>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</si>
  <si>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</si>
  <si>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</si>
  <si>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</si>
  <si>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</si>
  <si>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</si>
  <si>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</si>
  <si>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</si>
  <si>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</si>
  <si>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</si>
  <si>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</si>
  <si>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</si>
  <si>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</si>
  <si>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</si>
  <si>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</si>
  <si>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</si>
  <si>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</si>
  <si>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</si>
  <si>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</si>
  <si>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</si>
  <si>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</si>
  <si>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</si>
  <si>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</si>
  <si>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</si>
  <si>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</si>
  <si>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</si>
  <si>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</si>
  <si>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</si>
  <si>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</si>
  <si>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</si>
  <si>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</si>
  <si>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</si>
  <si>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</si>
  <si>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</si>
  <si>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</si>
  <si>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</si>
  <si>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</si>
  <si>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</si>
  <si>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</si>
  <si>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</si>
  <si>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</si>
  <si>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</si>
  <si>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</si>
  <si>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</si>
  <si>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</si>
  <si>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</si>
  <si>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</si>
  <si>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</si>
  <si>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</si>
  <si>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</si>
  <si>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</si>
  <si>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</si>
  <si>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</si>
  <si>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</si>
  <si>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</si>
  <si>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</si>
  <si>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</si>
  <si>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</si>
  <si>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</si>
  <si>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</si>
  <si>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</si>
  <si>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</si>
  <si>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</si>
  <si>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</si>
  <si>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</si>
  <si>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</si>
  <si>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</si>
  <si>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</si>
  <si>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</si>
  <si>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</si>
  <si>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</si>
  <si>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</si>
  <si>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</si>
  <si>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</si>
  <si>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</si>
  <si>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</si>
  <si>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</si>
  <si>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</si>
  <si>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</si>
  <si>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</si>
  <si>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</si>
  <si>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</si>
  <si>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</si>
  <si>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</si>
  <si>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</si>
  <si>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</si>
  <si>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</si>
  <si>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</si>
  <si>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</si>
  <si>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</si>
  <si>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</si>
  <si>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</si>
  <si>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</si>
  <si>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</si>
  <si>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</si>
  <si>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</si>
  <si>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</si>
  <si>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</si>
  <si>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</si>
  <si>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</si>
  <si>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</si>
  <si>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</si>
  <si>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</si>
  <si>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</si>
  <si>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</si>
  <si>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</si>
  <si>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</si>
  <si>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</si>
  <si>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</si>
  <si>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</si>
  <si>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</si>
  <si>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</si>
  <si>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</si>
  <si>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</si>
  <si>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</si>
  <si>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</si>
  <si>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</si>
  <si>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</si>
  <si>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</si>
  <si>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</si>
  <si>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</si>
  <si>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</si>
  <si>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</si>
  <si>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</si>
  <si>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</si>
  <si>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</si>
  <si>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</si>
  <si>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</si>
  <si>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</si>
  <si>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</si>
  <si>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</si>
  <si>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</si>
  <si>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</si>
  <si>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</si>
  <si>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</si>
  <si>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</si>
  <si>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</si>
  <si>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</si>
  <si>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</si>
  <si>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</si>
  <si>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</si>
  <si>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</si>
  <si>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</si>
  <si>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</si>
  <si>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</si>
  <si>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</si>
  <si>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</si>
  <si>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</si>
  <si>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</si>
  <si>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</si>
  <si>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</si>
  <si>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</si>
  <si>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</si>
  <si>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</si>
  <si>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</si>
  <si>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</si>
  <si>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</si>
  <si>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</si>
  <si>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</si>
  <si>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</si>
  <si>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</si>
  <si>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</si>
  <si>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</si>
  <si>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</si>
  <si>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</si>
  <si>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</si>
  <si>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</si>
  <si>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</si>
  <si>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</si>
  <si>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</si>
  <si>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</si>
  <si>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</si>
  <si>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</si>
  <si>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</si>
  <si>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</si>
  <si>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</si>
  <si>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</si>
  <si>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</si>
  <si>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</si>
  <si>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</si>
  <si>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</si>
  <si>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</si>
  <si>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</si>
  <si>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</si>
  <si>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</si>
  <si>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</si>
  <si>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</si>
  <si>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</si>
  <si>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</si>
  <si>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</si>
  <si>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</si>
  <si>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</si>
  <si>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</si>
  <si>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</si>
  <si>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</si>
  <si>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</si>
  <si>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</si>
  <si>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</si>
  <si>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</si>
  <si>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</si>
  <si>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</si>
  <si>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</si>
  <si>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</si>
  <si>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</si>
  <si>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</si>
  <si>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</si>
  <si>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</si>
  <si>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</si>
  <si>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</si>
  <si>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</si>
  <si>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</si>
  <si>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</si>
  <si>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</si>
  <si>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</si>
  <si>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</si>
  <si>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</si>
  <si>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</si>
  <si>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</si>
  <si>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</si>
  <si>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</si>
  <si>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</si>
  <si>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</si>
  <si>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</si>
  <si>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</si>
  <si>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</si>
  <si>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</si>
  <si>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</si>
  <si>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</si>
  <si>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</si>
  <si>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</si>
  <si>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</si>
  <si>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</si>
  <si>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</si>
  <si>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</si>
  <si>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</si>
  <si>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</si>
  <si>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</si>
  <si>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</si>
  <si>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</si>
  <si>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</si>
  <si>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</si>
  <si>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</si>
  <si>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</si>
  <si>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</si>
  <si>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</si>
  <si>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</si>
  <si>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</si>
  <si>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</si>
  <si>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</si>
  <si>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</si>
  <si>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</si>
  <si>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</si>
  <si>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</si>
  <si>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</si>
  <si>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</si>
  <si>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</si>
  <si>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</si>
  <si>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</si>
  <si>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</si>
  <si>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</si>
  <si>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</si>
  <si>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</si>
  <si>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</si>
  <si>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</si>
  <si>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</si>
  <si>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</si>
  <si>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</si>
  <si>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</si>
  <si>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</si>
  <si>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</si>
  <si>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</si>
  <si>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</si>
  <si>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</si>
  <si>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</si>
  <si>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</si>
  <si>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</si>
  <si>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</si>
  <si>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</si>
  <si>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</si>
  <si>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</si>
  <si>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</si>
  <si>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</si>
  <si>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</si>
  <si>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</si>
  <si>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</si>
  <si>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</si>
  <si>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</si>
  <si>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</si>
  <si>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</si>
  <si>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</si>
  <si>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</si>
  <si>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</si>
  <si>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</si>
  <si>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</si>
  <si>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</si>
  <si>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</si>
  <si>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</si>
  <si>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</si>
  <si>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</si>
  <si>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</si>
  <si>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</si>
  <si>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</si>
  <si>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</si>
  <si>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</si>
  <si>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</si>
  <si>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</si>
  <si>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</si>
  <si>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</si>
  <si>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</si>
  <si>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</si>
  <si>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</si>
  <si>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</si>
  <si>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</si>
  <si>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</si>
  <si>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</si>
  <si>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</si>
  <si>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</si>
  <si>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</si>
  <si>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</si>
  <si>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</si>
  <si>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</si>
  <si>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</si>
  <si>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</si>
  <si>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</si>
  <si>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</si>
  <si>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</si>
  <si>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</si>
  <si>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</si>
  <si>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</si>
  <si>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</si>
  <si>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</si>
  <si>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</si>
  <si>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</si>
  <si>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</si>
  <si>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</si>
  <si>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</si>
  <si>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</si>
  <si>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</si>
  <si>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</si>
  <si>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</si>
  <si>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</si>
  <si>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</si>
  <si>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</si>
  <si>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</si>
  <si>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</si>
  <si>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</si>
  <si>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</si>
  <si>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</si>
  <si>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</si>
  <si>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</si>
  <si>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</si>
  <si>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</si>
  <si>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</si>
  <si>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</si>
  <si>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</si>
  <si>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</si>
  <si>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</si>
  <si>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</si>
  <si>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</si>
  <si>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</si>
  <si>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</si>
  <si>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</si>
  <si>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</si>
  <si>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</si>
  <si>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</si>
  <si>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</si>
  <si>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</si>
  <si>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</si>
  <si>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</si>
  <si>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</si>
  <si>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</si>
  <si>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</si>
  <si>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</si>
  <si>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</si>
  <si>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</si>
  <si>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</si>
  <si>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</si>
  <si>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</si>
  <si>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</si>
  <si>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</si>
  <si>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</si>
  <si>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</si>
  <si>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</si>
  <si>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</si>
  <si>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</si>
  <si>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</si>
  <si>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</si>
  <si>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</si>
  <si>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</si>
  <si>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</si>
  <si>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</si>
  <si>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</si>
  <si>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</si>
  <si>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</si>
  <si>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</si>
  <si>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</si>
  <si>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</si>
  <si>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</si>
  <si>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</si>
  <si>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</si>
  <si>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</si>
  <si>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</si>
  <si>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</si>
  <si>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</si>
  <si>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</si>
  <si>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</si>
  <si>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</si>
  <si>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</si>
  <si>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</si>
  <si>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</si>
  <si>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</si>
  <si>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</si>
  <si>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</si>
  <si>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</si>
  <si>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</si>
  <si>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</si>
  <si>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</si>
  <si>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</si>
  <si>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</si>
  <si>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</si>
  <si>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</si>
  <si>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</si>
  <si>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</si>
  <si>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</si>
  <si>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</si>
  <si>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</si>
  <si>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</si>
  <si>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</si>
  <si>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</si>
  <si>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</si>
  <si>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</si>
  <si>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</si>
  <si>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</si>
  <si>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</si>
  <si>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</si>
  <si>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</si>
  <si>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</si>
  <si>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</si>
  <si>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</si>
  <si>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</si>
  <si>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</si>
  <si>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</si>
  <si>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</si>
  <si>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</si>
  <si>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</si>
  <si>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</si>
  <si>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</si>
  <si>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</si>
  <si>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</si>
  <si>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</si>
  <si>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</si>
  <si>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</si>
  <si>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</si>
  <si>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</si>
  <si>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</si>
  <si>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</si>
  <si>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</si>
  <si>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</si>
  <si>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</si>
  <si>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</si>
  <si>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</si>
  <si>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</si>
  <si>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</si>
  <si>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</si>
  <si>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</si>
  <si>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</si>
  <si>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</si>
  <si>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</si>
  <si>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</si>
  <si>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</si>
  <si>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</si>
  <si>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</si>
  <si>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</si>
  <si>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</si>
  <si>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</si>
  <si>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</si>
  <si>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</si>
  <si>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</si>
  <si>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</si>
  <si>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</si>
  <si>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</si>
  <si>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</si>
  <si>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</si>
  <si>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</si>
  <si>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</si>
  <si>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</si>
  <si>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</si>
  <si>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</si>
  <si>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</si>
  <si>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</si>
  <si>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</si>
  <si>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</si>
  <si>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</si>
  <si>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</si>
  <si>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</si>
  <si>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</si>
  <si>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</si>
  <si>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</si>
  <si>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</si>
  <si>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</si>
  <si>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</si>
  <si>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</si>
  <si>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</si>
  <si>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</si>
  <si>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</si>
  <si>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</si>
  <si>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</si>
  <si>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</si>
  <si>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</si>
  <si>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</si>
  <si>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</si>
  <si>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</si>
  <si>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</si>
  <si>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</si>
  <si>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</si>
  <si>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</si>
  <si>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</si>
  <si>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</si>
  <si>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</si>
  <si>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</si>
  <si>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</si>
  <si>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</si>
  <si>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</si>
  <si>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</si>
  <si>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</si>
  <si>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</si>
  <si>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</si>
  <si>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</si>
  <si>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</si>
  <si>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</si>
  <si>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</si>
  <si>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</si>
  <si>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</si>
  <si>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</si>
  <si>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</si>
  <si>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</si>
  <si>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</si>
  <si>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</si>
  <si>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</si>
  <si>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</si>
  <si>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</si>
  <si>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</si>
  <si>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</si>
  <si>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</si>
  <si>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</si>
  <si>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</si>
  <si>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</si>
  <si>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</si>
  <si>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</si>
  <si>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</si>
  <si>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</si>
  <si>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</si>
  <si>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</si>
  <si>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</si>
  <si>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</si>
  <si>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</si>
  <si>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</si>
  <si>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</si>
  <si>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</si>
  <si>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</si>
  <si>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</si>
  <si>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</si>
  <si>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</si>
  <si>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</si>
  <si>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</si>
  <si>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</si>
  <si>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</si>
  <si>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</si>
  <si>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</si>
  <si>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</si>
  <si>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</si>
  <si>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</si>
  <si>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</si>
  <si>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</si>
  <si>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</si>
  <si>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</si>
  <si>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</si>
  <si>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</si>
  <si>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</si>
  <si>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</si>
  <si>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</si>
  <si>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</si>
  <si>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</si>
  <si>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</si>
  <si>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</si>
  <si>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</si>
  <si>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</si>
  <si>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</si>
  <si>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</si>
  <si>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</si>
  <si>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</si>
  <si>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</si>
  <si>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</si>
  <si>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</si>
  <si>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</si>
  <si>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</si>
  <si>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</si>
  <si>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</si>
  <si>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</si>
  <si>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</si>
  <si>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</si>
  <si>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</si>
  <si>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</si>
  <si>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</si>
  <si>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</si>
  <si>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</si>
  <si>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</si>
  <si>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</si>
  <si>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</si>
  <si>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</si>
  <si>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</si>
  <si>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</si>
  <si>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</si>
  <si>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</si>
  <si>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</si>
  <si>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</si>
  <si>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</si>
  <si>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</si>
  <si>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</si>
  <si>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</si>
  <si>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</si>
  <si>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</si>
  <si>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</si>
  <si>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</si>
  <si>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</si>
  <si>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</si>
  <si>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</si>
  <si>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</si>
  <si>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</si>
  <si>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</si>
  <si>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</si>
  <si>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</si>
  <si>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</si>
  <si>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</si>
  <si>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</si>
  <si>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</si>
  <si>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</si>
  <si>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</si>
  <si>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</si>
  <si>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</si>
  <si>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</si>
  <si>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</si>
  <si>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</si>
  <si>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</si>
  <si>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</si>
  <si>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</si>
  <si>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</si>
  <si>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</si>
  <si>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</si>
  <si>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</si>
  <si>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</si>
  <si>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</si>
  <si>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</si>
  <si>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</si>
  <si>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</si>
  <si>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</si>
  <si>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</si>
  <si>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</si>
  <si>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</si>
  <si>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</si>
  <si>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</si>
  <si>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</si>
  <si>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</si>
  <si>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</si>
  <si>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</si>
  <si>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</si>
  <si>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</si>
  <si>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</si>
  <si>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</si>
  <si>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</si>
  <si>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</si>
  <si>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</si>
  <si>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</si>
  <si>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</si>
  <si>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</si>
  <si>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</si>
  <si>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</si>
  <si>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</si>
  <si>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</si>
  <si>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</si>
  <si>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</si>
  <si>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</si>
  <si>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</si>
  <si>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</si>
  <si>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</si>
  <si>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</si>
  <si>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</si>
  <si>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</si>
  <si>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</si>
  <si>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</si>
  <si>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</si>
  <si>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</si>
  <si>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</si>
  <si>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</si>
  <si>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</si>
  <si>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</si>
  <si>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</si>
  <si>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</si>
  <si>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</si>
  <si>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</si>
  <si>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</si>
  <si>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</si>
  <si>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</si>
  <si>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</si>
  <si>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</si>
  <si>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</si>
  <si>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</si>
  <si>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</si>
  <si>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</si>
  <si>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</si>
  <si>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</si>
  <si>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</si>
  <si>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</si>
  <si>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</si>
  <si>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</si>
  <si>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</si>
  <si>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</si>
  <si>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</si>
  <si>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</si>
  <si>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</si>
  <si>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</si>
  <si>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</si>
  <si>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</si>
  <si>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</si>
  <si>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</si>
  <si>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</si>
  <si>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</si>
  <si>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</si>
  <si>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</si>
  <si>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</si>
  <si>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</si>
  <si>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</si>
  <si>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</si>
  <si>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</si>
  <si>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</si>
  <si>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</si>
  <si>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</si>
  <si>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</si>
  <si>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</si>
  <si>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</si>
  <si>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</si>
  <si>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</si>
  <si>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</si>
  <si>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</si>
  <si>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</si>
  <si>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</si>
  <si>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</si>
  <si>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</si>
  <si>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</si>
  <si>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</si>
  <si>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</si>
  <si>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</si>
  <si>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</si>
  <si>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</si>
  <si>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</si>
  <si>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</si>
  <si>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</si>
  <si>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</si>
  <si>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</si>
  <si>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</si>
  <si>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</si>
  <si>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</si>
  <si>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</si>
  <si>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</si>
  <si>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</si>
  <si>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</si>
  <si>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</si>
  <si>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</si>
  <si>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</si>
  <si>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</si>
  <si>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</si>
  <si>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</si>
  <si>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</si>
  <si>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</si>
  <si>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</si>
  <si>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</si>
  <si>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</si>
  <si>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</si>
  <si>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</si>
  <si>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</si>
  <si>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</si>
  <si>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</si>
  <si>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</si>
  <si>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</si>
  <si>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</si>
  <si>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</si>
  <si>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</si>
  <si>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</si>
  <si>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</si>
  <si>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</si>
  <si>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</si>
  <si>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</si>
  <si>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</si>
  <si>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</si>
  <si>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</si>
  <si>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</si>
  <si>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</si>
  <si>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</si>
  <si>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</si>
  <si>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</si>
  <si>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</si>
  <si>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</si>
  <si>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</si>
  <si>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</si>
  <si>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</si>
  <si>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</si>
  <si>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</si>
  <si>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</si>
  <si>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</si>
  <si>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</si>
  <si>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</si>
  <si>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</si>
  <si>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</si>
  <si>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</si>
  <si>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</si>
  <si>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</si>
  <si>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</si>
  <si>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</si>
  <si>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</si>
  <si>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</si>
  <si>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</si>
  <si>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</si>
  <si>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</si>
  <si>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</si>
  <si>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</si>
  <si>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</si>
  <si>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</si>
  <si>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</si>
  <si>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</si>
  <si>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</si>
  <si>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</si>
  <si>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</si>
  <si>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</si>
  <si>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</si>
  <si>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</si>
  <si>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</si>
  <si>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</si>
  <si>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</si>
  <si>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</si>
  <si>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</si>
  <si>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</si>
  <si>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</si>
  <si>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</si>
  <si>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</si>
  <si>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</si>
  <si>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</si>
  <si>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</si>
  <si>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</si>
  <si>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</si>
  <si>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</si>
  <si>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</si>
  <si>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</si>
  <si>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</si>
  <si>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</si>
  <si>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</si>
  <si>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</si>
  <si>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</si>
  <si>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</si>
  <si>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</si>
  <si>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</si>
  <si>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</si>
  <si>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</si>
  <si>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</si>
  <si>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</si>
  <si>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</si>
  <si>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</si>
  <si>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</si>
  <si>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</si>
  <si>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</si>
  <si>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</si>
  <si>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</si>
  <si>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</si>
  <si>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</si>
  <si>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</si>
  <si>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</si>
  <si>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</si>
  <si>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</si>
  <si>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</si>
  <si>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</si>
  <si>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</si>
  <si>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</si>
  <si>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</si>
  <si>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</si>
  <si>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</si>
  <si>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</si>
  <si>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</si>
  <si>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</si>
  <si>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</si>
  <si>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</si>
  <si>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</si>
  <si>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</si>
  <si>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</si>
  <si>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</si>
  <si>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</si>
  <si>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</si>
  <si>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</si>
  <si>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</si>
  <si>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</si>
  <si>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</si>
  <si>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</si>
  <si>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</si>
  <si>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</si>
  <si>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</si>
  <si>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</si>
  <si>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</si>
  <si>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</si>
  <si>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</si>
  <si>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</si>
  <si>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</si>
  <si>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</si>
  <si>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</si>
  <si>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</si>
  <si>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</si>
  <si>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</si>
  <si>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</si>
  <si>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</si>
  <si>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</si>
  <si>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</si>
  <si>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</si>
  <si>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</si>
  <si>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</si>
  <si>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</si>
  <si>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</si>
  <si>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</si>
  <si>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</si>
  <si>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</si>
  <si>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</si>
  <si>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</si>
  <si>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</si>
  <si>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</si>
  <si>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</si>
  <si>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</si>
  <si>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</si>
  <si>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</si>
  <si>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</si>
  <si>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</si>
  <si>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</si>
  <si>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</si>
  <si>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</si>
  <si>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</si>
  <si>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</si>
  <si>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</si>
  <si>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</si>
  <si>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</si>
  <si>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</si>
  <si>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</si>
  <si>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</si>
  <si>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</si>
  <si>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</si>
  <si>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</si>
  <si>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</si>
  <si>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</si>
  <si>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</si>
  <si>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</si>
  <si>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</si>
  <si>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</si>
  <si>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</si>
  <si>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</si>
  <si>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</si>
  <si>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</si>
  <si>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</si>
  <si>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</si>
  <si>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</si>
  <si>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</si>
  <si>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</si>
  <si>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</si>
  <si>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</si>
  <si>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</si>
  <si>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</si>
  <si>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</si>
  <si>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</si>
  <si>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</si>
  <si>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</si>
  <si>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</si>
  <si>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</si>
  <si>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</si>
  <si>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</si>
  <si>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</si>
  <si>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</si>
  <si>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</si>
  <si>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</si>
  <si>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</si>
  <si>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</si>
  <si>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</si>
  <si>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</si>
  <si>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</si>
  <si>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</si>
  <si>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</si>
  <si>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</si>
  <si>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</si>
  <si>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</si>
  <si>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</si>
  <si>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</si>
  <si>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</si>
  <si>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</si>
  <si>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</si>
  <si>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</si>
  <si>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</si>
  <si>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</si>
  <si>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</si>
  <si>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</si>
  <si>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</si>
  <si>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</si>
  <si>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</si>
  <si>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</si>
  <si>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</si>
  <si>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</si>
  <si>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</si>
  <si>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</si>
  <si>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</si>
  <si>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</si>
  <si>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</si>
  <si>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</si>
  <si>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</si>
  <si>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</si>
  <si>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</si>
  <si>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</si>
  <si>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</si>
  <si>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</si>
  <si>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</si>
  <si>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</si>
  <si>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</si>
  <si>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</si>
  <si>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</si>
  <si>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</si>
  <si>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</si>
  <si>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</si>
  <si>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</si>
  <si>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</si>
  <si>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</si>
  <si>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</si>
  <si>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</si>
  <si>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</si>
  <si>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</si>
  <si>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</si>
  <si>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</si>
  <si>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</si>
  <si>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</si>
  <si>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</si>
  <si>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</si>
  <si>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</si>
  <si>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</si>
  <si>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</si>
  <si>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</si>
  <si>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</si>
  <si>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</si>
  <si>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</si>
  <si>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</si>
  <si>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</si>
  <si>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</si>
  <si>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</si>
  <si>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</si>
  <si>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</si>
  <si>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</si>
  <si>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</si>
  <si>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</si>
  <si>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</si>
  <si>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</si>
  <si>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</si>
  <si>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</si>
  <si>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</si>
  <si>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</si>
  <si>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</si>
  <si>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</si>
  <si>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</si>
  <si>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</si>
  <si>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</si>
  <si>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</si>
  <si>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</si>
  <si>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</si>
  <si>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</si>
  <si>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</si>
  <si>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</si>
  <si>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</si>
  <si>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</si>
  <si>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</si>
  <si>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</si>
  <si>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</si>
  <si>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</si>
  <si>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</si>
  <si>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</si>
  <si>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</si>
  <si>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</si>
  <si>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</si>
  <si>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</si>
  <si>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</si>
  <si>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</si>
  <si>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</si>
  <si>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</si>
  <si>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</si>
  <si>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</si>
  <si>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</si>
  <si>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</si>
  <si>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</si>
  <si>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</si>
  <si>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</si>
  <si>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</si>
  <si>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</si>
  <si>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</si>
  <si>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</si>
  <si>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</si>
  <si>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</si>
  <si>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</si>
  <si>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</si>
  <si>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</si>
  <si>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</si>
  <si>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</si>
  <si>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</si>
  <si>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</si>
  <si>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</si>
  <si>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</si>
  <si>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</si>
  <si>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</si>
  <si>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</si>
  <si>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</si>
  <si>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</si>
  <si>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</si>
  <si>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</si>
  <si>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</si>
  <si>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</si>
  <si>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</si>
  <si>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</si>
  <si>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</si>
  <si>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</si>
  <si>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</si>
  <si>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</si>
  <si>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</si>
  <si>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</si>
  <si>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</si>
  <si>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</si>
  <si>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</si>
  <si>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</si>
  <si>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</si>
  <si>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</si>
  <si>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</si>
  <si>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</si>
  <si>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</si>
  <si>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</si>
  <si>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</si>
  <si>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</si>
  <si>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</si>
  <si>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</si>
  <si>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</si>
  <si>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</si>
  <si>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</si>
  <si>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</si>
  <si>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</si>
  <si>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</si>
  <si>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</si>
  <si>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</si>
  <si>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</si>
  <si>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</si>
  <si>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</si>
  <si>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</si>
  <si>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</si>
  <si>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</si>
  <si>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</si>
  <si>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</si>
  <si>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</si>
  <si>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</si>
  <si>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</si>
  <si>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</si>
  <si>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</si>
  <si>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</si>
  <si>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</si>
  <si>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</si>
  <si>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</si>
  <si>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</si>
  <si>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</si>
  <si>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</si>
  <si>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</si>
  <si>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</si>
  <si>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</si>
  <si>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</si>
  <si>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</si>
  <si>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</si>
  <si>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</si>
  <si>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</si>
  <si>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</si>
  <si>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</si>
  <si>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</si>
  <si>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</si>
  <si>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</si>
  <si>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</si>
  <si>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</si>
  <si>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</si>
  <si>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</si>
  <si>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</si>
  <si>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</si>
  <si>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</si>
  <si>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</si>
  <si>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</si>
  <si>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</si>
  <si>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</si>
  <si>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</si>
  <si>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</si>
  <si>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</si>
  <si>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</si>
  <si>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</si>
  <si>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</si>
  <si>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</si>
  <si>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</si>
  <si>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</si>
  <si>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</si>
  <si>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</si>
  <si>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</si>
  <si>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</si>
  <si>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</si>
  <si>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</si>
  <si>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</si>
  <si>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</si>
  <si>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</si>
  <si>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</si>
  <si>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</si>
  <si>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</si>
  <si>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</si>
  <si>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</si>
  <si>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</si>
  <si>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</si>
  <si>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</si>
  <si>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</si>
  <si>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</si>
  <si>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</si>
  <si>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</si>
  <si>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</si>
  <si>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</si>
  <si>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</si>
  <si>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</si>
  <si>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</si>
  <si>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</si>
  <si>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</si>
  <si>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</si>
  <si>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</si>
  <si>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</si>
  <si>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</si>
  <si>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</si>
  <si>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</si>
  <si>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</si>
  <si>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</si>
  <si>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</si>
  <si>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</si>
  <si>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</si>
  <si>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</si>
  <si>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</si>
  <si>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</si>
  <si>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</si>
  <si>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</si>
  <si>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</si>
  <si>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</si>
  <si>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</si>
  <si>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</si>
  <si>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</si>
  <si>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</si>
  <si>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</si>
  <si>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</si>
  <si>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</si>
  <si>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</si>
  <si>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</si>
  <si>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</si>
  <si>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</si>
  <si>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</si>
  <si>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</si>
  <si>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</si>
  <si>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</si>
  <si>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</si>
  <si>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</si>
  <si>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</si>
  <si>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</si>
  <si>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</si>
  <si>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</si>
  <si>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</si>
  <si>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</si>
  <si>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</si>
  <si>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</si>
  <si>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</si>
  <si>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</si>
  <si>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</si>
  <si>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</si>
  <si>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</si>
  <si>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</si>
  <si>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</si>
  <si>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</si>
  <si>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</si>
  <si>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</si>
  <si>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</si>
  <si>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</si>
  <si>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</si>
  <si>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</si>
  <si>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</si>
  <si>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</si>
  <si>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</si>
  <si>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</si>
  <si>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</si>
  <si>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</si>
  <si>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</si>
  <si>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</si>
  <si>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</si>
  <si>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</si>
  <si>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</si>
  <si>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</si>
  <si>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</si>
  <si>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</si>
  <si>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</si>
  <si>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</si>
  <si>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</si>
  <si>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</si>
  <si>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</si>
  <si>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</si>
  <si>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</si>
  <si>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</si>
  <si>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</si>
  <si>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</si>
  <si>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</si>
  <si>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</si>
  <si>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</si>
  <si>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</si>
  <si>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</si>
  <si>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</si>
  <si>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</si>
  <si>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</si>
  <si>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</si>
  <si>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</si>
  <si>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</si>
  <si>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</si>
  <si>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</si>
  <si>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</si>
  <si>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</si>
  <si>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</si>
  <si>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</si>
  <si>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</si>
  <si>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</si>
  <si>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</si>
  <si>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</si>
  <si>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</si>
  <si>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</si>
  <si>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</si>
  <si>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</si>
  <si>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</si>
  <si>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</si>
  <si>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</si>
  <si>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</si>
  <si>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</si>
  <si>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</si>
  <si>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</si>
  <si>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</si>
  <si>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</si>
  <si>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</si>
  <si>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</si>
  <si>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</si>
  <si>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</si>
  <si>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</si>
  <si>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</si>
  <si>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</si>
  <si>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</si>
  <si>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</si>
  <si>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</si>
  <si>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</si>
  <si>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</si>
  <si>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</si>
  <si>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</si>
  <si>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</si>
  <si>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</si>
  <si>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</si>
  <si>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</si>
  <si>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</si>
  <si>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</si>
  <si>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</si>
  <si>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</si>
  <si>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</si>
  <si>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</si>
  <si>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</si>
  <si>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</si>
  <si>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</si>
  <si>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</si>
  <si>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</si>
  <si>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</si>
  <si>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</si>
  <si>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</si>
  <si>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</si>
  <si>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</si>
  <si>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</si>
  <si>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</si>
  <si>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</si>
  <si>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</si>
  <si>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</si>
  <si>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</si>
  <si>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</si>
  <si>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</si>
  <si>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</si>
  <si>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</si>
  <si>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</si>
  <si>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</si>
  <si>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</si>
  <si>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</si>
  <si>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</si>
  <si>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</si>
  <si>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</si>
  <si>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</si>
  <si>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</si>
  <si>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</si>
  <si>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</si>
  <si>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</si>
  <si>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</si>
  <si>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</si>
  <si>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</si>
  <si>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</si>
  <si>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</si>
  <si>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</si>
  <si>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</si>
  <si>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</si>
  <si>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</si>
  <si>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</si>
  <si>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</si>
  <si>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</si>
  <si>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</si>
  <si>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</si>
  <si>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</si>
  <si>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</si>
  <si>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</si>
  <si>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</si>
  <si>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</si>
  <si>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</si>
  <si>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</si>
  <si>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</si>
  <si>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</si>
  <si>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</si>
  <si>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</si>
  <si>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</si>
  <si>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</si>
  <si>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</si>
  <si>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</si>
  <si>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</si>
  <si>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</si>
  <si>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</si>
  <si>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</si>
  <si>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</si>
  <si>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</si>
  <si>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</si>
  <si>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</si>
  <si>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</si>
  <si>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</si>
  <si>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</si>
  <si>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</si>
  <si>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</si>
  <si>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</si>
  <si>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</si>
  <si>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</si>
  <si>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</si>
  <si>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</si>
  <si>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</si>
  <si>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</si>
  <si>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</si>
  <si>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</si>
  <si>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</si>
  <si>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</si>
  <si>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</si>
  <si>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</si>
  <si>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</si>
  <si>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</si>
  <si>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</si>
  <si>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</si>
  <si>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</si>
  <si>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</si>
  <si>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</si>
  <si>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</si>
  <si>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</si>
  <si>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</si>
  <si>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</si>
  <si>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</si>
  <si>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</si>
  <si>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</si>
  <si>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</si>
  <si>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</si>
  <si>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</si>
  <si>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</si>
  <si>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</si>
  <si>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</si>
  <si>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</si>
  <si>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</si>
  <si>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</si>
  <si>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</si>
  <si>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</si>
  <si>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</si>
  <si>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</si>
  <si>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</si>
  <si>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</si>
  <si>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</si>
  <si>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</si>
  <si>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</si>
  <si>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</si>
  <si>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</si>
  <si>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</si>
  <si>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</si>
  <si>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</si>
  <si>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</si>
  <si>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</si>
  <si>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</si>
  <si>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</si>
  <si>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</si>
  <si>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</si>
  <si>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</si>
  <si>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</si>
  <si>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</si>
  <si>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</si>
  <si>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</si>
  <si>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</si>
  <si>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</si>
  <si>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</si>
  <si>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</si>
  <si>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</si>
  <si>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</si>
  <si>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</si>
  <si>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</si>
  <si>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</si>
  <si>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</si>
  <si>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</si>
  <si>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</si>
  <si>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</si>
  <si>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</si>
  <si>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</si>
  <si>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</si>
  <si>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</si>
  <si>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</si>
  <si>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</si>
  <si>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</si>
  <si>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</si>
  <si>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</si>
  <si>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</si>
  <si>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</si>
  <si>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</si>
  <si>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</si>
  <si>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</si>
  <si>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</si>
  <si>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</si>
  <si>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</si>
  <si>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</si>
  <si>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</si>
  <si>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</si>
  <si>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</si>
  <si>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</si>
  <si>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</si>
  <si>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</si>
  <si>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</si>
  <si>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</si>
  <si>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</si>
  <si>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</si>
  <si>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</si>
  <si>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</si>
  <si>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</si>
  <si>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</si>
  <si>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</si>
  <si>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</si>
  <si>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</si>
  <si>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</si>
  <si>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</si>
  <si>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</si>
  <si>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</si>
  <si>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</si>
  <si>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</si>
  <si>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</si>
  <si>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</si>
  <si>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</si>
  <si>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</si>
  <si>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</si>
  <si>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</si>
  <si>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</si>
  <si>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</si>
  <si>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</si>
  <si>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</si>
  <si>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</si>
  <si>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</si>
  <si>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</si>
  <si>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</si>
  <si>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</si>
  <si>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</si>
  <si>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</si>
  <si>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</si>
  <si>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</si>
  <si>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</si>
  <si>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</si>
  <si>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</si>
  <si>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</si>
  <si>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</si>
  <si>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</si>
  <si>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</si>
  <si>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</si>
  <si>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</si>
  <si>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</si>
  <si>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</si>
  <si>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</si>
  <si>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</si>
  <si>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</si>
  <si>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</si>
  <si>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</si>
  <si>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</si>
  <si>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</si>
  <si>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</si>
  <si>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</si>
  <si>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</si>
  <si>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</si>
  <si>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</si>
  <si>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</si>
  <si>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</si>
  <si>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</si>
  <si>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</si>
  <si>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</si>
  <si>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</si>
  <si>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</si>
  <si>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</si>
  <si>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</si>
  <si>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</si>
  <si>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</si>
  <si>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</si>
  <si>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</si>
  <si>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</si>
  <si>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</si>
  <si>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</si>
  <si>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</si>
  <si>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</si>
  <si>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</si>
  <si>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</si>
  <si>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</si>
  <si>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</si>
  <si>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</si>
  <si>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</si>
  <si>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</si>
  <si>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</si>
  <si>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</si>
  <si>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</si>
  <si>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</si>
  <si>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</si>
  <si>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</si>
  <si>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</si>
  <si>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</si>
  <si>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</si>
  <si>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</si>
  <si>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</si>
  <si>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</si>
  <si>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</si>
  <si>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</si>
  <si>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</si>
  <si>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</si>
  <si>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</si>
  <si>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</si>
  <si>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</si>
  <si>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</si>
  <si>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</si>
  <si>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</si>
  <si>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</si>
  <si>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</si>
  <si>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</si>
  <si>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</si>
  <si>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</si>
  <si>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</si>
  <si>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</si>
  <si>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</si>
  <si>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</si>
  <si>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</si>
  <si>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</si>
  <si>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</si>
  <si>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</si>
  <si>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</si>
  <si>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</si>
  <si>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</si>
  <si>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</si>
  <si>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</si>
  <si>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</si>
  <si>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</si>
  <si>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</si>
  <si>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</si>
  <si>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</si>
  <si>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</si>
  <si>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</si>
  <si>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</si>
  <si>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</si>
  <si>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</si>
  <si>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</si>
  <si>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</si>
  <si>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</si>
  <si>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</si>
  <si>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</si>
  <si>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</si>
  <si>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</si>
  <si>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</si>
  <si>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</si>
  <si>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</si>
  <si>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</si>
  <si>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</si>
  <si>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</si>
  <si>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</si>
  <si>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</si>
  <si>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</si>
  <si>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</si>
  <si>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</si>
  <si>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</si>
  <si>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</si>
  <si>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</si>
  <si>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</si>
  <si>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</si>
  <si>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</si>
  <si>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</si>
  <si>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</si>
  <si>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</si>
  <si>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</si>
  <si>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</si>
  <si>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</si>
  <si>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</si>
  <si>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</si>
  <si>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</si>
  <si>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</si>
  <si>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</si>
  <si>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</si>
  <si>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</si>
  <si>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</si>
  <si>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</si>
  <si>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</si>
  <si>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</si>
  <si>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</si>
  <si>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</si>
  <si>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</si>
  <si>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</si>
  <si>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</si>
  <si>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</si>
  <si>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</si>
  <si>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</si>
  <si>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</si>
  <si>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</si>
  <si>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</si>
  <si>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</si>
  <si>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</si>
  <si>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</si>
  <si>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</si>
  <si>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</si>
  <si>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</si>
  <si>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</si>
  <si>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</si>
  <si>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</si>
  <si>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</si>
  <si>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</si>
  <si>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</si>
  <si>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</si>
  <si>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</si>
  <si>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</si>
  <si>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</si>
  <si>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</si>
  <si>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</si>
  <si>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</si>
  <si>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</si>
  <si>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</si>
  <si>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</si>
  <si>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</si>
  <si>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</si>
  <si>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</si>
  <si>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</si>
  <si>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</si>
  <si>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</si>
  <si>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</si>
  <si>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</si>
  <si>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</si>
  <si>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</si>
  <si>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</si>
  <si>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</si>
  <si>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</si>
  <si>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</si>
  <si>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</si>
  <si>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</si>
  <si>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</si>
  <si>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</si>
  <si>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</si>
  <si>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</si>
  <si>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</si>
  <si>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</si>
  <si>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</si>
  <si>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</si>
  <si>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</si>
  <si>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</si>
  <si>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</si>
  <si>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</si>
  <si>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</si>
  <si>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</si>
  <si>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</si>
  <si>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</si>
  <si>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</si>
  <si>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</si>
  <si>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</si>
  <si>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</si>
  <si>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</si>
  <si>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</si>
  <si>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</si>
  <si>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</si>
  <si>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</si>
  <si>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</si>
  <si>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</si>
  <si>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</si>
  <si>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</si>
  <si>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</si>
  <si>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</si>
  <si>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</si>
  <si>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</si>
  <si>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</si>
  <si>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</si>
  <si>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</si>
  <si>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</si>
  <si>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</si>
  <si>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</si>
  <si>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</si>
  <si>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</si>
  <si>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</si>
  <si>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</si>
  <si>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</si>
  <si>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</si>
  <si>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</si>
  <si>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</si>
  <si>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</si>
  <si>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</si>
  <si>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</si>
  <si>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</si>
  <si>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</si>
  <si>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</si>
  <si>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</si>
  <si>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</si>
  <si>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</si>
  <si>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</si>
  <si>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</si>
  <si>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</si>
  <si>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</si>
  <si>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</si>
  <si>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</si>
  <si>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</si>
  <si>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</si>
  <si>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</si>
  <si>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</si>
  <si>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</si>
  <si>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</si>
  <si>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</si>
  <si>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</si>
  <si>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</si>
  <si>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</si>
  <si>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</si>
  <si>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</si>
  <si>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</si>
  <si>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</si>
  <si>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</si>
  <si>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</si>
  <si>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</si>
  <si>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</si>
  <si>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</si>
  <si>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</si>
  <si>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</si>
  <si>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</si>
  <si>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</si>
  <si>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</si>
  <si>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</si>
  <si>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</si>
  <si>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</si>
  <si>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</si>
  <si>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</si>
  <si>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</si>
  <si>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</si>
  <si>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</si>
  <si>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</si>
  <si>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</si>
  <si>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</si>
  <si>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</si>
  <si>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</si>
  <si>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</si>
  <si>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</si>
  <si>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</si>
  <si>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</si>
  <si>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</si>
  <si>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</si>
  <si>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</si>
  <si>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</si>
  <si>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</si>
  <si>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</si>
  <si>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</si>
  <si>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</si>
  <si>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</si>
  <si>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</si>
  <si>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</si>
  <si>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</si>
  <si>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</si>
  <si>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</si>
  <si>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</si>
  <si>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</si>
  <si>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</si>
  <si>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</si>
  <si>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</si>
  <si>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</si>
  <si>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</si>
  <si>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</si>
  <si>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</si>
  <si>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</si>
  <si>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</si>
  <si>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</si>
  <si>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</si>
  <si>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</si>
  <si>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</si>
  <si>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</si>
  <si>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</si>
  <si>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</si>
  <si>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</si>
  <si>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</si>
  <si>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</si>
  <si>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</si>
  <si>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</si>
  <si>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</si>
  <si>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</si>
  <si>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</si>
  <si>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</si>
  <si>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</si>
  <si>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</si>
  <si>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</si>
  <si>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</si>
  <si>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</si>
  <si>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</si>
  <si>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</si>
  <si>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</si>
  <si>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</si>
  <si>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</si>
  <si>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</si>
  <si>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</si>
  <si>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</si>
  <si>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</si>
  <si>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</si>
  <si>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</si>
  <si>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</si>
  <si>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</si>
  <si>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</si>
  <si>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</si>
  <si>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</si>
  <si>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</si>
  <si>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</si>
  <si>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</si>
  <si>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</si>
  <si>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</si>
  <si>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</si>
  <si>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</si>
  <si>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</si>
  <si>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</si>
  <si>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</si>
  <si>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</si>
  <si>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</si>
  <si>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</si>
  <si>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</si>
  <si>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</si>
  <si>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</si>
  <si>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</si>
  <si>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</si>
  <si>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</si>
  <si>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</si>
  <si>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</si>
  <si>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</si>
  <si>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</si>
  <si>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</si>
  <si>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</si>
  <si>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</si>
  <si>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</si>
  <si>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</si>
  <si>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</si>
  <si>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</si>
  <si>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</si>
  <si>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</si>
  <si>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</si>
  <si>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</si>
  <si>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</si>
  <si>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</si>
  <si>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</si>
  <si>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</si>
  <si>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</si>
  <si>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</si>
  <si>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</si>
  <si>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</si>
  <si>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</si>
  <si>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</si>
  <si>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</si>
  <si>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</si>
  <si>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</si>
  <si>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</si>
  <si>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</si>
  <si>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</si>
  <si>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</si>
  <si>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</si>
  <si>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</si>
  <si>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</si>
  <si>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</si>
  <si>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</si>
  <si>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</si>
  <si>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</si>
  <si>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</si>
  <si>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</si>
  <si>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</si>
  <si>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</si>
  <si>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</si>
  <si>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</si>
  <si>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</si>
  <si>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</si>
  <si>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</si>
  <si>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</si>
  <si>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</si>
  <si>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</si>
  <si>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</si>
  <si>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</si>
  <si>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</si>
  <si>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</si>
  <si>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</si>
  <si>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</si>
  <si>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</si>
  <si>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</si>
  <si>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</si>
  <si>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</si>
  <si>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</si>
  <si>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</si>
  <si>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</si>
  <si>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</si>
  <si>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</si>
  <si>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</si>
  <si>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</si>
  <si>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</si>
  <si>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</si>
  <si>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</si>
  <si>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</si>
  <si>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</si>
  <si>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</si>
  <si>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</si>
  <si>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</si>
  <si>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</si>
  <si>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</si>
  <si>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</si>
  <si>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</si>
  <si>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</si>
  <si>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</si>
  <si>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</si>
  <si>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</si>
  <si>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</si>
  <si>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</si>
  <si>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</si>
  <si>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</si>
  <si>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</si>
  <si>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</si>
  <si>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</si>
  <si>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</si>
  <si>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</si>
  <si>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</si>
  <si>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</si>
  <si>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</si>
  <si>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</si>
  <si>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</si>
  <si>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</si>
  <si>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</si>
  <si>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</si>
  <si>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</si>
  <si>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</si>
  <si>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</si>
  <si>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</si>
  <si>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</si>
  <si>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</si>
  <si>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</si>
  <si>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</si>
  <si>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</si>
  <si>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</si>
  <si>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</si>
  <si>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</si>
  <si>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</si>
  <si>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</si>
  <si>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</si>
  <si>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</si>
  <si>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</si>
  <si>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</si>
  <si>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</si>
  <si>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</si>
  <si>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</si>
  <si>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</si>
  <si>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</si>
  <si>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</si>
  <si>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</si>
  <si>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</si>
  <si>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</si>
  <si>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</si>
  <si>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</si>
  <si>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</si>
  <si>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</si>
  <si>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</si>
  <si>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</si>
  <si>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</si>
  <si>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</si>
  <si>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</si>
  <si>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</si>
  <si>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</si>
  <si>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</si>
  <si>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</si>
  <si>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</si>
  <si>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</si>
  <si>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</si>
  <si>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</si>
  <si>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</si>
  <si>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</si>
  <si>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</si>
  <si>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</si>
  <si>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</si>
  <si>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</si>
  <si>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</si>
  <si>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</si>
  <si>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</si>
  <si>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</si>
  <si>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</si>
  <si>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</si>
  <si>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</si>
  <si>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</si>
  <si>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</si>
  <si>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</si>
  <si>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</si>
  <si>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</si>
  <si>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</si>
  <si>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</si>
  <si>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</si>
  <si>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</si>
  <si>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</si>
  <si>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</si>
  <si>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</si>
  <si>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</si>
  <si>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</si>
  <si>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</si>
  <si>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</si>
  <si>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</si>
  <si>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</si>
  <si>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</si>
  <si>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</si>
  <si>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</si>
  <si>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</si>
  <si>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</si>
  <si>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</si>
  <si>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</si>
  <si>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</si>
  <si>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</si>
  <si>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</si>
  <si>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</si>
  <si>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</si>
  <si>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</si>
  <si>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</si>
  <si>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</si>
  <si>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</si>
  <si>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</si>
  <si>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</si>
  <si>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</si>
  <si>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</si>
  <si>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</si>
  <si>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</si>
  <si>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</si>
  <si>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</si>
  <si>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</si>
  <si>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</si>
  <si>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</si>
  <si>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</si>
  <si>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</si>
  <si>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</si>
  <si>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</si>
  <si>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</si>
  <si>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</si>
  <si>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</si>
  <si>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</si>
  <si>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</si>
  <si>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</si>
  <si>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</si>
  <si>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</si>
  <si>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</si>
  <si>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</si>
  <si>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</si>
  <si>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</si>
  <si>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</si>
  <si>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</si>
  <si>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</si>
  <si>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</si>
  <si>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</si>
  <si>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</si>
  <si>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</si>
  <si>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</si>
  <si>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</si>
  <si>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</si>
  <si>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</si>
  <si>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</si>
  <si>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</si>
  <si>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</si>
  <si>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</si>
  <si>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</si>
  <si>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</si>
  <si>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</si>
  <si>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</si>
  <si>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</si>
  <si>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</si>
  <si>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</si>
  <si>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</si>
  <si>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</si>
  <si>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</si>
  <si>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</si>
  <si>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</si>
  <si>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</si>
  <si>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</si>
  <si>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</si>
  <si>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</si>
  <si>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</si>
  <si>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</si>
  <si>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</si>
  <si>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</si>
  <si>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</si>
  <si>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</si>
  <si>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</si>
  <si>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</si>
  <si>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</si>
  <si>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</si>
  <si>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</si>
  <si>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</si>
  <si>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</si>
  <si>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</si>
  <si>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</si>
  <si>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</si>
  <si>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</si>
  <si>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</si>
  <si>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</si>
  <si>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</si>
  <si>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</si>
  <si>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</si>
  <si>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</si>
  <si>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</si>
  <si>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</si>
  <si>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</si>
  <si>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</si>
  <si>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</si>
  <si>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</si>
  <si>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</si>
  <si>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</si>
  <si>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</si>
  <si>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</si>
  <si>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</si>
  <si>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</si>
  <si>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</si>
  <si>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</si>
  <si>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</si>
  <si>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</si>
  <si>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</si>
  <si>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</si>
  <si>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</si>
  <si>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</si>
  <si>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</si>
  <si>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</si>
  <si>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</si>
  <si>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</si>
  <si>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</si>
  <si>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</si>
  <si>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</si>
  <si>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</si>
  <si>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</si>
  <si>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</si>
  <si>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</si>
  <si>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</si>
  <si>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</si>
  <si>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</si>
  <si>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</si>
  <si>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</si>
  <si>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</si>
  <si>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</si>
  <si>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</si>
  <si>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</si>
  <si>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</si>
  <si>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</si>
  <si>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</si>
  <si>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</si>
  <si>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</si>
  <si>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</si>
  <si>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</si>
  <si>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</si>
  <si>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</si>
  <si>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</si>
  <si>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</si>
  <si>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</si>
  <si>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</si>
  <si>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</si>
  <si>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</si>
  <si>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</si>
  <si>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</si>
  <si>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</si>
  <si>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</si>
  <si>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</si>
  <si>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</si>
  <si>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</si>
  <si>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</si>
  <si>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</si>
  <si>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</si>
  <si>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</si>
  <si>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</si>
  <si>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</si>
  <si>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</si>
  <si>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</si>
  <si>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</si>
  <si>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</si>
  <si>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</si>
  <si>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</si>
  <si>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</si>
  <si>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</si>
  <si>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</si>
  <si>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</si>
  <si>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</si>
  <si>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</si>
  <si>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</si>
  <si>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</si>
  <si>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</si>
  <si>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</si>
  <si>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</si>
  <si>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</si>
  <si>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</si>
  <si>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</si>
  <si>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</si>
  <si>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</si>
  <si>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</si>
  <si>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</si>
  <si>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</si>
  <si>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</si>
  <si>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</si>
  <si>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</si>
  <si>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</si>
  <si>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</si>
  <si>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</si>
  <si>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</si>
  <si>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</si>
  <si>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</si>
  <si>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</si>
  <si>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</si>
  <si>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</si>
  <si>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</si>
  <si>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</si>
  <si>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</si>
  <si>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</si>
  <si>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</si>
  <si>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</si>
  <si>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</si>
  <si>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</si>
  <si>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</si>
  <si>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</si>
  <si>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</si>
  <si>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</si>
  <si>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</si>
  <si>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</si>
  <si>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</si>
  <si>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</si>
  <si>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</si>
  <si>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</si>
  <si>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</si>
  <si>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</si>
  <si>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</si>
  <si>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</si>
  <si>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</si>
  <si>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</si>
  <si>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</si>
  <si>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</si>
  <si>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</si>
  <si>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</si>
  <si>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</si>
  <si>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</si>
  <si>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</si>
  <si>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</si>
  <si>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</si>
  <si>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</si>
  <si>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</si>
  <si>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</si>
  <si>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</si>
  <si>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</si>
  <si>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</si>
  <si>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</si>
  <si>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</si>
  <si>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</si>
  <si>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</si>
  <si>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</si>
  <si>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</si>
  <si>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</si>
  <si>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</si>
  <si>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</si>
  <si>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</si>
  <si>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</si>
  <si>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</si>
  <si>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</si>
  <si>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</si>
  <si>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</si>
  <si>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</si>
  <si>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</si>
  <si>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</si>
  <si>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</si>
  <si>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</si>
  <si>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</si>
  <si>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</si>
  <si>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</si>
  <si>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</si>
  <si>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</si>
  <si>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</si>
  <si>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</si>
  <si>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</si>
  <si>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</si>
  <si>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</si>
  <si>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</si>
  <si>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</si>
  <si>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</si>
  <si>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</si>
  <si>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</si>
  <si>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</si>
  <si>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</si>
  <si>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</si>
  <si>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</si>
  <si>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</si>
  <si>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</si>
  <si>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</si>
  <si>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</si>
  <si>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</si>
  <si>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</si>
  <si>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</si>
  <si>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</si>
  <si>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</si>
  <si>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</si>
  <si>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</si>
  <si>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</si>
  <si>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</si>
  <si>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</si>
  <si>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</si>
  <si>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</si>
  <si>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</si>
  <si>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</si>
  <si>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</si>
  <si>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</si>
  <si>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</si>
  <si>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</si>
  <si>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</si>
  <si>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</si>
  <si>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</si>
  <si>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</si>
  <si>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</si>
  <si>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</si>
  <si>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</si>
  <si>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</si>
  <si>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</si>
  <si>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</si>
  <si>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</si>
  <si>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</si>
  <si>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</si>
  <si>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</si>
  <si>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</si>
  <si>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</si>
  <si>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</si>
  <si>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</si>
  <si>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</si>
  <si>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</si>
  <si>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</si>
  <si>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</si>
  <si>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</si>
  <si>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</si>
  <si>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</si>
  <si>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</si>
  <si>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</si>
  <si>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</si>
  <si>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</si>
  <si>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</si>
  <si>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</si>
  <si>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</si>
  <si>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</si>
  <si>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</si>
  <si>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</si>
  <si>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</si>
  <si>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</si>
  <si>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</si>
  <si>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</si>
  <si>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</si>
  <si>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</si>
  <si>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</si>
  <si>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</si>
  <si>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</si>
  <si>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</si>
  <si>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</si>
  <si>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</si>
  <si>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</si>
  <si>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</si>
  <si>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</si>
  <si>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</si>
  <si>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</si>
  <si>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</si>
  <si>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</si>
  <si>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</si>
  <si>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</si>
  <si>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</si>
  <si>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</si>
  <si>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</si>
  <si>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</si>
  <si>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</si>
  <si>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</si>
  <si>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</si>
  <si>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</si>
  <si>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</si>
  <si>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</si>
  <si>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</si>
  <si>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</si>
  <si>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</si>
  <si>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</si>
  <si>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</si>
  <si>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</si>
  <si>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</si>
  <si>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</si>
  <si>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</si>
  <si>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</si>
  <si>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</si>
  <si>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</si>
  <si>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</si>
  <si>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</si>
  <si>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</si>
  <si>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</si>
  <si>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</si>
  <si>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</si>
  <si>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</si>
  <si>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</si>
  <si>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</si>
  <si>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</si>
  <si>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</si>
  <si>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</si>
  <si>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</si>
  <si>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</si>
  <si>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</si>
  <si>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</si>
  <si>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</si>
  <si>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</si>
  <si>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</si>
  <si>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</si>
  <si>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</si>
  <si>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</si>
  <si>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</si>
  <si>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</si>
  <si>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</si>
  <si>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</si>
  <si>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</si>
  <si>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</si>
  <si>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</si>
  <si>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</si>
  <si>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</si>
  <si>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</si>
  <si>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</si>
  <si>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</si>
  <si>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</si>
  <si>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</si>
  <si>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</si>
  <si>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</si>
  <si>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</si>
  <si>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</si>
  <si>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</si>
  <si>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</si>
  <si>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</si>
  <si>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</si>
  <si>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</si>
  <si>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</si>
  <si>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</si>
  <si>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</si>
  <si>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</si>
  <si>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</si>
  <si>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</si>
  <si>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</si>
  <si>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</si>
  <si>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</si>
  <si>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</si>
  <si>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</si>
  <si>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</si>
  <si>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</si>
  <si>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</si>
  <si>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</si>
  <si>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</si>
  <si>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</si>
  <si>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</si>
  <si>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</si>
  <si>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</si>
  <si>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</si>
  <si>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</si>
  <si>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</si>
  <si>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</si>
  <si>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</si>
  <si>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</si>
  <si>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</si>
  <si>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</si>
  <si>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</si>
  <si>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</si>
  <si>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</si>
  <si>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</si>
  <si>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</si>
  <si>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</si>
  <si>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</si>
  <si>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</si>
  <si>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</si>
  <si>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</si>
  <si>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</si>
  <si>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</si>
  <si>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</si>
  <si>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</si>
  <si>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</si>
  <si>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</si>
  <si>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</si>
  <si>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</si>
  <si>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</si>
  <si>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</si>
  <si>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</si>
  <si>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</si>
  <si>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</si>
  <si>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</si>
  <si>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</si>
  <si>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</si>
  <si>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</si>
  <si>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</si>
  <si>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</si>
  <si>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</si>
  <si>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</si>
  <si>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</si>
  <si>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</si>
  <si>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</si>
  <si>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</si>
  <si>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</si>
  <si>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</si>
  <si>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</si>
  <si>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</si>
  <si>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</si>
  <si>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</si>
  <si>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</si>
  <si>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</si>
  <si>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</si>
  <si>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</si>
  <si>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</si>
  <si>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</si>
  <si>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</si>
  <si>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</si>
  <si>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</si>
  <si>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</si>
  <si>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</si>
  <si>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</si>
  <si>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</si>
  <si>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</si>
  <si>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</si>
  <si>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</si>
  <si>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</si>
  <si>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</si>
  <si>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</si>
  <si>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</si>
  <si>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</si>
  <si>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</si>
  <si>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</si>
  <si>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</si>
  <si>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</si>
  <si>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</si>
  <si>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</si>
  <si>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</si>
  <si>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</si>
  <si>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</si>
  <si>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</si>
  <si>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</si>
  <si>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</si>
  <si>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</si>
  <si>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</si>
  <si>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</si>
  <si>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</si>
  <si>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</si>
  <si>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</si>
  <si>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</si>
  <si>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</si>
  <si>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</si>
  <si>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</si>
  <si>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</si>
  <si>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</si>
  <si>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</si>
  <si>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</si>
  <si>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</si>
  <si>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</si>
  <si>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</si>
  <si>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</si>
  <si>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</si>
  <si>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</si>
  <si>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</si>
  <si>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</si>
  <si>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</si>
  <si>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</si>
  <si>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</si>
  <si>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</si>
  <si>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</si>
  <si>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</si>
  <si>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</si>
  <si>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</si>
  <si>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</si>
  <si>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</si>
  <si>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</si>
  <si>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</si>
  <si>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</si>
  <si>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</si>
  <si>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</si>
  <si>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</si>
  <si>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</si>
  <si>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</si>
  <si>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</si>
  <si>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</si>
  <si>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</si>
  <si>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</si>
  <si>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</si>
  <si>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</si>
  <si>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</si>
  <si>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</si>
  <si>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</si>
  <si>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</si>
  <si>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</si>
  <si>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</si>
  <si>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</si>
  <si>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</si>
  <si>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</si>
  <si>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</si>
  <si>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</si>
  <si>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</si>
  <si>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</si>
  <si>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</si>
  <si>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</si>
  <si>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</si>
  <si>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</si>
  <si>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</si>
  <si>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</si>
  <si>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</si>
  <si>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</si>
  <si>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</si>
  <si>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</si>
  <si>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</si>
  <si>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</si>
  <si>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</si>
  <si>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</si>
  <si>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</si>
  <si>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</si>
  <si>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</si>
  <si>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</si>
  <si>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</si>
  <si>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</si>
  <si>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</si>
  <si>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</si>
  <si>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</si>
  <si>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</si>
  <si>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</si>
  <si>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</si>
  <si>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</si>
  <si>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</si>
  <si>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</si>
  <si>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</si>
  <si>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</si>
  <si>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</si>
  <si>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</si>
  <si>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</si>
  <si>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</si>
  <si>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</si>
  <si>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</si>
  <si>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</si>
  <si>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</si>
  <si>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</si>
  <si>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</si>
  <si>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</si>
  <si>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</si>
  <si>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</si>
  <si>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</si>
  <si>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</si>
  <si>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</si>
  <si>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</si>
  <si>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</si>
  <si>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</si>
  <si>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</si>
  <si>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</si>
  <si>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</si>
  <si>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</si>
  <si>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</si>
  <si>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</si>
  <si>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</si>
  <si>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</si>
  <si>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</si>
  <si>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</si>
  <si>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</si>
  <si>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</si>
  <si>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</si>
  <si>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</si>
  <si>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</si>
  <si>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</si>
  <si>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</si>
  <si>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</si>
  <si>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</si>
  <si>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</si>
  <si>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</si>
  <si>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</si>
  <si>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</si>
  <si>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</si>
  <si>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</si>
  <si>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</si>
  <si>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</si>
  <si>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</si>
  <si>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</si>
  <si>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</si>
  <si>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</si>
  <si>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</si>
  <si>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</si>
  <si>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</si>
  <si>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</si>
  <si>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</si>
  <si>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</si>
  <si>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</si>
  <si>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</si>
  <si>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</si>
  <si>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</si>
  <si>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</si>
  <si>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</si>
  <si>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</si>
  <si>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</si>
  <si>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</si>
  <si>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</si>
  <si>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</si>
  <si>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</si>
  <si>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</si>
  <si>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</si>
  <si>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</si>
  <si>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</si>
  <si>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</si>
  <si>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</si>
  <si>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</si>
  <si>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</si>
  <si>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</si>
  <si>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</si>
  <si>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</si>
  <si>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</si>
  <si>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</si>
  <si>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</si>
  <si>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</si>
  <si>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</si>
  <si>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</si>
  <si>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</si>
  <si>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</si>
  <si>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</si>
  <si>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</si>
  <si>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</si>
  <si>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</si>
  <si>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</si>
  <si>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</si>
  <si>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</si>
  <si>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</si>
  <si>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</si>
  <si>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</si>
  <si>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</si>
  <si>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</si>
  <si>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</si>
  <si>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</si>
  <si>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</si>
  <si>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</si>
  <si>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</si>
  <si>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</si>
  <si>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</si>
  <si>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</si>
  <si>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</si>
  <si>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</si>
  <si>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</si>
  <si>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</si>
  <si>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</si>
  <si>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</si>
  <si>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</si>
  <si>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</si>
  <si>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</si>
  <si>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</si>
  <si>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</si>
  <si>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</si>
  <si>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</si>
  <si>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</si>
  <si>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</si>
  <si>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</si>
  <si>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</si>
  <si>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</si>
  <si>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</si>
  <si>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</si>
  <si>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</si>
  <si>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</si>
  <si>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</si>
  <si>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</si>
  <si>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</si>
  <si>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</si>
  <si>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</si>
  <si>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</si>
  <si>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</si>
  <si>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</si>
  <si>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</si>
  <si>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</si>
  <si>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</si>
  <si>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</si>
  <si>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</si>
  <si>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</si>
  <si>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</si>
  <si>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</si>
  <si>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</si>
  <si>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</si>
  <si>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</si>
  <si>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</si>
  <si>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</si>
  <si>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</si>
  <si>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</si>
  <si>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</si>
  <si>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</si>
  <si>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</si>
  <si>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</si>
  <si>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</si>
  <si>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</si>
  <si>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</si>
  <si>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</si>
  <si>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</si>
  <si>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</si>
  <si>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</si>
  <si>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</si>
  <si>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</si>
  <si>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</si>
  <si>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</si>
  <si>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</si>
  <si>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</si>
  <si>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</si>
  <si>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</si>
  <si>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</si>
  <si>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</si>
  <si>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</si>
  <si>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</si>
  <si>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</si>
  <si>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</si>
  <si>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</si>
  <si>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</si>
  <si>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</si>
  <si>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</si>
  <si>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</si>
  <si>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</si>
  <si>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</si>
  <si>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</si>
  <si>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</si>
  <si>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</si>
  <si>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</si>
  <si>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</si>
  <si>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</si>
  <si>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</si>
  <si>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</si>
  <si>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</si>
  <si>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</si>
  <si>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</si>
  <si>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</si>
  <si>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</si>
  <si>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</si>
  <si>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</si>
  <si>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</si>
  <si>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</si>
  <si>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</si>
  <si>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</si>
  <si>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</si>
  <si>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</si>
  <si>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</si>
  <si>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</si>
  <si>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</si>
  <si>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</si>
  <si>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</si>
  <si>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</si>
  <si>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</si>
  <si>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</si>
  <si>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</si>
  <si>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</si>
  <si>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</si>
  <si>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</si>
  <si>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</si>
  <si>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</si>
  <si>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</si>
  <si>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</si>
  <si>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</si>
  <si>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</si>
  <si>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</si>
  <si>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</si>
  <si>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</si>
  <si>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</si>
  <si>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</si>
  <si>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</si>
  <si>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</si>
  <si>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</si>
  <si>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</si>
  <si>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</si>
  <si>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</si>
  <si>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</si>
  <si>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</si>
  <si>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</si>
  <si>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</si>
  <si>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</si>
  <si>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</si>
  <si>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</si>
  <si>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</si>
  <si>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</si>
  <si>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</si>
  <si>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</si>
  <si>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</si>
  <si>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</si>
  <si>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</si>
  <si>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</si>
  <si>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</si>
  <si>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</si>
  <si>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</si>
  <si>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</si>
  <si>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</si>
  <si>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</si>
  <si>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</si>
  <si>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</si>
  <si>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</si>
  <si>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</si>
  <si>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</si>
  <si>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</si>
  <si>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</si>
  <si>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</si>
  <si>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</si>
  <si>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</si>
  <si>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</si>
  <si>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</si>
  <si>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</si>
  <si>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</si>
  <si>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</si>
  <si>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</si>
  <si>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</si>
  <si>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</si>
  <si>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</si>
  <si>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</si>
  <si>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</si>
  <si>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</si>
  <si>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</si>
  <si>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</si>
  <si>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</si>
  <si>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</si>
  <si>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</si>
  <si>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</si>
  <si>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</si>
  <si>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</si>
  <si>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</si>
  <si>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</si>
  <si>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</si>
  <si>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</si>
  <si>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</si>
  <si>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</si>
  <si>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</si>
  <si>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</si>
  <si>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</si>
  <si>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</si>
  <si>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</si>
  <si>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</si>
  <si>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</si>
  <si>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</si>
  <si>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</si>
  <si>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</si>
  <si>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</si>
  <si>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</si>
  <si>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</si>
  <si>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</si>
  <si>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</si>
  <si>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</si>
  <si>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</si>
  <si>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</si>
  <si>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</si>
  <si>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</si>
  <si>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</si>
  <si>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</si>
  <si>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</si>
  <si>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</si>
  <si>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</si>
  <si>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</si>
  <si>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</si>
  <si>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</si>
  <si>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</si>
  <si>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</si>
  <si>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</si>
  <si>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</si>
  <si>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</si>
  <si>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</si>
  <si>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</si>
  <si>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</si>
  <si>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</si>
  <si>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</si>
  <si>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</si>
  <si>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</si>
  <si>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</si>
  <si>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</si>
  <si>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</si>
  <si>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</si>
  <si>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</si>
  <si>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</si>
  <si>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</si>
  <si>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</si>
  <si>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</si>
  <si>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</si>
  <si>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</si>
  <si>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</si>
  <si>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</si>
  <si>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</si>
  <si>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</si>
  <si>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</si>
  <si>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</si>
  <si>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</si>
  <si>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</si>
  <si>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</si>
  <si>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</si>
  <si>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</si>
  <si>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</si>
  <si>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</si>
  <si>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</si>
  <si>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</si>
  <si>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</si>
  <si>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</si>
  <si>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</si>
  <si>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</si>
  <si>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</si>
  <si>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</si>
  <si>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</si>
  <si>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</si>
  <si>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</si>
  <si>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</si>
  <si>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</si>
  <si>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</si>
  <si>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</si>
  <si>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</si>
  <si>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</si>
  <si>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</si>
  <si>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</si>
  <si>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</si>
  <si>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</si>
  <si>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</si>
  <si>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</si>
  <si>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</si>
  <si>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</si>
  <si>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</si>
  <si>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</si>
  <si>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</si>
  <si>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</si>
  <si>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</si>
  <si>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</si>
  <si>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</si>
  <si>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</si>
  <si>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</si>
  <si>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</si>
  <si>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</si>
  <si>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</si>
  <si>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</si>
  <si>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</si>
  <si>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</si>
  <si>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</si>
  <si>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</si>
  <si>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</si>
  <si>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</si>
  <si>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</si>
  <si>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</si>
  <si>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</si>
  <si>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</si>
  <si>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</si>
  <si>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</si>
  <si>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</si>
  <si>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</si>
  <si>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</si>
  <si>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</si>
  <si>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</si>
  <si>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</si>
  <si>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</si>
  <si>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</si>
  <si>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</si>
  <si>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</si>
  <si>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</si>
  <si>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</si>
  <si>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</si>
  <si>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</si>
  <si>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</si>
  <si>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</si>
  <si>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</si>
  <si>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</si>
  <si>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</si>
  <si>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</si>
  <si>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</si>
  <si>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</si>
  <si>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</si>
  <si>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</si>
  <si>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</si>
  <si>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</si>
  <si>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</si>
  <si>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</si>
  <si>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</si>
  <si>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</si>
  <si>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</si>
  <si>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</si>
  <si>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</si>
  <si>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</si>
  <si>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</si>
  <si>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</si>
  <si>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</si>
  <si>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</si>
  <si>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</si>
  <si>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</si>
  <si>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</si>
  <si>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</si>
  <si>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</si>
  <si>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</si>
  <si>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</si>
  <si>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</si>
  <si>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</si>
  <si>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</si>
  <si>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</si>
  <si>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</si>
  <si>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</si>
  <si>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</si>
  <si>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</si>
  <si>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</si>
  <si>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</si>
  <si>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</si>
  <si>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</si>
  <si>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</si>
  <si>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</si>
  <si>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</si>
  <si>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</si>
  <si>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</si>
  <si>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</si>
  <si>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</si>
  <si>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</si>
  <si>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</si>
  <si>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</si>
  <si>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</si>
  <si>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</si>
  <si>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</si>
  <si>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</si>
  <si>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</si>
  <si>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</si>
  <si>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</si>
  <si>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</si>
  <si>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</si>
  <si>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</si>
  <si>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</si>
  <si>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</si>
  <si>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</si>
  <si>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</si>
  <si>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</si>
  <si>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</si>
  <si>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</si>
  <si>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</si>
  <si>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</si>
  <si>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</si>
  <si>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</si>
  <si>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</si>
  <si>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</si>
  <si>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</si>
  <si>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</si>
  <si>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</si>
  <si>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</si>
  <si>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</si>
  <si>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</si>
  <si>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</si>
  <si>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</si>
  <si>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</si>
  <si>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</si>
  <si>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</si>
  <si>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</si>
  <si>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</si>
  <si>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</si>
  <si>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</si>
  <si>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</si>
  <si>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</si>
  <si>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</si>
  <si>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</si>
  <si>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</si>
  <si>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</si>
  <si>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</si>
  <si>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</si>
  <si>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</si>
  <si>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</si>
  <si>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</si>
  <si>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</si>
  <si>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</si>
  <si>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</si>
  <si>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</si>
  <si>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</si>
  <si>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</si>
  <si>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</si>
  <si>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</si>
  <si>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</si>
  <si>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</si>
  <si>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</si>
  <si>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</si>
  <si>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</si>
  <si>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</si>
  <si>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</si>
  <si>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</si>
  <si>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</si>
  <si>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</si>
  <si>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</si>
  <si>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</si>
  <si>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</si>
  <si>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</si>
  <si>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</si>
  <si>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</si>
  <si>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</si>
  <si>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</si>
  <si>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</si>
  <si>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</si>
  <si>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</si>
  <si>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</si>
  <si>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</si>
  <si>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</si>
  <si>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</si>
  <si>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</si>
  <si>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</si>
  <si>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</si>
  <si>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</si>
  <si>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</si>
  <si>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</si>
  <si>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</si>
  <si>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</si>
  <si>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</si>
  <si>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</si>
  <si>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</si>
  <si>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</si>
  <si>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</si>
  <si>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</si>
  <si>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</si>
  <si>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</si>
  <si>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</si>
  <si>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</si>
  <si>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</si>
  <si>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</si>
  <si>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</si>
  <si>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</si>
  <si>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</si>
  <si>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</si>
  <si>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</si>
  <si>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</si>
  <si>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</si>
  <si>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</si>
  <si>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</si>
  <si>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</si>
  <si>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</si>
  <si>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</si>
  <si>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</si>
  <si>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</si>
  <si>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</si>
  <si>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</si>
  <si>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</si>
  <si>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</si>
  <si>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</si>
  <si>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</si>
  <si>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</si>
  <si>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</si>
  <si>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</si>
  <si>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</si>
  <si>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</si>
  <si>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</si>
  <si>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</si>
  <si>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</si>
  <si>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</si>
  <si>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</si>
  <si>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</si>
  <si>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</si>
  <si>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</si>
  <si>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</si>
  <si>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</si>
  <si>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</si>
  <si>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</si>
  <si>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</si>
  <si>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</si>
  <si>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</si>
  <si>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</si>
  <si>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</si>
  <si>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</si>
  <si>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</si>
  <si>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</si>
  <si>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</si>
  <si>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</si>
  <si>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</si>
  <si>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</si>
  <si>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</si>
  <si>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</si>
  <si>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</si>
  <si>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</si>
  <si>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</si>
  <si>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</si>
  <si>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</si>
  <si>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</si>
  <si>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</si>
  <si>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</si>
  <si>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</si>
  <si>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</si>
  <si>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</si>
  <si>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</si>
  <si>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</si>
  <si>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</si>
  <si>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</si>
  <si>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</si>
  <si>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</si>
  <si>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</si>
  <si>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</si>
  <si>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</si>
  <si>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</si>
  <si>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</si>
  <si>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</si>
  <si>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</si>
  <si>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</si>
  <si>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</si>
  <si>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</si>
  <si>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</si>
  <si>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</si>
  <si>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</si>
  <si>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</si>
  <si>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</si>
  <si>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</si>
  <si>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</si>
  <si>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</si>
  <si>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</si>
  <si>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</si>
  <si>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</si>
  <si>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</si>
  <si>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</si>
  <si>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</si>
  <si>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</si>
  <si>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</si>
  <si>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</si>
  <si>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</si>
  <si>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</si>
  <si>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</si>
  <si>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</si>
  <si>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</si>
  <si>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</si>
  <si>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</si>
  <si>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</si>
  <si>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</si>
  <si>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</si>
  <si>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</si>
  <si>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</si>
  <si>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</si>
  <si>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</si>
  <si>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</si>
  <si>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</si>
  <si>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</si>
  <si>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</si>
  <si>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</si>
  <si>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</si>
  <si>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</si>
  <si>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</si>
  <si>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</si>
  <si>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</si>
  <si>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</si>
  <si>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</si>
  <si>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</si>
  <si>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</si>
  <si>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</si>
  <si>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</si>
  <si>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</si>
  <si>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</si>
  <si>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</si>
  <si>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</si>
  <si>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</si>
  <si>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</si>
  <si>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</si>
  <si>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</si>
  <si>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</si>
  <si>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</si>
  <si>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</si>
  <si>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</si>
  <si>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</si>
  <si>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</si>
  <si>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</si>
  <si>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</si>
  <si>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</si>
  <si>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</si>
  <si>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</si>
  <si>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</si>
  <si>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</si>
  <si>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</si>
  <si>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</si>
  <si>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</si>
  <si>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</si>
  <si>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</si>
  <si>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</si>
  <si>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</si>
  <si>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</si>
  <si>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</si>
  <si>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</si>
  <si>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</si>
  <si>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</si>
  <si>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</si>
  <si>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</si>
  <si>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</si>
  <si>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</si>
  <si>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</si>
  <si>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</si>
  <si>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</si>
  <si>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</si>
  <si>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</si>
  <si>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</si>
  <si>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</si>
  <si>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</si>
  <si>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</si>
  <si>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</si>
  <si>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</si>
  <si>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</si>
  <si>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</si>
  <si>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</si>
  <si>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</si>
  <si>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</si>
  <si>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</si>
  <si>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</si>
  <si>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</si>
  <si>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</si>
  <si>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</si>
  <si>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</si>
  <si>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</si>
  <si>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</si>
  <si>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</si>
  <si>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</si>
  <si>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</si>
  <si>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</si>
  <si>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</si>
  <si>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</si>
  <si>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</si>
  <si>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</si>
  <si>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</si>
  <si>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</si>
  <si>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</si>
  <si>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</si>
  <si>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</si>
  <si>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</si>
  <si>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</si>
  <si>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</si>
  <si>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</si>
  <si>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</si>
  <si>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</si>
  <si>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</si>
  <si>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</si>
  <si>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</si>
  <si>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</si>
  <si>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</si>
  <si>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</si>
  <si>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</si>
  <si>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</si>
  <si>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</si>
  <si>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</si>
  <si>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</si>
  <si>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</si>
  <si>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</si>
  <si>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</si>
  <si>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</si>
  <si>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</si>
  <si>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</si>
  <si>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</si>
  <si>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</si>
  <si>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</si>
  <si>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</si>
  <si>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</si>
  <si>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</si>
  <si>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</si>
  <si>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</si>
  <si>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</si>
  <si>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</si>
  <si>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</si>
  <si>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</si>
  <si>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</si>
  <si>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</si>
  <si>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</si>
  <si>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</si>
  <si>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</si>
  <si>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</si>
  <si>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</si>
  <si>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</si>
  <si>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</si>
  <si>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</si>
  <si>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</si>
  <si>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</si>
  <si>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</si>
  <si>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</si>
  <si>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</si>
  <si>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</si>
  <si>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</si>
  <si>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</si>
  <si>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</si>
  <si>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</si>
  <si>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</si>
  <si>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</si>
  <si>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</si>
  <si>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</si>
  <si>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</si>
  <si>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</si>
  <si>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</si>
  <si>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</si>
  <si>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</si>
  <si>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</si>
  <si>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</si>
  <si>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</si>
  <si>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</si>
  <si>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</si>
  <si>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</si>
  <si>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</si>
  <si>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</si>
  <si>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</si>
  <si>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</si>
  <si>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</si>
  <si>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</si>
  <si>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</si>
  <si>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</si>
  <si>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</si>
  <si>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</si>
  <si>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</si>
  <si>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</si>
  <si>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</si>
  <si>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</si>
  <si>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</si>
  <si>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</si>
  <si>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</si>
  <si>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</si>
  <si>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</si>
  <si>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</si>
  <si>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</si>
  <si>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</si>
  <si>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</si>
  <si>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</si>
  <si>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</si>
  <si>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</si>
  <si>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</si>
  <si>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</si>
  <si>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</si>
  <si>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</si>
  <si>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</si>
  <si>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</si>
  <si>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</si>
  <si>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</si>
  <si>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</si>
  <si>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</si>
  <si>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</si>
  <si>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</si>
  <si>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</si>
  <si>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</si>
  <si>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</si>
  <si>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</si>
  <si>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</si>
  <si>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</si>
  <si>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</si>
  <si>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</si>
  <si>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</si>
  <si>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</si>
  <si>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</si>
  <si>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</si>
  <si>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</si>
  <si>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</si>
  <si>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</si>
  <si>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</si>
  <si>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</si>
  <si>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</si>
  <si>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</si>
  <si>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</si>
  <si>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</si>
  <si>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</si>
  <si>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</si>
  <si>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</si>
  <si>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</si>
  <si>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</si>
  <si>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</si>
  <si>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</si>
  <si>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</si>
  <si>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</si>
  <si>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</si>
  <si>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</si>
  <si>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</si>
  <si>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</si>
  <si>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</si>
  <si>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</si>
  <si>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</si>
  <si>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</si>
  <si>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</si>
  <si>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</si>
  <si>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</si>
  <si>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</si>
  <si>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</si>
  <si>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</si>
  <si>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</si>
  <si>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</si>
  <si>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</si>
  <si>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</si>
  <si>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</si>
  <si>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</si>
  <si>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</si>
  <si>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</si>
  <si>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</si>
  <si>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</si>
  <si>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</si>
  <si>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</si>
  <si>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</si>
  <si>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</si>
  <si>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</si>
  <si>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</si>
  <si>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</si>
  <si>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</si>
  <si>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</si>
  <si>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</si>
  <si>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</si>
  <si>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</si>
  <si>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</si>
  <si>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</si>
  <si>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</si>
  <si>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</si>
  <si>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</si>
  <si>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</si>
  <si>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</si>
  <si>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</si>
  <si>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</si>
  <si>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</si>
  <si>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</si>
  <si>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</si>
  <si>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</si>
  <si>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</si>
  <si>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</si>
  <si>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</si>
  <si>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</si>
  <si>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</si>
  <si>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</si>
  <si>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</si>
  <si>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</si>
  <si>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</si>
  <si>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</si>
  <si>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</si>
  <si>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</si>
  <si>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</si>
  <si>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</si>
  <si>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</si>
  <si>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</si>
  <si>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</si>
  <si>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</si>
  <si>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</si>
  <si>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</si>
  <si>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</si>
  <si>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</si>
  <si>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</si>
  <si>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</si>
  <si>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</si>
  <si>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</si>
  <si>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</si>
  <si>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</si>
  <si>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</si>
  <si>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</si>
  <si>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</si>
  <si>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</si>
  <si>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</si>
  <si>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</si>
  <si>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</si>
  <si>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</si>
  <si>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</si>
  <si>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</si>
  <si>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</si>
  <si>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</si>
  <si>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</si>
  <si>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</si>
  <si>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</si>
  <si>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</si>
  <si>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</si>
  <si>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</si>
  <si>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</si>
  <si>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</si>
  <si>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</si>
  <si>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</si>
  <si>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</si>
  <si>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</si>
  <si>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</si>
  <si>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</si>
  <si>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</si>
  <si>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</si>
  <si>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</si>
  <si>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</si>
  <si>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</si>
  <si>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</si>
  <si>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</si>
  <si>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</si>
  <si>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</si>
  <si>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</si>
  <si>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</si>
  <si>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</si>
  <si>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</si>
  <si>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</si>
  <si>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</si>
  <si>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</si>
  <si>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</si>
  <si>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</si>
  <si>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</si>
  <si>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</si>
  <si>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</si>
  <si>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</si>
  <si>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</si>
  <si>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</si>
  <si>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</si>
  <si>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</si>
  <si>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</si>
  <si>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</si>
  <si>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</si>
  <si>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</si>
  <si>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</si>
  <si>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</si>
  <si>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</si>
  <si>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</si>
  <si>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</si>
  <si>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</si>
  <si>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</si>
  <si>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</si>
  <si>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</si>
  <si>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</si>
  <si>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</si>
  <si>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</si>
  <si>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</si>
  <si>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</si>
  <si>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</si>
  <si>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</si>
  <si>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</si>
  <si>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</si>
  <si>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</si>
  <si>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</si>
  <si>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</si>
  <si>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</si>
  <si>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</si>
  <si>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</si>
  <si>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</si>
  <si>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</si>
  <si>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</si>
  <si>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</si>
  <si>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</si>
  <si>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</si>
  <si>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</si>
  <si>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</si>
  <si>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</si>
  <si>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</si>
  <si>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</si>
  <si>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</si>
  <si>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</si>
  <si>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</si>
  <si>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</si>
  <si>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</si>
  <si>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</si>
  <si>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</si>
  <si>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</si>
  <si>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</si>
  <si>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</si>
  <si>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</si>
  <si>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</si>
  <si>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</si>
  <si>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</si>
  <si>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</si>
  <si>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</si>
  <si>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</si>
  <si>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</si>
  <si>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</si>
  <si>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</si>
  <si>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</si>
  <si>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</si>
  <si>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</si>
  <si>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</si>
  <si>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</si>
  <si>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</si>
  <si>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</si>
  <si>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</si>
  <si>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</si>
  <si>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</si>
  <si>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</si>
  <si>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</si>
  <si>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</si>
  <si>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</si>
  <si>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</si>
  <si>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</si>
  <si>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</si>
  <si>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</si>
  <si>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</si>
  <si>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</si>
  <si>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</si>
  <si>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</si>
  <si>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</si>
  <si>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</si>
  <si>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</si>
  <si>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</si>
  <si>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</si>
  <si>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</si>
  <si>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</si>
  <si>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</si>
  <si>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</si>
  <si>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</si>
  <si>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</si>
  <si>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</si>
  <si>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</si>
  <si>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</si>
  <si>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</si>
  <si>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</si>
  <si>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</si>
  <si>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</si>
  <si>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</si>
  <si>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</si>
  <si>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</si>
  <si>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</si>
  <si>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</si>
  <si>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</si>
  <si>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</si>
  <si>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</si>
  <si>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</si>
  <si>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</si>
  <si>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</si>
  <si>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</si>
  <si>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</si>
  <si>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</si>
  <si>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</si>
  <si>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</si>
  <si>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</si>
  <si>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</si>
  <si>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</si>
  <si>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</si>
  <si>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</si>
  <si>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</si>
  <si>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</si>
  <si>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</si>
  <si>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</si>
  <si>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</si>
  <si>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</si>
  <si>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</si>
  <si>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</si>
  <si>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</si>
  <si>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</si>
  <si>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</si>
  <si>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</si>
  <si>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</si>
  <si>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</si>
  <si>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</si>
  <si>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</si>
  <si>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</si>
  <si>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</si>
  <si>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</si>
  <si>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</si>
  <si>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</si>
  <si>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</si>
  <si>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</si>
  <si>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</si>
  <si>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</si>
  <si>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</si>
  <si>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</si>
  <si>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</si>
  <si>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</si>
  <si>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</si>
  <si>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</si>
  <si>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</si>
  <si>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</si>
  <si>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</si>
  <si>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</si>
  <si>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</si>
  <si>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</si>
  <si>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</si>
  <si>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</si>
  <si>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</si>
  <si>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</si>
  <si>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</si>
  <si>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</si>
  <si>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</si>
  <si>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</si>
  <si>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</si>
  <si>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</si>
  <si>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</si>
  <si>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</si>
  <si>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</si>
  <si>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</si>
  <si>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</si>
  <si>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</si>
  <si>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</si>
  <si>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</si>
  <si>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</si>
  <si>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</si>
  <si>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</si>
  <si>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</si>
  <si>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</si>
  <si>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</si>
  <si>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</si>
  <si>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</si>
  <si>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</si>
  <si>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</si>
  <si>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</si>
  <si>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</si>
  <si>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</si>
  <si>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</si>
  <si>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</si>
  <si>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</si>
  <si>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</si>
  <si>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</si>
  <si>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</si>
  <si>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</si>
  <si>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</si>
  <si>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</si>
  <si>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</si>
  <si>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</si>
  <si>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</si>
  <si>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</si>
  <si>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</si>
  <si>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</si>
  <si>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</si>
  <si>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</si>
  <si>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</si>
  <si>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</si>
  <si>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</si>
  <si>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</si>
  <si>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</si>
  <si>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</si>
  <si>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</si>
  <si>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</si>
  <si>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</si>
  <si>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</si>
  <si>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</si>
  <si>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</si>
  <si>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</si>
  <si>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</si>
  <si>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</si>
  <si>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</si>
  <si>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</si>
  <si>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</si>
  <si>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</si>
  <si>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</si>
  <si>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</si>
  <si>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</si>
  <si>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</si>
  <si>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</si>
  <si>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</si>
  <si>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</si>
  <si>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</si>
  <si>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</si>
  <si>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</si>
  <si>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</si>
  <si>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</si>
  <si>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</si>
  <si>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</si>
  <si>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</si>
  <si>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</si>
  <si>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</si>
  <si>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</si>
  <si>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</si>
  <si>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</si>
  <si>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</si>
  <si>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</si>
  <si>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</si>
  <si>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</si>
  <si>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</si>
  <si>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</si>
  <si>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</si>
  <si>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</si>
  <si>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</si>
  <si>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</si>
  <si>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</si>
  <si>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</si>
  <si>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</si>
  <si>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</si>
  <si>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</si>
  <si>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</si>
  <si>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</si>
  <si>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</si>
  <si>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</si>
  <si>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</si>
  <si>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</si>
  <si>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</si>
  <si>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</si>
  <si>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</si>
  <si>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</si>
  <si>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</si>
  <si>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</si>
  <si>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</si>
  <si>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</si>
  <si>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</si>
  <si>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</si>
  <si>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</si>
  <si>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</si>
  <si>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</si>
  <si>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</si>
  <si>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</si>
  <si>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</si>
  <si>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</si>
  <si>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</si>
  <si>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</si>
  <si>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</si>
  <si>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</si>
  <si>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</si>
  <si>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</si>
  <si>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</si>
  <si>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</si>
  <si>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</si>
  <si>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</si>
  <si>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</si>
  <si>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</si>
  <si>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</si>
  <si>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</si>
  <si>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</si>
  <si>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</si>
  <si>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</si>
  <si>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</si>
  <si>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</si>
  <si>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</si>
  <si>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</si>
  <si>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</si>
  <si>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</si>
  <si>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</si>
  <si>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</si>
  <si>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</si>
  <si>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</si>
  <si>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</si>
  <si>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</si>
  <si>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</si>
  <si>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</si>
  <si>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</si>
  <si>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</si>
  <si>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</si>
  <si>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</si>
  <si>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</si>
  <si>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</si>
  <si>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</si>
  <si>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</si>
  <si>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</si>
  <si>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</si>
  <si>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</si>
  <si>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</si>
  <si>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</si>
  <si>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</si>
  <si>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</si>
  <si>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</si>
  <si>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</si>
  <si>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</si>
  <si>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</si>
  <si>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</si>
  <si>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</si>
  <si>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</si>
  <si>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</si>
  <si>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</si>
  <si>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</si>
  <si>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</si>
  <si>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</si>
  <si>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</si>
  <si>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</si>
  <si>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</si>
  <si>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</si>
  <si>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</si>
  <si>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</si>
  <si>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</si>
  <si>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</si>
  <si>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</si>
  <si>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</si>
  <si>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</si>
  <si>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</si>
  <si>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</si>
  <si>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</si>
  <si>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</si>
  <si>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</si>
  <si>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</si>
  <si>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</si>
  <si>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</si>
  <si>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</si>
  <si>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</si>
  <si>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</si>
  <si>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</si>
  <si>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</si>
  <si>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</si>
  <si>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</si>
  <si>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</si>
  <si>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</si>
  <si>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</si>
  <si>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</si>
  <si>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</si>
  <si>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</si>
  <si>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</si>
  <si>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</si>
  <si>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</si>
  <si>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</si>
  <si>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</si>
  <si>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</si>
  <si>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</si>
  <si>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</si>
  <si>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</si>
  <si>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</si>
  <si>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</si>
  <si>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</si>
  <si>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</si>
  <si>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</si>
  <si>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</si>
  <si>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</si>
  <si>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</si>
  <si>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</si>
  <si>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</si>
  <si>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</si>
  <si>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</si>
  <si>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</si>
  <si>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</si>
  <si>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</si>
  <si>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</si>
  <si>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</si>
  <si>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</si>
  <si>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</si>
  <si>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</si>
  <si>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</si>
  <si>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</si>
  <si>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</si>
  <si>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</si>
  <si>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</si>
  <si>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</si>
  <si>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</si>
  <si>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</si>
  <si>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</si>
  <si>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</si>
  <si>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</si>
  <si>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</si>
  <si>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</si>
  <si>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</si>
  <si>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</si>
  <si>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</si>
  <si>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</si>
  <si>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</si>
  <si>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</si>
  <si>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</si>
  <si>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</si>
  <si>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</si>
  <si>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</si>
  <si>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</si>
  <si>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</si>
  <si>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</si>
  <si>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</si>
  <si>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</si>
  <si>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</si>
  <si>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</si>
  <si>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</si>
  <si>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</si>
  <si>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</si>
  <si>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</si>
  <si>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</si>
  <si>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</si>
  <si>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</si>
  <si>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</si>
  <si>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</si>
  <si>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</si>
  <si>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</si>
  <si>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</si>
  <si>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</si>
  <si>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</si>
  <si>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</si>
  <si>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</si>
  <si>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</si>
  <si>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</si>
  <si>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</si>
  <si>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</si>
  <si>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</si>
  <si>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</si>
  <si>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</si>
  <si>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</si>
  <si>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</si>
  <si>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</si>
  <si>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</si>
  <si>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</si>
  <si>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</si>
  <si>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</si>
  <si>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</si>
  <si>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</si>
  <si>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</si>
  <si>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</si>
  <si>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</si>
  <si>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</si>
  <si>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</si>
  <si>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</si>
  <si>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</si>
  <si>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</si>
  <si>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</si>
  <si>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</si>
  <si>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</si>
  <si>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</si>
  <si>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</si>
  <si>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</si>
  <si>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</si>
  <si>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</si>
  <si>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</si>
  <si>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</si>
  <si>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</si>
  <si>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</si>
  <si>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</si>
  <si>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</si>
  <si>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</si>
  <si>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</si>
  <si>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</si>
  <si>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</si>
  <si>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</si>
  <si>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</si>
  <si>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</si>
  <si>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</si>
  <si>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</si>
  <si>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</si>
  <si>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</si>
  <si>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</si>
  <si>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</si>
  <si>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</si>
  <si>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</si>
  <si>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</si>
  <si>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</si>
  <si>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</si>
  <si>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</si>
  <si>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</si>
  <si>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</si>
  <si>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</si>
  <si>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</si>
  <si>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</si>
  <si>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</si>
  <si>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</si>
  <si>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</si>
  <si>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</si>
  <si>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</si>
  <si>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</si>
  <si>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</si>
  <si>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</si>
  <si>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</si>
  <si>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</si>
  <si>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</si>
  <si>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</si>
  <si>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</si>
  <si>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</si>
  <si>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</si>
  <si>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</si>
  <si>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</si>
  <si>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</si>
  <si>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</si>
  <si>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</si>
  <si>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</si>
  <si>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</si>
  <si>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</si>
  <si>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</si>
  <si>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</si>
  <si>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</si>
  <si>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</si>
  <si>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</si>
  <si>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</si>
  <si>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</si>
  <si>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</si>
  <si>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</si>
  <si>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</si>
  <si>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</si>
  <si>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</si>
  <si>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</si>
  <si>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</si>
  <si>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</si>
  <si>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</si>
  <si>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</si>
  <si>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</si>
  <si>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</si>
  <si>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</si>
  <si>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</si>
  <si>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</si>
  <si>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</si>
  <si>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</si>
  <si>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</si>
  <si>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</si>
  <si>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</si>
  <si>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</si>
  <si>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</si>
  <si>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</si>
  <si>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</si>
  <si>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</si>
  <si>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</si>
  <si>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</si>
  <si>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</si>
  <si>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</si>
  <si>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</si>
  <si>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</si>
  <si>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</si>
  <si>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</si>
  <si>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</si>
  <si>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</si>
  <si>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</si>
  <si>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</si>
  <si>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</si>
  <si>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</si>
  <si>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</si>
  <si>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</si>
  <si>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</si>
  <si>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</si>
  <si>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</si>
  <si>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</si>
  <si>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</si>
  <si>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</si>
  <si>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</si>
  <si>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</si>
  <si>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</si>
  <si>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</si>
  <si>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</si>
  <si>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</si>
  <si>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</si>
  <si>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</si>
  <si>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</si>
  <si>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</si>
  <si>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</si>
  <si>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</si>
  <si>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</si>
  <si>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</si>
  <si>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</si>
  <si>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</si>
  <si>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</si>
  <si>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</si>
  <si>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</si>
  <si>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</si>
  <si>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</si>
  <si>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</si>
  <si>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</si>
  <si>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</si>
  <si>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</si>
  <si>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</si>
  <si>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</si>
  <si>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</si>
  <si>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</si>
  <si>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</si>
  <si>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</si>
  <si>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</si>
  <si>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</si>
  <si>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</si>
  <si>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</si>
  <si>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</si>
  <si>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</si>
  <si>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</si>
  <si>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</si>
  <si>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</si>
  <si>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</si>
  <si>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</si>
  <si>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</si>
  <si>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</si>
  <si>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</si>
  <si>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</si>
  <si>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</si>
  <si>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</si>
  <si>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</si>
  <si>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</si>
  <si>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</si>
  <si>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</si>
  <si>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</si>
  <si>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</si>
  <si>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</si>
  <si>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</si>
  <si>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</si>
  <si>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</si>
  <si>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</si>
  <si>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</si>
  <si>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</si>
  <si>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</si>
  <si>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</si>
  <si>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</si>
  <si>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</si>
  <si>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</si>
  <si>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</si>
  <si>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</si>
  <si>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</si>
  <si>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</si>
  <si>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</si>
  <si>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</si>
  <si>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</si>
  <si>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</si>
  <si>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</si>
  <si>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</si>
  <si>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</si>
  <si>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</si>
  <si>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</si>
  <si>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</si>
  <si>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</si>
  <si>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</si>
  <si>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</si>
  <si>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</si>
  <si>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</si>
  <si>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</si>
  <si>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</si>
  <si>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</si>
  <si>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</si>
  <si>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</si>
  <si>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</si>
  <si>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</si>
  <si>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</si>
  <si>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</si>
  <si>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</si>
  <si>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</si>
  <si>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</si>
  <si>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</si>
  <si>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</si>
  <si>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</si>
  <si>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</si>
  <si>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</si>
  <si>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</si>
  <si>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</si>
  <si>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</si>
  <si>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</si>
  <si>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</si>
  <si>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</si>
  <si>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</si>
  <si>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</si>
  <si>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</si>
  <si>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</si>
  <si>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</si>
  <si>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</si>
  <si>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</si>
  <si>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</si>
  <si>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</si>
  <si>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</si>
  <si>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</si>
  <si>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</si>
  <si>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</si>
  <si>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</si>
  <si>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</si>
  <si>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</si>
  <si>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</si>
  <si>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</si>
  <si>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</si>
  <si>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</si>
  <si>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</si>
  <si>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</si>
  <si>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</si>
  <si>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</si>
  <si>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</si>
  <si>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</si>
  <si>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</si>
  <si>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</si>
  <si>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</si>
  <si>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</si>
  <si>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</si>
  <si>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</si>
  <si>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</si>
  <si>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</si>
  <si>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</si>
  <si>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</si>
  <si>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</si>
  <si>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</si>
  <si>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</si>
  <si>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</si>
  <si>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</si>
  <si>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</si>
  <si>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</si>
  <si>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</si>
  <si>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</si>
  <si>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</si>
  <si>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</si>
  <si>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</si>
  <si>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</si>
  <si>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</si>
  <si>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</si>
  <si>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</si>
  <si>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</si>
  <si>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</si>
  <si>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</si>
  <si>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</si>
  <si>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</si>
  <si>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</si>
  <si>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</si>
  <si>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</si>
  <si>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</si>
  <si>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</si>
  <si>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</si>
  <si>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</si>
  <si>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</si>
  <si>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</si>
  <si>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</si>
  <si>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</si>
  <si>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</si>
  <si>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</si>
  <si>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</si>
  <si>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</si>
  <si>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</si>
  <si>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</si>
  <si>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</si>
  <si>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</si>
  <si>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</si>
  <si>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</si>
  <si>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</si>
  <si>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</si>
  <si>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</si>
  <si>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</si>
  <si>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</si>
  <si>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</si>
  <si>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</si>
  <si>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</si>
  <si>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</si>
  <si>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</si>
  <si>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</si>
  <si>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</si>
  <si>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</si>
  <si>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</si>
  <si>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</si>
  <si>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</si>
  <si>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</si>
  <si>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</si>
  <si>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</si>
  <si>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</si>
  <si>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</si>
  <si>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</si>
  <si>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</si>
  <si>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</si>
  <si>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</si>
  <si>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</si>
  <si>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</si>
  <si>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</si>
  <si>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</si>
  <si>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</si>
  <si>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</si>
  <si>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</si>
  <si>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</si>
  <si>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</si>
  <si>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</si>
  <si>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</si>
  <si>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</si>
  <si>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</si>
  <si>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</si>
  <si>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</si>
  <si>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</si>
  <si>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</si>
  <si>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</si>
  <si>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</si>
  <si>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</si>
  <si>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</si>
  <si>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</si>
  <si>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</si>
  <si>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</si>
  <si>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</si>
  <si>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</si>
  <si>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</si>
  <si>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</si>
  <si>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</si>
  <si>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</si>
  <si>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</si>
  <si>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</si>
  <si>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</si>
  <si>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</si>
  <si>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</si>
  <si>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</si>
  <si>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</si>
  <si>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</si>
  <si>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</si>
  <si>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</si>
  <si>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</si>
  <si>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</si>
  <si>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</si>
  <si>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</si>
  <si>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</si>
  <si>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</si>
  <si>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</si>
  <si>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</si>
  <si>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</si>
  <si>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</si>
  <si>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</si>
  <si>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</si>
  <si>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</si>
  <si>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</si>
  <si>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</si>
  <si>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</si>
  <si>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</si>
  <si>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</si>
  <si>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</si>
  <si>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</si>
  <si>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</si>
  <si>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</si>
  <si>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</si>
  <si>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</si>
  <si>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</si>
  <si>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</si>
  <si>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</si>
  <si>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</si>
  <si>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</si>
  <si>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</si>
  <si>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</si>
  <si>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</si>
  <si>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</si>
  <si>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</si>
  <si>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</si>
  <si>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</si>
  <si>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</si>
  <si>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</si>
  <si>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</si>
  <si>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</si>
  <si>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</si>
  <si>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</si>
  <si>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</si>
  <si>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</si>
  <si>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</si>
  <si>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</si>
  <si>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</si>
  <si>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</si>
  <si>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</si>
  <si>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</si>
  <si>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</si>
  <si>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</si>
  <si>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</si>
  <si>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</si>
  <si>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</si>
  <si>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</si>
  <si>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</si>
  <si>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</si>
  <si>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</si>
  <si>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</si>
  <si>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</si>
  <si>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</si>
  <si>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</si>
  <si>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</si>
  <si>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</si>
  <si>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</si>
  <si>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</si>
  <si>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</si>
  <si>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</si>
  <si>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</si>
  <si>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</si>
  <si>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</si>
  <si>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</si>
  <si>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</si>
  <si>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</si>
  <si>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</si>
  <si>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</si>
  <si>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</si>
  <si>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</si>
  <si>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</si>
  <si>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</si>
  <si>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</si>
  <si>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</si>
  <si>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</si>
  <si>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</si>
  <si>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</si>
  <si>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</si>
  <si>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</si>
  <si>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</si>
  <si>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</si>
  <si>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</si>
  <si>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</si>
  <si>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</si>
  <si>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</si>
  <si>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</si>
  <si>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</si>
  <si>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</si>
  <si>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</si>
  <si>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</si>
  <si>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</si>
  <si>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</si>
  <si>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</si>
  <si>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</si>
  <si>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</si>
  <si>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</si>
  <si>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</si>
  <si>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</si>
  <si>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</si>
  <si>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</si>
  <si>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</si>
  <si>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</si>
  <si>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</si>
  <si>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</si>
  <si>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</si>
  <si>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</si>
  <si>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</si>
  <si>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</si>
  <si>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</si>
  <si>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</si>
  <si>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</si>
  <si>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</si>
  <si>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</si>
  <si>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</si>
  <si>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</si>
  <si>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</si>
  <si>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</si>
  <si>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</si>
  <si>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</si>
  <si>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</si>
  <si>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</si>
  <si>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</si>
  <si>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</si>
  <si>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</si>
  <si>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</si>
  <si>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</si>
  <si>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</si>
  <si>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</si>
  <si>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</si>
  <si>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</si>
  <si>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</si>
  <si>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</si>
  <si>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</si>
  <si>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</si>
  <si>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</si>
  <si>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</si>
  <si>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</si>
  <si>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</si>
  <si>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</si>
  <si>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</si>
  <si>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</si>
  <si>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</si>
  <si>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</si>
  <si>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</si>
  <si>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</si>
  <si>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</si>
  <si>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</si>
  <si>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</si>
  <si>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</si>
  <si>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</si>
  <si>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</si>
  <si>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</si>
  <si>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</si>
  <si>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</si>
  <si>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</si>
  <si>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</si>
  <si>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</si>
  <si>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</si>
  <si>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</si>
  <si>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</si>
  <si>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</si>
  <si>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</si>
  <si>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</si>
  <si>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</si>
  <si>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</si>
  <si>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</si>
  <si>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</si>
  <si>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</si>
  <si>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</si>
  <si>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</si>
  <si>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</si>
  <si>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</si>
  <si>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</si>
  <si>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</si>
  <si>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</si>
  <si>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</si>
  <si>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</si>
  <si>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</si>
  <si>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</si>
  <si>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</si>
  <si>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</si>
  <si>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</si>
  <si>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</si>
  <si>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</si>
  <si>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</si>
  <si>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</si>
  <si>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</si>
  <si>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</si>
  <si>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</si>
  <si>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</si>
  <si>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</si>
  <si>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</si>
  <si>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</si>
  <si>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</si>
  <si>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</si>
  <si>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</si>
  <si>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</si>
  <si>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</si>
  <si>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</si>
  <si>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</si>
  <si>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</si>
  <si>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</si>
  <si>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</si>
  <si>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</si>
  <si>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</si>
  <si>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</si>
  <si>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</si>
  <si>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</si>
  <si>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</si>
  <si>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</si>
  <si>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</si>
  <si>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</si>
  <si>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</si>
  <si>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</si>
  <si>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</si>
  <si>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</si>
  <si>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</si>
  <si>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</si>
  <si>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</si>
  <si>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</si>
  <si>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</si>
  <si>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</si>
  <si>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</si>
  <si>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</si>
  <si>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</si>
  <si>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</si>
  <si>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</si>
  <si>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</si>
  <si>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</si>
  <si>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</si>
  <si>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</si>
  <si>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</si>
  <si>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</si>
  <si>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</si>
  <si>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</si>
  <si>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</si>
  <si>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</si>
  <si>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</si>
  <si>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</si>
  <si>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</si>
  <si>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</si>
  <si>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</si>
  <si>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</si>
  <si>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</si>
  <si>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</si>
  <si>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</si>
  <si>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</si>
  <si>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</si>
  <si>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</si>
  <si>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</si>
  <si>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</si>
  <si>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</si>
  <si>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</si>
  <si>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</si>
  <si>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</si>
  <si>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</si>
  <si>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</si>
  <si>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</si>
  <si>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</si>
  <si>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</si>
  <si>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</si>
  <si>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</si>
  <si>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</si>
  <si>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</si>
  <si>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</si>
  <si>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</si>
  <si>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</si>
  <si>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</si>
  <si>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</si>
  <si>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</si>
  <si>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</si>
  <si>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</si>
  <si>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</si>
  <si>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</si>
  <si>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</si>
  <si>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</si>
  <si>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</si>
  <si>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</si>
  <si>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</si>
  <si>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</si>
  <si>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</si>
  <si>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</si>
  <si>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</si>
  <si>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</si>
  <si>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</si>
  <si>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</si>
  <si>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</si>
  <si>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</si>
  <si>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</si>
  <si>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</si>
  <si>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</si>
  <si>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</si>
  <si>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</si>
  <si>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</si>
  <si>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</si>
  <si>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</si>
  <si>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</si>
  <si>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</si>
  <si>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</si>
  <si>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</si>
  <si>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</si>
  <si>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</si>
  <si>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</si>
  <si>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</si>
  <si>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</si>
  <si>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</si>
  <si>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</si>
  <si>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</si>
  <si>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</si>
  <si>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</si>
  <si>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</si>
  <si>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</si>
  <si>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</si>
  <si>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</si>
  <si>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</si>
  <si>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</si>
  <si>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</si>
  <si>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</si>
  <si>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</si>
  <si>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</si>
  <si>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</si>
  <si>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</si>
  <si>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</si>
  <si>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</si>
  <si>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</si>
  <si>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</si>
  <si>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</si>
  <si>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</si>
  <si>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</si>
  <si>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</si>
  <si>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</si>
  <si>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</si>
  <si>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</si>
  <si>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</si>
  <si>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</si>
  <si>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</si>
  <si>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</si>
  <si>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</si>
  <si>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</si>
  <si>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</si>
  <si>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</si>
  <si>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</si>
  <si>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</si>
  <si>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</si>
  <si>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</si>
  <si>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</si>
  <si>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</si>
  <si>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</si>
  <si>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</si>
  <si>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</si>
  <si>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</si>
  <si>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</si>
  <si>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</si>
  <si>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</si>
  <si>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</si>
  <si>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</si>
  <si>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</si>
  <si>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</si>
  <si>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</si>
  <si>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</si>
  <si>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</si>
  <si>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</si>
  <si>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</si>
  <si>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</si>
  <si>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</si>
  <si>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</si>
  <si>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</si>
  <si>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</si>
  <si>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</si>
  <si>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</si>
  <si>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</si>
  <si>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</si>
  <si>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</si>
  <si>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</si>
  <si>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</si>
  <si>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</si>
  <si>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</si>
  <si>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</si>
  <si>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</si>
  <si>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</si>
  <si>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</si>
  <si>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</si>
  <si>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</si>
  <si>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</si>
  <si>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</si>
  <si>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</si>
  <si>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</si>
  <si>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</si>
  <si>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</si>
  <si>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</si>
  <si>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</si>
  <si>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</si>
  <si>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</si>
  <si>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</si>
  <si>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</si>
  <si>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</si>
  <si>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</si>
  <si>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</si>
  <si>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</si>
  <si>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</si>
  <si>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</si>
  <si>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</si>
  <si>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</si>
  <si>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</si>
  <si>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</si>
  <si>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</si>
  <si>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</si>
  <si>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</si>
  <si>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</si>
  <si>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</si>
  <si>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</si>
  <si>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</si>
  <si>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</si>
  <si>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</si>
  <si>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</si>
  <si>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</si>
  <si>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</si>
  <si>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</si>
  <si>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</si>
  <si>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</si>
  <si>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</si>
  <si>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</si>
  <si>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</si>
  <si>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</si>
  <si>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</si>
  <si>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</si>
  <si>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</si>
  <si>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</si>
  <si>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</si>
  <si>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</si>
  <si>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</si>
  <si>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</si>
  <si>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</si>
  <si>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</si>
  <si>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</si>
  <si>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</si>
  <si>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</si>
  <si>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</si>
  <si>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</si>
  <si>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</si>
  <si>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</si>
  <si>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</si>
  <si>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</si>
  <si>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</si>
  <si>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</si>
  <si>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</si>
  <si>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</si>
  <si>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</si>
  <si>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</si>
  <si>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</si>
  <si>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</si>
  <si>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</si>
  <si>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</si>
  <si>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</si>
  <si>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</si>
  <si>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</si>
  <si>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</si>
  <si>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</si>
  <si>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</si>
  <si>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</si>
  <si>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</si>
  <si>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</si>
  <si>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</si>
  <si>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</si>
  <si>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</si>
  <si>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</si>
  <si>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</si>
  <si>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</si>
  <si>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</si>
  <si>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</si>
  <si>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</si>
  <si>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</si>
  <si>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</si>
  <si>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</si>
  <si>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</si>
  <si>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</si>
  <si>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</si>
  <si>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</si>
  <si>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</si>
  <si>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</si>
  <si>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</si>
  <si>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</si>
  <si>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</si>
  <si>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</si>
  <si>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</si>
  <si>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</si>
  <si>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</si>
  <si>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</si>
  <si>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</si>
  <si>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</si>
  <si>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</si>
  <si>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</si>
  <si>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</si>
  <si>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</si>
  <si>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</si>
  <si>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</si>
  <si>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</si>
  <si>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</si>
  <si>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</si>
  <si>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</si>
  <si>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</si>
  <si>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</si>
  <si>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</si>
  <si>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</si>
  <si>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</si>
  <si>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</si>
  <si>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</si>
  <si>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</si>
  <si>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</si>
  <si>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</si>
  <si>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</si>
  <si>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</si>
  <si>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</si>
  <si>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</si>
  <si>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</si>
  <si>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</si>
  <si>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</si>
  <si>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</si>
  <si>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</si>
  <si>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</si>
  <si>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</si>
  <si>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</si>
  <si>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</si>
  <si>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</si>
  <si>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</si>
  <si>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</si>
  <si>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</si>
  <si>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</si>
  <si>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</si>
  <si>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</si>
  <si>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</si>
  <si>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</si>
  <si>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</si>
  <si>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</si>
  <si>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</si>
  <si>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</si>
  <si>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</si>
  <si>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</si>
  <si>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</si>
  <si>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</si>
  <si>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</si>
  <si>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</si>
  <si>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</si>
  <si>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</si>
  <si>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</si>
  <si>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</si>
  <si>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</si>
  <si>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</si>
  <si>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</si>
  <si>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</si>
  <si>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</si>
  <si>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</si>
  <si>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</si>
  <si>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</si>
  <si>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</si>
  <si>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</si>
  <si>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</si>
  <si>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</si>
  <si>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</si>
  <si>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</si>
  <si>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</si>
  <si>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</si>
  <si>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</si>
  <si>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</si>
  <si>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</si>
  <si>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</si>
  <si>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</si>
  <si>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</si>
  <si>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</si>
  <si>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</si>
  <si>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</si>
  <si>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</si>
  <si>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</si>
  <si>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</si>
  <si>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</si>
  <si>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</si>
  <si>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</si>
  <si>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</si>
  <si>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</si>
  <si>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</si>
  <si>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</si>
  <si>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</si>
  <si>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</si>
  <si>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</si>
  <si>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</si>
  <si>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</si>
  <si>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</si>
  <si>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</si>
  <si>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</si>
  <si>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</si>
  <si>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</si>
  <si>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</si>
  <si>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</si>
  <si>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</si>
  <si>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</si>
  <si>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</si>
  <si>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</si>
  <si>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</si>
  <si>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</si>
  <si>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</si>
  <si>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</si>
  <si>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</si>
  <si>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</si>
  <si>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</si>
  <si>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</si>
  <si>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</si>
  <si>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</si>
  <si>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</si>
  <si>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</si>
  <si>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</si>
  <si>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</si>
  <si>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</si>
  <si>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</si>
  <si>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</si>
  <si>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</si>
  <si>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</si>
  <si>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</si>
  <si>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</si>
  <si>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</si>
  <si>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</si>
  <si>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</si>
  <si>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</si>
  <si>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</si>
  <si>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</si>
  <si>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</si>
  <si>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</si>
  <si>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</si>
  <si>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</si>
  <si>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</si>
  <si>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</si>
  <si>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</si>
  <si>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</si>
  <si>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</si>
  <si>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</si>
  <si>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</si>
  <si>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</si>
  <si>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</si>
  <si>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</si>
  <si>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</si>
  <si>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</si>
  <si>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</si>
  <si>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</si>
  <si>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</si>
  <si>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</si>
  <si>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</si>
  <si>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</si>
  <si>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</si>
  <si>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</si>
  <si>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</si>
  <si>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</si>
  <si>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</si>
  <si>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</si>
  <si>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</si>
  <si>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</si>
  <si>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</si>
  <si>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</si>
  <si>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</si>
  <si>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</si>
  <si>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</si>
  <si>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</si>
  <si>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</si>
  <si>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</si>
  <si>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</si>
  <si>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</si>
  <si>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</si>
  <si>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</si>
  <si>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</si>
  <si>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</si>
  <si>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</si>
  <si>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</si>
  <si>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</si>
  <si>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</si>
  <si>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</si>
  <si>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</si>
  <si>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</si>
  <si>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</si>
  <si>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</si>
  <si>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</si>
  <si>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</si>
  <si>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</si>
  <si>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</si>
  <si>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</si>
  <si>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</si>
  <si>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</si>
  <si>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</si>
  <si>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</si>
  <si>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</si>
  <si>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</si>
  <si>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</si>
  <si>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</si>
  <si>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</si>
  <si>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</si>
  <si>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</si>
  <si>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</si>
  <si>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</si>
  <si>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</si>
  <si>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</si>
  <si>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</si>
  <si>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</si>
  <si>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</si>
  <si>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</si>
  <si>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</si>
  <si>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</si>
  <si>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</si>
  <si>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</si>
  <si>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</si>
  <si>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</si>
  <si>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</si>
  <si>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</si>
  <si>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</si>
  <si>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</si>
  <si>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</si>
  <si>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</si>
  <si>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</si>
  <si>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</si>
  <si>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</si>
  <si>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</si>
  <si>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</si>
  <si>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</si>
  <si>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</si>
  <si>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</si>
  <si>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</si>
  <si>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</si>
  <si>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</si>
  <si>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</si>
  <si>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</si>
  <si>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</si>
  <si>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</si>
  <si>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</si>
  <si>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</si>
  <si>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</si>
  <si>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</si>
  <si>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</si>
  <si>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</si>
  <si>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</si>
  <si>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</si>
  <si>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</si>
  <si>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</si>
  <si>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</si>
  <si>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</si>
  <si>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</si>
  <si>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</si>
  <si>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</si>
  <si>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</si>
  <si>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</si>
  <si>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</si>
  <si>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</si>
  <si>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</si>
  <si>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</si>
  <si>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</si>
  <si>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</si>
  <si>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</si>
  <si>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</si>
  <si>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</si>
  <si>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</si>
  <si>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</si>
  <si>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</si>
  <si>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</si>
  <si>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</si>
  <si>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</si>
  <si>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</si>
  <si>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</si>
  <si>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</si>
  <si>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</si>
  <si>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</si>
  <si>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</si>
  <si>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</si>
  <si>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</si>
  <si>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</si>
  <si>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</si>
  <si>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</si>
  <si>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</si>
  <si>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</si>
  <si>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</si>
  <si>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</si>
  <si>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</si>
  <si>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</si>
  <si>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</si>
  <si>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</si>
  <si>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</si>
  <si>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</si>
  <si>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</si>
  <si>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</si>
  <si>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</si>
  <si>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</si>
  <si>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</si>
  <si>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</si>
  <si>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</si>
  <si>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</si>
  <si>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</si>
  <si>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</si>
  <si>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</si>
  <si>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</si>
  <si>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</si>
  <si>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</si>
  <si>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</si>
  <si>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</si>
  <si>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</si>
  <si>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</si>
  <si>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</si>
  <si>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</si>
  <si>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</si>
  <si>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</si>
  <si>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</si>
  <si>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</si>
  <si>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</si>
  <si>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</si>
  <si>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</si>
  <si>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</si>
  <si>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</si>
  <si>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</si>
  <si>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</si>
  <si>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</si>
  <si>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</si>
  <si>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</si>
  <si>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</si>
  <si>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</si>
  <si>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</si>
  <si>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</si>
  <si>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</si>
  <si>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</si>
  <si>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</si>
  <si>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</si>
  <si>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</si>
  <si>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</si>
  <si>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</si>
  <si>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</si>
  <si>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</si>
  <si>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</si>
  <si>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</si>
  <si>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</si>
  <si>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</si>
  <si>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</si>
  <si>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</si>
  <si>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</si>
  <si>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</si>
  <si>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</si>
  <si>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</si>
  <si>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</si>
  <si>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</si>
  <si>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</si>
  <si>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</si>
  <si>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</si>
  <si>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</si>
  <si>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</si>
  <si>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</si>
  <si>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</si>
  <si>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</si>
  <si>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</si>
  <si>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</si>
  <si>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</si>
  <si>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</si>
  <si>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</si>
  <si>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</si>
  <si>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</si>
  <si>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</si>
  <si>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</si>
  <si>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</si>
  <si>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</si>
  <si>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</si>
  <si>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</si>
  <si>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</si>
  <si>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</si>
  <si>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</si>
  <si>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</si>
  <si>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</si>
  <si>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</si>
  <si>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</si>
  <si>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</si>
  <si>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</si>
  <si>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</si>
  <si>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</si>
  <si>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</si>
  <si>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</si>
  <si>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</si>
  <si>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</si>
  <si>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</si>
  <si>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</si>
  <si>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</si>
  <si>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</si>
  <si>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</si>
  <si>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</si>
  <si>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</si>
  <si>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</si>
  <si>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</si>
  <si>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</si>
  <si>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</si>
  <si>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</si>
  <si>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</si>
  <si>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</si>
  <si>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</si>
  <si>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</si>
  <si>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</si>
  <si>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</si>
  <si>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</si>
  <si>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</si>
  <si>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</si>
  <si>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</si>
  <si>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</si>
  <si>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</si>
  <si>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</si>
  <si>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</si>
  <si>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</si>
  <si>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</si>
  <si>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</si>
  <si>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</si>
  <si>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</si>
  <si>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</si>
  <si>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</si>
  <si>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</si>
  <si>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</si>
  <si>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</si>
  <si>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</si>
  <si>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</si>
  <si>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</si>
  <si>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</si>
  <si>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</si>
  <si>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</si>
  <si>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</si>
  <si>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</si>
  <si>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</si>
  <si>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</si>
  <si>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</si>
  <si>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</si>
  <si>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</si>
  <si>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</si>
  <si>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</si>
  <si>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</si>
  <si>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</si>
  <si>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</si>
  <si>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</si>
  <si>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</si>
  <si>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</si>
  <si>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</si>
  <si>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</si>
  <si>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</si>
  <si>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</si>
  <si>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</si>
  <si>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</si>
  <si>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</si>
  <si>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</si>
  <si>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</si>
  <si>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</si>
  <si>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</si>
  <si>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</si>
  <si>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</si>
  <si>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</si>
  <si>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</si>
  <si>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</si>
  <si>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</si>
  <si>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</si>
  <si>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</si>
  <si>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</si>
  <si>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</si>
  <si>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</si>
  <si>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</si>
  <si>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</si>
  <si>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</si>
  <si>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</si>
  <si>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</si>
  <si>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</si>
  <si>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</si>
  <si>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</si>
  <si>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</si>
  <si>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</si>
  <si>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</si>
  <si>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</si>
  <si>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</si>
  <si>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</si>
  <si>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</si>
  <si>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</si>
  <si>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</si>
  <si>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</si>
  <si>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</si>
  <si>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</si>
  <si>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</si>
  <si>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</si>
  <si>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</si>
  <si>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</si>
  <si>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</si>
  <si>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</si>
  <si>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</si>
  <si>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</si>
  <si>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</si>
  <si>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</si>
  <si>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</si>
  <si>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</si>
  <si>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</si>
  <si>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</si>
  <si>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</si>
  <si>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</si>
  <si>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</si>
  <si>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</si>
  <si>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</si>
  <si>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</si>
  <si>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</si>
  <si>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</si>
  <si>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</si>
  <si>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</si>
  <si>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</si>
  <si>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</si>
  <si>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</si>
  <si>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</si>
  <si>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</si>
  <si>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</si>
  <si>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</si>
  <si>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</si>
  <si>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</si>
  <si>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</si>
  <si>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</si>
  <si>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</si>
  <si>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</si>
  <si>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</si>
  <si>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</si>
  <si>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</si>
  <si>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</si>
  <si>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</si>
  <si>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</si>
  <si>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</si>
  <si>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</si>
  <si>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</si>
  <si>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</si>
  <si>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</si>
  <si>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</si>
  <si>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</si>
  <si>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</si>
  <si>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</si>
  <si>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</si>
  <si>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</si>
  <si>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</si>
  <si>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</si>
  <si>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</si>
  <si>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</si>
  <si>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</si>
  <si>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</si>
  <si>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</si>
  <si>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</si>
  <si>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</si>
  <si>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</si>
  <si>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</si>
  <si>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</si>
  <si>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</si>
  <si>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</si>
  <si>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</si>
  <si>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</si>
  <si>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</si>
  <si>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</si>
  <si>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</si>
  <si>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</si>
  <si>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</si>
  <si>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</si>
  <si>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</si>
  <si>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</si>
  <si>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</si>
  <si>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</si>
  <si>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</si>
  <si>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</si>
  <si>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</si>
  <si>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</si>
  <si>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</si>
  <si>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</si>
  <si>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</si>
  <si>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</si>
  <si>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</si>
  <si>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</si>
  <si>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</si>
  <si>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</si>
  <si>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</si>
  <si>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</si>
  <si>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</si>
  <si>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</si>
  <si>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</si>
  <si>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</si>
  <si>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</si>
  <si>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</si>
  <si>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</si>
  <si>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</si>
  <si>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</si>
  <si>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</si>
  <si>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</si>
  <si>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</si>
  <si>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</si>
  <si>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</si>
  <si>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</si>
  <si>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</si>
  <si>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</si>
  <si>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</si>
  <si>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</si>
  <si>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</si>
  <si>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</si>
  <si>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</si>
  <si>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</si>
  <si>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</si>
  <si>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</si>
  <si>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</si>
  <si>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</si>
  <si>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</si>
  <si>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</si>
  <si>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</si>
  <si>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</si>
  <si>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</si>
  <si>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</si>
  <si>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</si>
  <si>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</si>
  <si>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</si>
  <si>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</si>
  <si>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</si>
  <si>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</si>
  <si>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</si>
  <si>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</si>
  <si>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</si>
  <si>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</si>
  <si>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</si>
  <si>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</si>
  <si>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</si>
  <si>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</si>
  <si>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</si>
  <si>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</si>
  <si>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</si>
  <si>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</si>
  <si>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</si>
  <si>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</si>
  <si>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</si>
  <si>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</si>
  <si>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</si>
  <si>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</si>
  <si>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</si>
  <si>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</si>
  <si>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</si>
  <si>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</si>
  <si>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</si>
  <si>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</si>
  <si>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</si>
  <si>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</si>
  <si>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</si>
  <si>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</si>
  <si>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</si>
  <si>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</si>
  <si>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</si>
  <si>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</si>
  <si>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</si>
  <si>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</si>
  <si>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</si>
  <si>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</si>
  <si>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</si>
  <si>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</si>
  <si>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</si>
  <si>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</si>
  <si>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</si>
  <si>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</si>
  <si>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</si>
  <si>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</si>
  <si>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</si>
  <si>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</si>
  <si>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</si>
  <si>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</si>
  <si>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</si>
  <si>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</si>
  <si>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</si>
  <si>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</si>
  <si>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</si>
  <si>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</si>
  <si>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</si>
  <si>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</si>
  <si>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</si>
  <si>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</si>
  <si>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</si>
  <si>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</si>
  <si>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</si>
  <si>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</si>
  <si>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</si>
  <si>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</si>
  <si>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</si>
  <si>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</si>
  <si>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</si>
  <si>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</si>
  <si>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</si>
  <si>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</si>
  <si>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</si>
  <si>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</si>
  <si>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</si>
  <si>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</si>
  <si>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</si>
  <si>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</si>
  <si>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</si>
  <si>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</si>
  <si>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</si>
  <si>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</si>
  <si>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</si>
  <si>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</si>
  <si>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</si>
  <si>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</si>
  <si>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</si>
  <si>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</si>
  <si>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</si>
  <si>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</si>
  <si>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</si>
  <si>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</si>
  <si>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</si>
  <si>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</si>
  <si>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</si>
  <si>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</si>
  <si>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</si>
  <si>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</si>
  <si>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</si>
  <si>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</si>
  <si>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</si>
  <si>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</si>
  <si>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</si>
  <si>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</si>
  <si>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</si>
  <si>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</si>
  <si>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</si>
  <si>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</si>
  <si>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</si>
  <si>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</si>
  <si>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</si>
  <si>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</si>
  <si>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</si>
  <si>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</si>
  <si>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</si>
  <si>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</si>
  <si>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</si>
  <si>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</si>
  <si>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</si>
  <si>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</si>
  <si>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</si>
  <si>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</si>
  <si>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</si>
  <si>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</si>
  <si>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</si>
  <si>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</si>
  <si>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</si>
  <si>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</si>
  <si>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</si>
  <si>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</si>
  <si>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</si>
  <si>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</si>
  <si>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</si>
  <si>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</si>
  <si>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</si>
  <si>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</si>
  <si>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</si>
  <si>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</si>
  <si>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</si>
  <si>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</si>
  <si>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</si>
  <si>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</si>
  <si>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</si>
  <si>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</si>
  <si>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</si>
  <si>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</si>
  <si>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</si>
  <si>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</si>
  <si>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</si>
  <si>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</si>
  <si>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</si>
  <si>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</si>
  <si>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</si>
  <si>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</si>
  <si>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</si>
  <si>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</si>
  <si>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</si>
  <si>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</si>
  <si>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</si>
  <si>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</si>
  <si>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</si>
  <si>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</si>
  <si>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</si>
  <si>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</si>
  <si>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</si>
  <si>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</si>
  <si>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</si>
  <si>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</si>
  <si>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</si>
  <si>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</si>
  <si>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</si>
  <si>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</si>
  <si>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</si>
  <si>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</si>
  <si>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</si>
  <si>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</si>
  <si>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</si>
  <si>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</si>
  <si>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</si>
  <si>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</si>
  <si>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</si>
  <si>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</si>
  <si>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</si>
  <si>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</si>
  <si>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</si>
  <si>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</si>
  <si>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</si>
  <si>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</si>
  <si>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</si>
  <si>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</si>
  <si>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</si>
  <si>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</si>
  <si>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</si>
  <si>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</si>
  <si>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</si>
  <si>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</si>
  <si>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</si>
  <si>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</si>
  <si>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</si>
  <si>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</si>
  <si>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</si>
  <si>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</si>
  <si>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</si>
  <si>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</si>
  <si>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</si>
  <si>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</si>
  <si>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</si>
  <si>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</si>
  <si>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</si>
  <si>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</si>
  <si>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</si>
  <si>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</si>
  <si>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</si>
  <si>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</si>
  <si>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</si>
  <si>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</si>
  <si>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</si>
  <si>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</si>
  <si>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</si>
  <si>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</si>
  <si>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</si>
  <si>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</si>
  <si>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</si>
  <si>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</si>
  <si>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</si>
  <si>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</si>
  <si>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</si>
  <si>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</si>
  <si>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</si>
  <si>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</si>
  <si>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</si>
  <si>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</si>
  <si>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</si>
  <si>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</si>
  <si>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</si>
  <si>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</si>
  <si>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</si>
  <si>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</si>
  <si>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</si>
  <si>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</si>
  <si>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</si>
  <si>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</si>
  <si>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</si>
  <si>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</si>
  <si>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</si>
  <si>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</si>
  <si>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</si>
  <si>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</si>
  <si>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</si>
  <si>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</si>
  <si>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</si>
  <si>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</si>
  <si>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</si>
  <si>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</si>
  <si>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</si>
  <si>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</si>
  <si>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</si>
  <si>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</si>
  <si>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</si>
  <si>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</si>
  <si>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</si>
  <si>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</si>
  <si>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</si>
  <si>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</si>
  <si>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</si>
  <si>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</si>
  <si>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</si>
  <si>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</si>
  <si>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</si>
  <si>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</si>
  <si>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</si>
  <si>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</si>
  <si>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</si>
  <si>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</si>
  <si>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</si>
  <si>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</si>
  <si>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</si>
  <si>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</si>
  <si>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</si>
  <si>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</si>
  <si>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</si>
  <si>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</si>
  <si>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</si>
  <si>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</si>
  <si>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</si>
  <si>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</si>
  <si>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</si>
  <si>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</si>
  <si>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</si>
  <si>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</si>
  <si>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</si>
  <si>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</si>
  <si>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</si>
  <si>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</si>
  <si>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</si>
  <si>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</si>
  <si>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</si>
  <si>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</si>
  <si>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</si>
  <si>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</si>
  <si>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</si>
  <si>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</si>
  <si>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</si>
  <si>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</si>
  <si>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</si>
  <si>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</si>
  <si>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</si>
  <si>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</si>
  <si>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</si>
  <si>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</si>
  <si>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</si>
  <si>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</si>
  <si>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</si>
  <si>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</si>
  <si>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</si>
  <si>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</si>
  <si>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</si>
  <si>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</si>
  <si>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</si>
  <si>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</si>
  <si>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</si>
  <si>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</si>
  <si>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</si>
  <si>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</si>
  <si>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</si>
  <si>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</si>
  <si>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</si>
  <si>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</si>
  <si>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</si>
  <si>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</si>
  <si>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</si>
  <si>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</si>
  <si>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</si>
  <si>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</si>
  <si>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</si>
  <si>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</si>
  <si>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</si>
  <si>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</si>
  <si>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</si>
  <si>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</si>
  <si>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</si>
  <si>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</si>
  <si>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</si>
  <si>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</si>
  <si>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</si>
  <si>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</si>
  <si>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</si>
  <si>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</si>
  <si>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</si>
  <si>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</si>
  <si>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</si>
  <si>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</si>
  <si>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</si>
  <si>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</si>
  <si>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</si>
  <si>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</si>
  <si>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</si>
  <si>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</si>
  <si>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</si>
  <si>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</si>
  <si>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</si>
  <si>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</si>
  <si>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</si>
  <si>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</si>
  <si>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</si>
  <si>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</si>
  <si>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</si>
  <si>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</si>
  <si>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</si>
  <si>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</si>
  <si>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</si>
  <si>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</si>
  <si>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</si>
  <si>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</si>
  <si>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</si>
  <si>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</si>
  <si>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</si>
  <si>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</si>
  <si>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</si>
  <si>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</si>
  <si>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</si>
  <si>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</si>
  <si>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</si>
  <si>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</si>
  <si>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</si>
  <si>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</si>
  <si>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</si>
  <si>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</si>
  <si>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</si>
  <si>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</si>
  <si>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</si>
  <si>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</si>
  <si>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</si>
  <si>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</si>
  <si>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</si>
  <si>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</si>
  <si>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</si>
  <si>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</si>
  <si>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</si>
  <si>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</si>
  <si>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</si>
  <si>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</si>
  <si>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</si>
  <si>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</si>
  <si>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</si>
  <si>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</si>
  <si>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</si>
  <si>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</si>
  <si>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</si>
  <si>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</si>
  <si>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</si>
  <si>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</si>
  <si>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</si>
  <si>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</si>
  <si>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</si>
  <si>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</si>
  <si>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</si>
  <si>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</si>
  <si>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</si>
  <si>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</si>
  <si>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</si>
  <si>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</si>
  <si>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</si>
  <si>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</si>
  <si>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</si>
  <si>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</si>
  <si>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</si>
  <si>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</si>
  <si>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</si>
  <si>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</si>
  <si>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</si>
  <si>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</si>
  <si>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</si>
  <si>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</si>
  <si>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</si>
  <si>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</si>
  <si>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</si>
  <si>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</si>
  <si>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</si>
  <si>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</si>
  <si>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</si>
  <si>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</si>
  <si>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</si>
  <si>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</si>
  <si>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</si>
  <si>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</si>
  <si>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</si>
  <si>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</si>
  <si>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</si>
  <si>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</si>
  <si>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</si>
  <si>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</si>
  <si>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</si>
  <si>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</si>
  <si>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</si>
  <si>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</si>
  <si>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</si>
  <si>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</si>
  <si>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</si>
  <si>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</si>
  <si>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</si>
  <si>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</si>
  <si>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</si>
  <si>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</si>
  <si>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</si>
  <si>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</si>
  <si>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</si>
  <si>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</si>
  <si>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</si>
  <si>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</si>
  <si>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</si>
  <si>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</si>
  <si>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</si>
  <si>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</si>
  <si>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</si>
  <si>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</si>
  <si>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</si>
  <si>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</si>
  <si>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</si>
  <si>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</si>
  <si>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</si>
  <si>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</si>
  <si>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</si>
  <si>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</si>
  <si>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</si>
  <si>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</si>
  <si>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</si>
  <si>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</si>
  <si>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</si>
  <si>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</si>
  <si>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</si>
  <si>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</si>
  <si>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</si>
  <si>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</si>
  <si>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</si>
  <si>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</si>
  <si>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</si>
  <si>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</si>
  <si>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</si>
  <si>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</si>
  <si>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</si>
  <si>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</si>
  <si>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</si>
  <si>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</si>
  <si>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</si>
  <si>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</si>
  <si>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</si>
  <si>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</si>
  <si>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</si>
  <si>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</si>
  <si>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</si>
  <si>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</si>
  <si>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</si>
  <si>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</si>
  <si>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</si>
  <si>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</si>
  <si>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</si>
  <si>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</si>
  <si>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</si>
  <si>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</si>
  <si>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</si>
  <si>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</si>
  <si>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</si>
  <si>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</si>
  <si>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</si>
  <si>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</si>
  <si>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</si>
  <si>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</si>
  <si>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</si>
  <si>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</si>
  <si>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</si>
  <si>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</si>
  <si>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</si>
  <si>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</si>
  <si>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</si>
  <si>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</si>
  <si>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</si>
  <si>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</si>
  <si>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</si>
  <si>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</si>
  <si>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</si>
  <si>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</si>
  <si>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</si>
  <si>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</si>
  <si>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</si>
  <si>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</si>
  <si>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</si>
  <si>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</si>
  <si>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</si>
  <si>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</si>
  <si>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</si>
  <si>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</si>
  <si>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</si>
  <si>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</si>
  <si>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</si>
  <si>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</si>
  <si>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</si>
  <si>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</si>
  <si>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</si>
  <si>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</si>
  <si>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</si>
  <si>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</si>
  <si>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</si>
  <si>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</si>
  <si>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</si>
  <si>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</si>
  <si>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</si>
  <si>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</si>
  <si>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</si>
  <si>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</si>
  <si>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</si>
  <si>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</si>
  <si>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</si>
  <si>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</si>
  <si>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</si>
  <si>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</si>
  <si>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</si>
  <si>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</si>
  <si>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</si>
  <si>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</si>
  <si>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</si>
  <si>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</si>
  <si>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</si>
  <si>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</si>
  <si>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</si>
  <si>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</si>
  <si>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</si>
  <si>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</si>
  <si>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</si>
  <si>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</si>
  <si>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</si>
  <si>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</si>
  <si>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</si>
  <si>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</si>
  <si>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</si>
  <si>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</si>
  <si>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</si>
  <si>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</si>
  <si>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</si>
  <si>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</si>
  <si>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</si>
  <si>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</si>
  <si>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</si>
  <si>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</si>
  <si>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</si>
  <si>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</si>
  <si>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</si>
  <si>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</si>
  <si>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</si>
  <si>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</si>
  <si>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</si>
  <si>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</si>
  <si>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</si>
  <si>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</si>
  <si>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</si>
  <si>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</si>
  <si>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</si>
  <si>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</si>
  <si>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</si>
  <si>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</si>
  <si>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</si>
  <si>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</si>
  <si>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</si>
  <si>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</si>
  <si>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</si>
  <si>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</si>
  <si>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</si>
  <si>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</si>
  <si>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</si>
  <si>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</si>
  <si>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</si>
  <si>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</si>
  <si>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</si>
  <si>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</si>
  <si>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</si>
  <si>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</si>
  <si>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</si>
  <si>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</si>
  <si>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</si>
  <si>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</si>
  <si>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</si>
  <si>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</si>
  <si>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</si>
  <si>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</si>
  <si>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</si>
  <si>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</si>
  <si>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</si>
  <si>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</si>
  <si>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</si>
  <si>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</si>
  <si>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</si>
  <si>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</si>
  <si>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</si>
  <si>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</si>
  <si>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</si>
  <si>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</si>
  <si>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</si>
  <si>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</si>
  <si>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</si>
  <si>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</si>
  <si>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</si>
  <si>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</si>
  <si>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</si>
  <si>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</si>
  <si>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</si>
  <si>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</si>
  <si>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</si>
  <si>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</si>
  <si>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</si>
  <si>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</si>
  <si>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</si>
  <si>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</si>
  <si>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</si>
  <si>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</si>
  <si>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</si>
  <si>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</si>
  <si>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</si>
  <si>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</si>
  <si>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</si>
  <si>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</si>
  <si>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</si>
  <si>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</si>
  <si>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</si>
  <si>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</si>
  <si>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</si>
  <si>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</si>
  <si>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</si>
  <si>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</si>
  <si>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</si>
  <si>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</si>
  <si>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</si>
  <si>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</si>
  <si>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</si>
  <si>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</si>
  <si>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</si>
  <si>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</si>
  <si>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</si>
  <si>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</si>
  <si>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</si>
  <si>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</si>
  <si>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</si>
  <si>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</si>
  <si>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</si>
  <si>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</si>
  <si>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</si>
  <si>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</si>
  <si>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</si>
  <si>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</si>
  <si>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</si>
  <si>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</si>
  <si>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</si>
  <si>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</si>
  <si>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</si>
  <si>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</si>
  <si>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</si>
  <si>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</si>
  <si>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</si>
  <si>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</si>
  <si>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</si>
  <si>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</si>
  <si>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</si>
  <si>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</si>
  <si>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</si>
  <si>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</si>
  <si>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</si>
  <si>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</si>
  <si>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</si>
  <si>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</si>
  <si>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</si>
  <si>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</si>
  <si>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</si>
  <si>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</si>
  <si>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</si>
  <si>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</si>
  <si>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</si>
  <si>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</si>
  <si>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</si>
  <si>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</si>
  <si>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</si>
  <si>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</si>
  <si>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</si>
  <si>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</si>
  <si>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</si>
  <si>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</si>
  <si>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</si>
  <si>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</si>
  <si>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</si>
  <si>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</si>
  <si>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</si>
  <si>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</si>
  <si>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</si>
  <si>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</si>
  <si>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</si>
  <si>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</si>
  <si>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</si>
  <si>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</si>
  <si>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</si>
  <si>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</si>
  <si>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</si>
  <si>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</si>
  <si>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</si>
  <si>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</si>
  <si>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</si>
  <si>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</si>
  <si>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</si>
  <si>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</si>
  <si>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</si>
  <si>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</si>
  <si>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</si>
  <si>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</si>
  <si>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</si>
  <si>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</si>
  <si>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</si>
  <si>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</si>
  <si>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</si>
  <si>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</si>
  <si>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</si>
  <si>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</si>
  <si>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</si>
  <si>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</si>
  <si>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</si>
  <si>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</si>
  <si>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</si>
  <si>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</si>
  <si>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</si>
  <si>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</si>
  <si>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</si>
  <si>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</si>
  <si>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</si>
  <si>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</si>
  <si>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</si>
  <si>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</si>
  <si>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</si>
  <si>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</si>
  <si>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</si>
  <si>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</si>
  <si>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</si>
  <si>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</si>
  <si>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</si>
  <si>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</si>
  <si>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</si>
  <si>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</si>
  <si>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</si>
  <si>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</si>
  <si>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</si>
  <si>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</si>
  <si>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</si>
  <si>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</si>
  <si>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</si>
  <si>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</si>
  <si>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</si>
  <si>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</si>
  <si>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</si>
  <si>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</si>
  <si>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</si>
  <si>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</si>
  <si>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</si>
  <si>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</si>
  <si>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</si>
  <si>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</si>
  <si>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</si>
  <si>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</si>
  <si>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</si>
  <si>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</si>
  <si>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</si>
  <si>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</si>
  <si>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</si>
  <si>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</si>
  <si>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</si>
  <si>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</si>
  <si>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</si>
  <si>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</si>
  <si>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</si>
  <si>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</si>
  <si>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</si>
  <si>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</si>
  <si>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</si>
  <si>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</si>
  <si>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</si>
  <si>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</si>
  <si>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</si>
  <si>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</si>
  <si>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</si>
  <si>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</si>
  <si>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</si>
  <si>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</si>
  <si>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</si>
  <si>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</si>
  <si>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</si>
  <si>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</si>
  <si>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</si>
  <si>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</si>
  <si>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</si>
  <si>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</si>
  <si>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</si>
  <si>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</si>
  <si>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</si>
  <si>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</si>
  <si>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</si>
  <si>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</si>
  <si>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</si>
  <si>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</si>
  <si>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</si>
  <si>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</si>
  <si>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</si>
  <si>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</si>
  <si>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</si>
  <si>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</si>
  <si>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</si>
  <si>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</si>
  <si>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</si>
  <si>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</si>
  <si>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</si>
  <si>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</si>
  <si>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</si>
  <si>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</si>
  <si>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</si>
  <si>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</si>
  <si>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</si>
  <si>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</si>
  <si>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</si>
  <si>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</si>
  <si>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</si>
  <si>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</si>
  <si>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</si>
  <si>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</si>
  <si>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</si>
  <si>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</si>
  <si>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</si>
  <si>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</si>
  <si>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</si>
  <si>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</si>
  <si>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</si>
  <si>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</si>
  <si>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</si>
  <si>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</si>
  <si>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</si>
  <si>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</si>
  <si>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</si>
  <si>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</si>
  <si>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</si>
  <si>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</si>
  <si>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</si>
  <si>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</si>
  <si>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</si>
  <si>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</si>
  <si>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</si>
  <si>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</si>
  <si>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</si>
  <si>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</si>
  <si>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</si>
  <si>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</si>
  <si>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</si>
  <si>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</si>
  <si>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</si>
  <si>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</si>
  <si>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</si>
  <si>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</si>
  <si>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</si>
  <si>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</si>
  <si>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</si>
  <si>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</si>
  <si>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</si>
  <si>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</si>
  <si>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</si>
  <si>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</si>
  <si>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</si>
  <si>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</si>
  <si>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</si>
  <si>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</si>
  <si>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</si>
  <si>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</si>
  <si>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</si>
  <si>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</si>
  <si>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</si>
  <si>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</si>
  <si>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</si>
  <si>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</si>
  <si>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</si>
  <si>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</si>
  <si>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</si>
  <si>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</si>
  <si>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</si>
  <si>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</si>
  <si>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</si>
  <si>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</si>
  <si>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</si>
  <si>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</si>
  <si>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</si>
  <si>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</si>
  <si>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</si>
  <si>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</si>
  <si>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</si>
  <si>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</si>
  <si>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</si>
  <si>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</si>
  <si>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</si>
  <si>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</si>
  <si>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</si>
  <si>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</si>
  <si>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</si>
  <si>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</si>
  <si>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</si>
  <si>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</si>
  <si>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</si>
  <si>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</si>
  <si>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</si>
  <si>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</si>
  <si>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</si>
  <si>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</si>
  <si>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</si>
  <si>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</si>
  <si>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</si>
  <si>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</si>
  <si>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</si>
  <si>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</si>
  <si>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</si>
  <si>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</si>
  <si>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</si>
  <si>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</si>
  <si>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</si>
  <si>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</si>
  <si>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</si>
  <si>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</si>
  <si>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</si>
  <si>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</si>
  <si>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</si>
  <si>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</si>
  <si>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</si>
  <si>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</si>
  <si>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</si>
  <si>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</si>
  <si>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</si>
  <si>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</si>
  <si>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</si>
  <si>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</si>
  <si>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</si>
  <si>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</si>
  <si>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</si>
  <si>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</si>
  <si>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</si>
  <si>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</si>
  <si>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</si>
  <si>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</si>
  <si>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</si>
  <si>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</si>
  <si>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</si>
  <si>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</si>
  <si>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</si>
  <si>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</si>
  <si>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</si>
  <si>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</si>
  <si>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</si>
  <si>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</si>
  <si>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</si>
  <si>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</si>
  <si>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</si>
  <si>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</si>
  <si>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</si>
  <si>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</si>
  <si>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</si>
  <si>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</si>
  <si>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</si>
  <si>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</si>
  <si>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</si>
  <si>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</si>
  <si>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</si>
  <si>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</si>
  <si>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</si>
  <si>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</si>
  <si>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</si>
  <si>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</si>
  <si>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</si>
  <si>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</si>
  <si>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</si>
  <si>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</si>
  <si>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</si>
  <si>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</si>
  <si>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</si>
  <si>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</si>
  <si>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</si>
  <si>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</si>
  <si>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</si>
  <si>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</si>
  <si>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</si>
  <si>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</si>
  <si>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</si>
  <si>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</si>
  <si>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</si>
  <si>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</si>
  <si>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</si>
  <si>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</si>
  <si>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</si>
  <si>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</si>
  <si>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</si>
  <si>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</si>
  <si>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</si>
  <si>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</si>
  <si>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</si>
  <si>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</si>
  <si>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</si>
  <si>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</si>
  <si>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</si>
  <si>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</si>
  <si>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</si>
  <si>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</si>
  <si>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</si>
  <si>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</si>
  <si>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</si>
  <si>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</si>
  <si>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</si>
  <si>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</si>
  <si>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</si>
  <si>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</si>
  <si>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</si>
  <si>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</si>
  <si>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</si>
  <si>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</si>
  <si>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</si>
  <si>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</si>
  <si>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</si>
  <si>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</si>
  <si>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</si>
  <si>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</si>
  <si>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</si>
  <si>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</si>
  <si>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</si>
  <si>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</si>
  <si>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</si>
  <si>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</si>
  <si>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</si>
  <si>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</si>
  <si>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</si>
  <si>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</si>
  <si>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</si>
  <si>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</si>
  <si>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</si>
  <si>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</si>
  <si>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</si>
  <si>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</si>
  <si>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</si>
  <si>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</si>
  <si>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</si>
  <si>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</si>
  <si>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</si>
  <si>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</si>
  <si>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</si>
  <si>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</si>
  <si>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</si>
  <si>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</si>
  <si>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</si>
  <si>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</si>
  <si>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</si>
  <si>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</si>
  <si>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</si>
  <si>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</si>
  <si>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</si>
  <si>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</si>
  <si>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</si>
  <si>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</si>
  <si>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</si>
  <si>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</si>
  <si>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</si>
  <si>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</si>
  <si>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</si>
  <si>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</si>
  <si>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</si>
  <si>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</si>
  <si>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</si>
  <si>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</si>
  <si>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</si>
  <si>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</si>
  <si>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</si>
  <si>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</si>
  <si>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</si>
  <si>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</si>
  <si>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</si>
  <si>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</si>
  <si>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</si>
  <si>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</si>
  <si>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</si>
  <si>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</si>
  <si>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</si>
  <si>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</si>
  <si>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</si>
  <si>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</si>
  <si>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</si>
  <si>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</si>
  <si>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</si>
  <si>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</si>
  <si>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</si>
  <si>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</si>
  <si>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</si>
  <si>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</si>
  <si>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</si>
  <si>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</si>
  <si>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</si>
  <si>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</si>
  <si>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</si>
  <si>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</si>
  <si>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</si>
  <si>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</si>
  <si>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</si>
  <si>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</si>
  <si>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</si>
  <si>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</si>
  <si>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</si>
  <si>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</si>
  <si>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</si>
  <si>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</si>
  <si>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</si>
  <si>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</si>
  <si>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</si>
  <si>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</si>
  <si>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</si>
  <si>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</si>
  <si>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</si>
  <si>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</si>
  <si>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</si>
  <si>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</si>
  <si>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</si>
  <si>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</si>
  <si>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</si>
  <si>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</si>
  <si>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</si>
  <si>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</si>
  <si>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</si>
  <si>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</si>
  <si>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</si>
  <si>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</si>
  <si>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</si>
  <si>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</si>
  <si>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</si>
  <si>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</si>
  <si>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</si>
  <si>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</si>
  <si>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</si>
  <si>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</si>
  <si>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</si>
  <si>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</si>
  <si>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</si>
  <si>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</si>
  <si>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</si>
  <si>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</si>
  <si>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</si>
  <si>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</si>
  <si>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</si>
  <si>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</si>
  <si>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</si>
  <si>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</si>
  <si>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</si>
  <si>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</si>
  <si>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</si>
  <si>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</si>
  <si>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</si>
  <si>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</si>
  <si>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</si>
  <si>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</si>
  <si>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</si>
  <si>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</si>
  <si>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</si>
  <si>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</si>
  <si>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</si>
  <si>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</si>
  <si>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</si>
  <si>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</si>
  <si>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</si>
  <si>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</si>
  <si>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</si>
  <si>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</si>
  <si>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</si>
  <si>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</si>
  <si>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</si>
  <si>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</si>
  <si>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</si>
  <si>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</si>
  <si>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</si>
  <si>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</si>
  <si>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</si>
  <si>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</si>
  <si>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</si>
  <si>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</si>
  <si>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</si>
  <si>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</si>
  <si>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</si>
  <si>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</si>
  <si>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</si>
  <si>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</si>
  <si>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</si>
  <si>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</si>
  <si>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</si>
  <si>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</si>
  <si>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</si>
  <si>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</si>
  <si>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</si>
  <si>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</si>
  <si>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</si>
  <si>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</si>
  <si>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</si>
  <si>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</si>
  <si>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</si>
  <si>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</si>
  <si>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</si>
  <si>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</si>
  <si>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</si>
  <si>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</si>
  <si>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</si>
  <si>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</si>
  <si>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</si>
  <si>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</si>
  <si>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</si>
  <si>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</si>
  <si>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</si>
  <si>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</si>
  <si>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</si>
  <si>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</si>
  <si>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</si>
  <si>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</si>
  <si>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</si>
  <si>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</si>
  <si>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</si>
  <si>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</si>
  <si>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</si>
  <si>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</si>
  <si>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</si>
  <si>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</si>
  <si>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</si>
  <si>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</si>
  <si>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</si>
  <si>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</si>
  <si>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</si>
  <si>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</si>
  <si>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</si>
  <si>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</si>
  <si>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</si>
  <si>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</si>
  <si>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</si>
  <si>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</si>
  <si>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</si>
  <si>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</si>
  <si>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</si>
  <si>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</si>
  <si>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</si>
  <si>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</si>
  <si>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</si>
  <si>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</si>
  <si>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</si>
  <si>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</si>
  <si>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</si>
  <si>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</si>
  <si>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</si>
  <si>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</si>
  <si>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</si>
  <si>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</si>
  <si>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</si>
  <si>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</si>
  <si>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</si>
  <si>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</si>
  <si>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</si>
  <si>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</si>
  <si>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</si>
  <si>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</si>
  <si>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</si>
  <si>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</si>
  <si>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</si>
  <si>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</si>
  <si>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</si>
  <si>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</si>
  <si>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</si>
  <si>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</si>
  <si>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</si>
  <si>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</si>
  <si>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</si>
  <si>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</si>
  <si>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</si>
  <si>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</si>
  <si>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</si>
  <si>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</si>
  <si>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</si>
  <si>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</si>
  <si>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</si>
  <si>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</si>
  <si>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</si>
  <si>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</si>
  <si>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</si>
  <si>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</si>
  <si>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</si>
  <si>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</si>
  <si>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</si>
  <si>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</si>
  <si>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</si>
  <si>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</si>
  <si>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</si>
  <si>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</si>
  <si>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</si>
  <si>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</si>
  <si>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</si>
  <si>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</si>
  <si>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</si>
  <si>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</si>
  <si>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</si>
  <si>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</si>
  <si>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</si>
  <si>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</si>
  <si>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</si>
  <si>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</si>
  <si>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</si>
  <si>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</si>
  <si>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</si>
  <si>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</si>
  <si>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</si>
  <si>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</si>
  <si>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</si>
  <si>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</si>
  <si>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</si>
  <si>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</si>
  <si>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</si>
  <si>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</si>
  <si>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</si>
  <si>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</si>
  <si>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</si>
  <si>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</si>
  <si>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</si>
  <si>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</si>
  <si>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</si>
  <si>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</si>
  <si>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</si>
  <si>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</si>
  <si>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</si>
  <si>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</si>
  <si>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</si>
  <si>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</si>
  <si>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</si>
  <si>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</si>
  <si>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</si>
  <si>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</si>
  <si>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</si>
  <si>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</si>
  <si>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</si>
  <si>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</si>
  <si>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</si>
  <si>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</si>
  <si>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</si>
  <si>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</si>
  <si>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</si>
  <si>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</si>
  <si>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</si>
  <si>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</si>
  <si>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</si>
  <si>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</si>
  <si>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</si>
  <si>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</si>
  <si>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</si>
  <si>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</si>
  <si>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</si>
  <si>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</si>
  <si>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</si>
  <si>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</si>
  <si>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</si>
  <si>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</si>
  <si>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</si>
  <si>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</si>
  <si>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</si>
  <si>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</si>
  <si>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</si>
  <si>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</si>
  <si>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</si>
  <si>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</si>
  <si>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</si>
  <si>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</si>
  <si>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</si>
  <si>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</si>
  <si>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</si>
  <si>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</si>
  <si>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</si>
  <si>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</si>
  <si>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</si>
  <si>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</si>
  <si>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</si>
  <si>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</si>
  <si>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</si>
  <si>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</si>
  <si>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</si>
  <si>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</si>
  <si>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</si>
  <si>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</si>
  <si>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</si>
  <si>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</si>
  <si>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</si>
  <si>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</si>
  <si>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</si>
  <si>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</si>
  <si>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</si>
  <si>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</si>
  <si>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</si>
  <si>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</si>
  <si>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</si>
  <si>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</si>
  <si>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</si>
  <si>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</si>
  <si>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</si>
  <si>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</si>
  <si>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</si>
  <si>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</si>
  <si>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</si>
  <si>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</si>
  <si>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</si>
  <si>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</si>
  <si>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</si>
  <si>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</si>
  <si>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</si>
  <si>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</si>
  <si>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</si>
  <si>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</si>
  <si>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</si>
  <si>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</si>
  <si>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</si>
  <si>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</si>
  <si>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</si>
  <si>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</si>
  <si>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</si>
  <si>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</si>
  <si>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</si>
  <si>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</si>
  <si>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</si>
  <si>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</si>
  <si>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</si>
  <si>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</si>
  <si>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</si>
  <si>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</si>
  <si>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</si>
  <si>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</si>
  <si>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</si>
  <si>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</si>
  <si>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</si>
  <si>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</si>
  <si>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</si>
  <si>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</si>
  <si>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</si>
  <si>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</si>
  <si>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</si>
  <si>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</si>
  <si>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</si>
  <si>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</si>
  <si>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</si>
  <si>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</si>
  <si>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</si>
  <si>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</si>
  <si>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</si>
  <si>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</si>
  <si>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</si>
  <si>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</si>
  <si>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</si>
  <si>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</si>
  <si>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</si>
  <si>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</si>
  <si>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</si>
  <si>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</si>
  <si>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</si>
  <si>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</si>
  <si>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</si>
  <si>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</si>
  <si>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</si>
  <si>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</si>
  <si>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</si>
  <si>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</si>
  <si>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</si>
  <si>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</si>
  <si>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</si>
  <si>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</si>
  <si>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</si>
  <si>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</si>
  <si>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</si>
  <si>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</si>
  <si>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</si>
  <si>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</si>
  <si>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</si>
  <si>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</si>
  <si>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</si>
  <si>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</si>
  <si>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</si>
  <si>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</si>
  <si>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</si>
  <si>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</si>
  <si>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</si>
  <si>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</si>
  <si>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</si>
  <si>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</si>
  <si>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</si>
  <si>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</si>
  <si>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</si>
  <si>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</si>
  <si>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</si>
  <si>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</si>
  <si>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</si>
  <si>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</si>
  <si>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</si>
  <si>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</si>
  <si>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</si>
  <si>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</si>
  <si>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</si>
  <si>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</si>
  <si>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</si>
  <si>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</si>
  <si>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</si>
  <si>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</si>
  <si>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</si>
  <si>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</si>
  <si>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</si>
  <si>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</si>
  <si>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</si>
  <si>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</si>
  <si>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</si>
  <si>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</si>
  <si>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</si>
  <si>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</si>
  <si>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</si>
  <si>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</si>
  <si>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</si>
  <si>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</si>
  <si>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</si>
  <si>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</si>
  <si>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</si>
  <si>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</si>
  <si>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</si>
  <si>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</si>
  <si>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</si>
  <si>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</si>
  <si>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</si>
  <si>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</si>
  <si>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</si>
  <si>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</si>
  <si>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</si>
  <si>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</si>
  <si>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</si>
  <si>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</si>
  <si>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</si>
  <si>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</si>
  <si>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</si>
  <si>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</si>
  <si>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</si>
  <si>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</si>
  <si>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</si>
  <si>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</si>
  <si>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</si>
  <si>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</si>
  <si>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</si>
  <si>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</si>
  <si>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</si>
  <si>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</si>
  <si>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</si>
  <si>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</si>
  <si>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</si>
  <si>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</si>
  <si>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</si>
  <si>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</si>
  <si>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</si>
  <si>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</si>
  <si>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</si>
  <si>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</si>
  <si>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</si>
  <si>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</si>
  <si>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</si>
  <si>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</si>
  <si>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</si>
  <si>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</si>
  <si>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</si>
  <si>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</si>
  <si>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</si>
  <si>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</si>
  <si>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</si>
  <si>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</si>
  <si>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</si>
  <si>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</si>
  <si>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</si>
  <si>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</si>
  <si>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</si>
  <si>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</si>
  <si>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</si>
  <si>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</si>
  <si>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</si>
  <si>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</si>
  <si>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</si>
  <si>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</si>
  <si>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</si>
  <si>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</si>
  <si>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</si>
  <si>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</si>
  <si>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</si>
  <si>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</si>
  <si>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</si>
  <si>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</si>
  <si>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</si>
  <si>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</si>
  <si>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</si>
  <si>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</si>
  <si>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</si>
  <si>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</si>
  <si>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</si>
  <si>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</si>
  <si>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</si>
  <si>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</si>
  <si>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</si>
  <si>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</si>
  <si>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</si>
  <si>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</si>
  <si>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</si>
  <si>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</si>
  <si>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</si>
  <si>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</si>
  <si>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</si>
  <si>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</si>
  <si>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</si>
  <si>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</si>
  <si>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</si>
  <si>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</si>
  <si>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</si>
  <si>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</si>
  <si>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</si>
  <si>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</si>
  <si>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</si>
  <si>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</si>
  <si>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</si>
  <si>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</si>
  <si>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</si>
  <si>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</si>
  <si>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</si>
  <si>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</si>
  <si>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</si>
  <si>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</si>
  <si>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</si>
  <si>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</si>
  <si>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</si>
  <si>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</si>
  <si>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</si>
  <si>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</si>
  <si>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</si>
  <si>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</si>
  <si>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</si>
  <si>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</si>
  <si>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</si>
  <si>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</si>
  <si>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</si>
  <si>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</si>
  <si>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</si>
  <si>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</si>
  <si>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</si>
  <si>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</si>
  <si>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</si>
  <si>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</si>
  <si>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</si>
  <si>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</si>
  <si>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</si>
  <si>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</si>
  <si>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</si>
  <si>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</si>
  <si>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</si>
  <si>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</si>
  <si>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</si>
  <si>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</si>
  <si>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</si>
  <si>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</si>
  <si>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</si>
  <si>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</si>
  <si>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</si>
  <si>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</si>
  <si>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</si>
  <si>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</si>
  <si>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</si>
  <si>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</si>
  <si>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</si>
  <si>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</si>
  <si>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</si>
  <si>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</si>
  <si>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</si>
  <si>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</si>
  <si>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</si>
  <si>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</si>
  <si>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</si>
  <si>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</si>
  <si>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</si>
  <si>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</si>
  <si>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</si>
  <si>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</si>
  <si>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</si>
  <si>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</si>
  <si>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</si>
  <si>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</si>
  <si>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</si>
  <si>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</si>
  <si>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</si>
  <si>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</si>
  <si>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</si>
  <si>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</si>
  <si>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</si>
  <si>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</si>
  <si>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</si>
  <si>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</si>
  <si>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</si>
  <si>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</si>
  <si>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</si>
  <si>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</si>
  <si>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</si>
  <si>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</si>
  <si>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</si>
  <si>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</si>
  <si>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</si>
  <si>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</si>
  <si>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</si>
  <si>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</si>
  <si>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</si>
  <si>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</si>
  <si>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</si>
  <si>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</si>
  <si>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</si>
  <si>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</si>
  <si>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</si>
  <si>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</si>
  <si>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</si>
  <si>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</si>
  <si>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</si>
  <si>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</si>
  <si>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</si>
  <si>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</si>
  <si>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</si>
  <si>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</si>
  <si>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</si>
  <si>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</si>
  <si>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</si>
  <si>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</si>
  <si>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</si>
  <si>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</si>
  <si>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</si>
  <si>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</si>
  <si>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</si>
  <si>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</si>
  <si>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</si>
  <si>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</si>
  <si>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</si>
  <si>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</si>
  <si>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</si>
  <si>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</si>
  <si>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</si>
  <si>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</si>
  <si>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</si>
  <si>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</si>
  <si>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</si>
  <si>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</si>
  <si>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</si>
  <si>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</si>
  <si>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</si>
  <si>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</si>
  <si>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</si>
  <si>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</si>
  <si>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</si>
  <si>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</si>
  <si>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</si>
  <si>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</si>
  <si>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</si>
  <si>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</si>
  <si>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</si>
  <si>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</si>
  <si>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</si>
  <si>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</si>
  <si>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</si>
  <si>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</si>
  <si>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</si>
  <si>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</si>
  <si>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</si>
  <si>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</si>
  <si>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</si>
  <si>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</si>
  <si>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</si>
  <si>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</si>
  <si>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</si>
  <si>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</si>
  <si>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</si>
  <si>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</si>
  <si>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</si>
  <si>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</si>
  <si>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</si>
  <si>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</si>
  <si>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</si>
  <si>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</si>
  <si>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</si>
  <si>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</si>
  <si>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</si>
  <si>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</si>
  <si>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A402</t>
  </si>
  <si>
    <t>Bavacqua</t>
  </si>
  <si>
    <t xml:space="preserve">Late Fee Reversal </t>
  </si>
  <si>
    <t>F104</t>
  </si>
  <si>
    <t>Beirne</t>
  </si>
  <si>
    <t>Tenant Move In Fee</t>
  </si>
  <si>
    <t>D461</t>
  </si>
  <si>
    <t>Morrisroe</t>
  </si>
  <si>
    <t>Credit</t>
  </si>
  <si>
    <t>Late Fee Waiver 3/2013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</si>
</sst>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  <xf numFmtId="8" fontId="6" fillId="4" borderId="1" xfId="1" applyNumberFormat="1" applyFont="1" applyFill="1" applyBorder="1" applyProtection="1">
      <protection locked="0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6" sqref="K6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41390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25</v>
      </c>
      <c r="H3" s="32" t="s">
        <v>8216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44655</v>
      </c>
      <c r="L3" s="52"/>
      <c r="M3" s="52"/>
      <c r="N3" s="84">
        <f ca="1">TODAY()</f>
        <v>41390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41390</v>
      </c>
      <c r="B4" s="44" t="str">
        <f t="shared" ref="B4:B31" si="5">IF(C4="","",B3)</f>
        <v>0554</v>
      </c>
      <c r="C4" s="23" t="s">
        <v>44656</v>
      </c>
      <c r="D4" s="60" t="str">
        <f t="shared" si="0"/>
        <v>01</v>
      </c>
      <c r="E4" s="45" t="s">
        <v>44657</v>
      </c>
      <c r="F4" s="31" t="s">
        <v>38062</v>
      </c>
      <c r="G4" s="92">
        <v>150</v>
      </c>
      <c r="H4" s="21" t="s">
        <v>8223</v>
      </c>
      <c r="I4" s="24" t="str">
        <f t="shared" si="1"/>
        <v>4030</v>
      </c>
      <c r="J4" s="46" t="str">
        <f t="shared" si="2"/>
        <v>Move Fee</v>
      </c>
      <c r="K4" s="25" t="s">
        <v>44658</v>
      </c>
      <c r="L4" s="52"/>
      <c r="M4" s="52"/>
      <c r="N4" s="84">
        <f ca="1">N3+60</f>
        <v>41450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41390</v>
      </c>
      <c r="B5" s="44" t="str">
        <f t="shared" si="5"/>
        <v>0554</v>
      </c>
      <c r="C5" s="22" t="s">
        <v>44659</v>
      </c>
      <c r="D5" s="60" t="str">
        <f t="shared" si="0"/>
        <v>01</v>
      </c>
      <c r="E5" s="45" t="s">
        <v>44660</v>
      </c>
      <c r="F5" s="31" t="s">
        <v>44661</v>
      </c>
      <c r="G5" s="56">
        <v>25</v>
      </c>
      <c r="H5" s="21" t="s">
        <v>8216</v>
      </c>
      <c r="I5" s="24" t="str">
        <f t="shared" si="1"/>
        <v>4020</v>
      </c>
      <c r="J5" s="46" t="str">
        <f t="shared" si="2"/>
        <v>Late Fee</v>
      </c>
      <c r="K5" s="25" t="s">
        <v>44662</v>
      </c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4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A402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41390</v>
      </c>
      <c r="F2" s="12" t="str">
        <f>'Billing Adjustment'!K3</f>
        <v xml:space="preserve">Late Fee Reversal 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F104</v>
      </c>
      <c r="C3" s="3" t="str">
        <f>'Billing Adjustment'!D4</f>
        <v>01</v>
      </c>
      <c r="D3" t="str">
        <f>'Billing Adjustment'!H4</f>
        <v>MF</v>
      </c>
      <c r="E3" s="59">
        <f>'Billing Adjustment'!A4</f>
        <v>41390</v>
      </c>
      <c r="F3" s="12" t="str">
        <f>'Billing Adjustment'!K4</f>
        <v>Tenant Move In Fee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150</v>
      </c>
    </row>
    <row r="4" spans="1:8" x14ac:dyDescent="0.2">
      <c r="A4" t="str">
        <f>"00-"&amp;'Billing Adjustment'!B5</f>
        <v>00-0554</v>
      </c>
      <c r="B4" s="3" t="str">
        <f>'Billing Adjustment'!C5</f>
        <v>D461</v>
      </c>
      <c r="C4" s="3" t="str">
        <f>'Billing Adjustment'!D5</f>
        <v>01</v>
      </c>
      <c r="D4" t="str">
        <f>'Billing Adjustment'!H5</f>
        <v>LF</v>
      </c>
      <c r="E4" s="59">
        <f>'Billing Adjustment'!A5</f>
        <v>41390</v>
      </c>
      <c r="F4" s="12" t="str">
        <f>'Billing Adjustment'!K5</f>
        <v>Late Fee Waiver 3/2013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-25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2013-04-26T20:43:19Z</dcterms:modified>
</cp:coreProperties>
</file>