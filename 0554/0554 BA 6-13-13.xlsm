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49" i="11" l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<sst xmlns="http://schemas.openxmlformats.org/spreadsheetml/2006/main" count="90623" uniqueCount="45028">
  <si>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</si>
  <si>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</si>
  <si>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</si>
  <si>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</si>
  <si>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</si>
  <si>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</si>
  <si>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</si>
  <si>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</si>
  <si>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</si>
  <si>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</si>
  <si>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</si>
  <si>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</si>
  <si>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</si>
  <si>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</si>
  <si>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</si>
  <si>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</si>
  <si>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</si>
  <si>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</si>
  <si>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</si>
  <si>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</si>
  <si>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</si>
  <si>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</si>
  <si>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</si>
  <si>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</si>
  <si>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</si>
  <si>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</si>
  <si>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</si>
  <si>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</si>
  <si>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</si>
  <si>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</si>
  <si>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</si>
  <si>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</si>
  <si>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</si>
  <si>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</si>
  <si>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</si>
  <si>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</si>
  <si>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</si>
  <si>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</si>
  <si>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</si>
  <si>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</si>
  <si>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</si>
  <si>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</si>
  <si>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</si>
  <si>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</si>
  <si>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</si>
  <si>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</si>
  <si>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</si>
  <si>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</si>
  <si>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</si>
  <si>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</si>
  <si>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</si>
  <si>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</si>
  <si>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</si>
  <si>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</si>
  <si>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</si>
  <si>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</si>
  <si>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</si>
  <si>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</si>
  <si>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</si>
  <si>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</si>
  <si>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</si>
  <si>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</si>
  <si>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</si>
  <si>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</si>
  <si>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</si>
  <si>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</si>
  <si>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</si>
  <si>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</si>
  <si>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</si>
  <si>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</si>
  <si>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</si>
  <si>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</si>
  <si>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</si>
  <si>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</si>
  <si>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</si>
  <si>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</si>
  <si>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</si>
  <si>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</si>
  <si>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</si>
  <si>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</si>
  <si>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</si>
  <si>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</si>
  <si>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</si>
  <si>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</si>
  <si>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</si>
  <si>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</si>
  <si>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</si>
  <si>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</si>
  <si>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</si>
  <si>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</si>
  <si>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</si>
  <si>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</si>
  <si>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</si>
  <si>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</si>
  <si>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</si>
  <si>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</si>
  <si>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</si>
  <si>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</si>
  <si>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</si>
  <si>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</si>
  <si>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</si>
  <si>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</si>
  <si>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</si>
  <si>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</si>
  <si>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</si>
  <si>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</si>
  <si>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</si>
  <si>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</si>
  <si>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</si>
  <si>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</si>
  <si>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</si>
  <si>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</si>
  <si>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</si>
  <si>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</si>
  <si>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</si>
  <si>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</si>
  <si>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</si>
  <si>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</si>
  <si>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</si>
  <si>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</si>
  <si>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</si>
  <si>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</si>
  <si>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</si>
  <si>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</si>
  <si>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</si>
  <si>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</si>
  <si>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</si>
  <si>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</si>
  <si>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</si>
  <si>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</si>
  <si>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</si>
  <si>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</si>
  <si>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</si>
  <si>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</si>
  <si>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</si>
  <si>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</si>
  <si>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</si>
  <si>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</si>
  <si>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</si>
  <si>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</si>
  <si>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</si>
  <si>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</si>
  <si>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</si>
  <si>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</si>
  <si>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</si>
  <si>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</si>
  <si>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</si>
  <si>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</si>
  <si>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</si>
  <si>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</si>
  <si>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</si>
  <si>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</si>
  <si>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</si>
  <si>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</si>
  <si>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</si>
  <si>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</si>
  <si>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</si>
  <si>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</si>
  <si>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</si>
  <si>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</si>
  <si>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</si>
  <si>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</si>
  <si>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</si>
  <si>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</si>
  <si>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</si>
  <si>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</si>
  <si>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</si>
  <si>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</si>
  <si>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</si>
  <si>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</si>
  <si>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</si>
  <si>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</si>
  <si>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</si>
  <si>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</si>
  <si>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</si>
  <si>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</si>
  <si>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</si>
  <si>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</si>
  <si>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</si>
  <si>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</si>
  <si>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</si>
  <si>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</si>
  <si>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</si>
  <si>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</si>
  <si>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</si>
  <si>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</si>
  <si>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</si>
  <si>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</si>
  <si>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</si>
  <si>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</si>
  <si>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</si>
  <si>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</si>
  <si>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</si>
  <si>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</si>
  <si>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</si>
  <si>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</si>
  <si>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</si>
  <si>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</si>
  <si>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</si>
  <si>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</si>
  <si>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</si>
  <si>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</si>
  <si>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</si>
  <si>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</si>
  <si>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</si>
  <si>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</si>
  <si>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</si>
  <si>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</si>
  <si>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</si>
  <si>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</si>
  <si>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</si>
  <si>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</si>
  <si>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</si>
  <si>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</si>
  <si>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</si>
  <si>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</si>
  <si>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</si>
  <si>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</si>
  <si>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</si>
  <si>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</si>
  <si>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</si>
  <si>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</si>
  <si>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</si>
  <si>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</si>
  <si>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</si>
  <si>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</si>
  <si>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</si>
  <si>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</si>
  <si>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</si>
  <si>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</si>
  <si>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</si>
  <si>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</si>
  <si>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</si>
  <si>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</si>
  <si>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</si>
  <si>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</si>
  <si>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</si>
  <si>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</si>
  <si>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</si>
  <si>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</si>
  <si>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</si>
  <si>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</si>
  <si>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</si>
  <si>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</si>
  <si>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</si>
  <si>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</si>
  <si>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</si>
  <si>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</si>
  <si>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</si>
  <si>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</si>
  <si>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</si>
  <si>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</si>
  <si>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</si>
  <si>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</si>
  <si>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</si>
  <si>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</si>
  <si>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</si>
  <si>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</si>
  <si>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</si>
  <si>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</si>
  <si>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</si>
  <si>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</si>
  <si>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</si>
  <si>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</si>
  <si>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</si>
  <si>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</si>
  <si>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</si>
  <si>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</si>
  <si>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</si>
  <si>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</si>
  <si>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</si>
  <si>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</si>
  <si>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</si>
  <si>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</si>
  <si>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</si>
  <si>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</si>
  <si>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</si>
  <si>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</si>
  <si>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</si>
  <si>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</si>
  <si>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</si>
  <si>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</si>
  <si>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</si>
  <si>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</si>
  <si>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</si>
  <si>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</si>
  <si>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</si>
  <si>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</si>
  <si>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</si>
  <si>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</si>
  <si>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</si>
  <si>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</si>
  <si>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</si>
  <si>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</si>
  <si>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</si>
  <si>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</si>
  <si>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</si>
  <si>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</si>
  <si>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</si>
  <si>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</si>
  <si>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</si>
  <si>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</si>
  <si>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</si>
  <si>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</si>
  <si>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</si>
  <si>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</si>
  <si>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</si>
  <si>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</si>
  <si>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</si>
  <si>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</si>
  <si>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</si>
  <si>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</si>
  <si>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</si>
  <si>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</si>
  <si>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</si>
  <si>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</si>
  <si>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</si>
  <si>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</si>
  <si>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</si>
  <si>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</si>
  <si>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</si>
  <si>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</si>
  <si>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</si>
  <si>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</si>
  <si>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</si>
  <si>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</si>
  <si>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</si>
  <si>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</si>
  <si>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</si>
  <si>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</si>
  <si>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</si>
  <si>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</si>
  <si>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</si>
  <si>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</si>
  <si>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</si>
  <si>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</si>
  <si>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</si>
  <si>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</si>
  <si>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</si>
  <si>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</si>
  <si>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</si>
  <si>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</si>
  <si>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</si>
  <si>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</si>
  <si>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</si>
  <si>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</si>
  <si>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</si>
  <si>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</si>
  <si>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</si>
  <si>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</si>
  <si>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</si>
  <si>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</si>
  <si>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</si>
  <si>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</si>
  <si>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</si>
  <si>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</si>
  <si>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</si>
  <si>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</si>
  <si>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</si>
  <si>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</si>
  <si>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</si>
  <si>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</si>
  <si>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</si>
  <si>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</si>
  <si>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</si>
  <si>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</si>
  <si>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</si>
  <si>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</si>
  <si>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</si>
  <si>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</si>
  <si>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</si>
  <si>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</si>
  <si>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</si>
  <si>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</si>
  <si>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</si>
  <si>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</si>
  <si>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</si>
  <si>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</si>
  <si>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</si>
  <si>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</si>
  <si>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</si>
  <si>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</si>
  <si>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</si>
  <si>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</si>
  <si>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</si>
  <si>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</si>
  <si>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</si>
  <si>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</si>
  <si>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</si>
  <si>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</si>
  <si>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</si>
  <si>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</si>
  <si>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</si>
  <si>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</si>
  <si>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</si>
  <si>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</si>
  <si>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</si>
  <si>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</si>
  <si>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</si>
  <si>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</si>
  <si>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</si>
  <si>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</si>
  <si>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</si>
  <si>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</si>
  <si>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</si>
  <si>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</si>
  <si>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</si>
  <si>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</si>
  <si>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</si>
  <si>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</si>
  <si>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</si>
  <si>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</si>
  <si>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</si>
  <si>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</si>
  <si>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</si>
  <si>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</si>
  <si>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</si>
  <si>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</si>
  <si>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</si>
  <si>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</si>
  <si>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</si>
  <si>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</si>
  <si>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</si>
  <si>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</si>
  <si>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</si>
  <si>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</si>
  <si>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</si>
  <si>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</si>
  <si>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</si>
  <si>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</si>
  <si>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</si>
  <si>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</si>
  <si>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</si>
  <si>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</si>
  <si>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</si>
  <si>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</si>
  <si>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</si>
  <si>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</si>
  <si>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</si>
  <si>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</si>
  <si>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</si>
  <si>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</si>
  <si>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</si>
  <si>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</si>
  <si>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</si>
  <si>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</si>
  <si>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</si>
  <si>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</si>
  <si>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</si>
  <si>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</si>
  <si>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</si>
  <si>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</si>
  <si>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</si>
  <si>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</si>
  <si>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</si>
  <si>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</si>
  <si>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</si>
  <si>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</si>
  <si>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</si>
  <si>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</si>
  <si>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</si>
  <si>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</si>
  <si>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</si>
  <si>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</si>
  <si>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</si>
  <si>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</si>
  <si>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</si>
  <si>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</si>
  <si>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</si>
  <si>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</si>
  <si>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</si>
  <si>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</si>
  <si>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</si>
  <si>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</si>
  <si>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</si>
  <si>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</si>
  <si>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</si>
  <si>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</si>
  <si>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</si>
  <si>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</si>
  <si>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</si>
  <si>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</si>
  <si>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</si>
  <si>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</si>
  <si>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</si>
  <si>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</si>
  <si>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</si>
  <si>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</si>
  <si>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</si>
  <si>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</si>
  <si>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</si>
  <si>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</si>
  <si>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</si>
  <si>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</si>
  <si>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</si>
  <si>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</si>
  <si>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</si>
  <si>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</si>
  <si>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</si>
  <si>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</si>
  <si>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</si>
  <si>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</si>
  <si>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</si>
  <si>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</si>
  <si>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</si>
  <si>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</si>
  <si>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</si>
  <si>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</si>
  <si>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</si>
  <si>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</si>
  <si>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</si>
  <si>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</si>
  <si>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</si>
  <si>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</si>
  <si>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</si>
  <si>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</si>
  <si>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</si>
  <si>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</si>
  <si>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</si>
  <si>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</si>
  <si>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</si>
  <si>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</si>
  <si>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</si>
  <si>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</si>
  <si>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</si>
  <si>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</si>
  <si>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</si>
  <si>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</si>
  <si>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</si>
  <si>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</si>
  <si>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</si>
  <si>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</si>
  <si>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</si>
  <si>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</si>
  <si>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</si>
  <si>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</si>
  <si>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</si>
  <si>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</si>
  <si>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</si>
  <si>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</si>
  <si>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</si>
  <si>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</si>
  <si>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</si>
  <si>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</si>
  <si>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</si>
  <si>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</si>
  <si>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</si>
  <si>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</si>
  <si>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</si>
  <si>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</si>
  <si>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</si>
  <si>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</si>
  <si>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</si>
  <si>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</si>
  <si>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</si>
  <si>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</si>
  <si>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</si>
  <si>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</si>
  <si>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</si>
  <si>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</si>
  <si>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</si>
  <si>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</si>
  <si>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</si>
  <si>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</si>
  <si>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</si>
  <si>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</si>
  <si>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</si>
  <si>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</si>
  <si>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</si>
  <si>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</si>
  <si>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</si>
  <si>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</si>
  <si>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</si>
  <si>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</si>
  <si>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</si>
  <si>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</si>
  <si>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</si>
  <si>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</si>
  <si>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</si>
  <si>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</si>
  <si>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</si>
  <si>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</si>
  <si>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</si>
  <si>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</si>
  <si>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</si>
  <si>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</si>
  <si>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</si>
  <si>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</si>
  <si>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</si>
  <si>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</si>
  <si>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</si>
  <si>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</si>
  <si>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</si>
  <si>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</si>
  <si>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</si>
  <si>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</si>
  <si>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</si>
  <si>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</si>
  <si>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</si>
  <si>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</si>
  <si>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</si>
  <si>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</si>
  <si>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</si>
  <si>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</si>
  <si>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</si>
  <si>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</si>
  <si>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</si>
  <si>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</si>
  <si>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</si>
  <si>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</si>
  <si>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</si>
  <si>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</si>
  <si>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</si>
  <si>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</si>
  <si>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</si>
  <si>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</si>
  <si>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</si>
  <si>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</si>
  <si>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</si>
  <si>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</si>
  <si>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</si>
  <si>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</si>
  <si>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</si>
  <si>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</si>
  <si>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</si>
  <si>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</si>
  <si>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</si>
  <si>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</si>
  <si>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</si>
  <si>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</si>
  <si>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</si>
  <si>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</si>
  <si>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</si>
  <si>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</si>
  <si>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</si>
  <si>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</si>
  <si>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</si>
  <si>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</si>
  <si>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</si>
  <si>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</si>
  <si>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</si>
  <si>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</si>
  <si>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</si>
  <si>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</si>
  <si>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</si>
  <si>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</si>
  <si>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</si>
  <si>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</si>
  <si>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</si>
  <si>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</si>
  <si>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</si>
  <si>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</si>
  <si>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</si>
  <si>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</si>
  <si>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</si>
  <si>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</si>
  <si>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</si>
  <si>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</si>
  <si>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</si>
  <si>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</si>
  <si>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</si>
  <si>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</si>
  <si>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</si>
  <si>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</si>
  <si>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</si>
  <si>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</si>
  <si>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</si>
  <si>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</si>
  <si>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</si>
  <si>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</si>
  <si>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</si>
  <si>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</si>
  <si>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</si>
  <si>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</si>
  <si>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</si>
  <si>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</si>
  <si>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</si>
  <si>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</si>
  <si>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</si>
  <si>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</si>
  <si>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</si>
  <si>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</si>
  <si>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</si>
  <si>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</si>
  <si>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</si>
  <si>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</si>
  <si>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</si>
  <si>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</si>
  <si>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</si>
  <si>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</si>
  <si>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</si>
  <si>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</si>
  <si>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</si>
  <si>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</si>
  <si>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</si>
  <si>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</si>
  <si>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</si>
  <si>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</si>
  <si>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</si>
  <si>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</si>
  <si>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</si>
  <si>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</si>
  <si>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</si>
  <si>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</si>
  <si>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</si>
  <si>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</si>
  <si>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</si>
  <si>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</si>
  <si>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</si>
  <si>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</si>
  <si>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</si>
  <si>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</si>
  <si>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</si>
  <si>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</si>
  <si>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</si>
  <si>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</si>
  <si>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</si>
  <si>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</si>
  <si>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</si>
  <si>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</si>
  <si>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</si>
  <si>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</si>
  <si>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</si>
  <si>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</si>
  <si>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</si>
  <si>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</si>
  <si>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</si>
  <si>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</si>
  <si>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</si>
  <si>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</si>
  <si>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</si>
  <si>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</si>
  <si>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</si>
  <si>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</si>
  <si>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</si>
  <si>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</si>
  <si>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</si>
  <si>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</si>
  <si>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</si>
  <si>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</si>
  <si>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</si>
  <si>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</si>
  <si>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</si>
  <si>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</si>
  <si>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</si>
  <si>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</si>
  <si>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</si>
  <si>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</si>
  <si>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</si>
  <si>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</si>
  <si>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</si>
  <si>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</si>
  <si>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</si>
  <si>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</si>
  <si>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</si>
  <si>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</si>
  <si>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</si>
  <si>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</si>
  <si>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</si>
  <si>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</si>
  <si>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</si>
  <si>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</si>
  <si>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</si>
  <si>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</si>
  <si>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</si>
  <si>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</si>
  <si>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</si>
  <si>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</si>
  <si>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</si>
  <si>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</si>
  <si>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</si>
  <si>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</si>
  <si>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</si>
  <si>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</si>
  <si>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</si>
  <si>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</si>
  <si>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</si>
  <si>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</si>
  <si>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</si>
  <si>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</si>
  <si>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</si>
  <si>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</si>
  <si>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</si>
  <si>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</si>
  <si>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</si>
  <si>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</si>
  <si>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</si>
  <si>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</si>
  <si>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</si>
  <si>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</si>
  <si>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</si>
  <si>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</si>
  <si>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</si>
  <si>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</si>
  <si>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</si>
  <si>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</si>
  <si>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</si>
  <si>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</si>
  <si>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</si>
  <si>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</si>
  <si>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</si>
  <si>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</si>
  <si>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</si>
  <si>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</si>
  <si>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</si>
  <si>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</si>
  <si>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</si>
  <si>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</si>
  <si>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</si>
  <si>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</si>
  <si>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</si>
  <si>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</si>
  <si>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</si>
  <si>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</si>
  <si>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</si>
  <si>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</si>
  <si>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</si>
  <si>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</si>
  <si>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</si>
  <si>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</si>
  <si>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</si>
  <si>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</si>
  <si>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</si>
  <si>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</si>
  <si>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</si>
  <si>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</si>
  <si>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</si>
  <si>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</si>
  <si>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</si>
  <si>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</si>
  <si>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</si>
  <si>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</si>
  <si>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</si>
  <si>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</si>
  <si>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</si>
  <si>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</si>
  <si>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</si>
  <si>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</si>
  <si>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</si>
  <si>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</si>
  <si>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</si>
  <si>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</si>
  <si>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</si>
  <si>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</si>
  <si>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</si>
  <si>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</si>
  <si>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</si>
  <si>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</si>
  <si>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</si>
  <si>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</si>
  <si>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</si>
  <si>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</si>
  <si>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</si>
  <si>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</si>
  <si>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</si>
  <si>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</si>
  <si>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</si>
  <si>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</si>
  <si>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</si>
  <si>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</si>
  <si>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</si>
  <si>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</si>
  <si>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</si>
  <si>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</si>
  <si>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</si>
  <si>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</si>
  <si>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</si>
  <si>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</si>
  <si>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</si>
  <si>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</si>
  <si>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</si>
  <si>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</si>
  <si>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</si>
  <si>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</si>
  <si>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</si>
  <si>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</si>
  <si>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</si>
  <si>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</si>
  <si>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</si>
  <si>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</si>
  <si>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</si>
  <si>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</si>
  <si>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</si>
  <si>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</si>
  <si>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</si>
  <si>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</si>
  <si>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</si>
  <si>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</si>
  <si>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</si>
  <si>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</si>
  <si>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</si>
  <si>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</si>
  <si>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</si>
  <si>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</si>
  <si>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</si>
  <si>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</si>
  <si>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</si>
  <si>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</si>
  <si>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</si>
  <si>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</si>
  <si>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</si>
  <si>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</si>
  <si>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</si>
  <si>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</si>
  <si>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</si>
  <si>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</si>
  <si>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</si>
  <si>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</si>
  <si>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</si>
  <si>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</si>
  <si>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</si>
  <si>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</si>
  <si>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</si>
  <si>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</si>
  <si>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</si>
  <si>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</si>
  <si>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</si>
  <si>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</si>
  <si>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</si>
  <si>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</si>
  <si>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</si>
  <si>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</si>
  <si>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</si>
  <si>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</si>
  <si>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</si>
  <si>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</si>
  <si>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</si>
  <si>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</si>
  <si>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</si>
  <si>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</si>
  <si>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</si>
  <si>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</si>
  <si>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</si>
  <si>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</si>
  <si>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</si>
  <si>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</si>
  <si>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</si>
  <si>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</si>
  <si>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</si>
  <si>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</si>
  <si>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</si>
  <si>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</si>
  <si>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</si>
  <si>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</si>
  <si>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</si>
  <si>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</si>
  <si>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</si>
  <si>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</si>
  <si>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</si>
  <si>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</si>
  <si>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</si>
  <si>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</si>
  <si>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</si>
  <si>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</si>
  <si>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</si>
  <si>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</si>
  <si>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</si>
  <si>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</si>
  <si>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</si>
  <si>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</si>
  <si>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</si>
  <si>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</si>
  <si>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</si>
  <si>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</si>
  <si>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</si>
  <si>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</si>
  <si>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</si>
  <si>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</si>
  <si>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</si>
  <si>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</si>
  <si>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</si>
  <si>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</si>
  <si>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</si>
  <si>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</si>
  <si>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</si>
  <si>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</si>
  <si>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</si>
  <si>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</si>
  <si>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</si>
  <si>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</si>
  <si>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</si>
  <si>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</si>
  <si>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</si>
  <si>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</si>
  <si>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</si>
  <si>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</si>
  <si>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</si>
  <si>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</si>
  <si>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</si>
  <si>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</si>
  <si>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</si>
  <si>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</si>
  <si>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</si>
  <si>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</si>
  <si>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</si>
  <si>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</si>
  <si>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</si>
  <si>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</si>
  <si>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</si>
  <si>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</si>
  <si>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</si>
  <si>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</si>
  <si>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</si>
  <si>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</si>
  <si>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</si>
  <si>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</si>
  <si>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</si>
  <si>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</si>
  <si>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</si>
  <si>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</si>
  <si>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</si>
  <si>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</si>
  <si>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</si>
  <si>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</si>
  <si>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</si>
  <si>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</si>
  <si>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</si>
  <si>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</si>
  <si>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</si>
  <si>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</si>
  <si>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</si>
  <si>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</si>
  <si>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</si>
  <si>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</si>
  <si>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</si>
  <si>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</si>
  <si>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</si>
  <si>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</si>
  <si>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</si>
  <si>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</si>
  <si>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</si>
  <si>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</si>
  <si>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</si>
  <si>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</si>
  <si>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</si>
  <si>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</si>
  <si>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</si>
  <si>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</si>
  <si>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</si>
  <si>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</si>
  <si>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</si>
  <si>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</si>
  <si>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</si>
  <si>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</si>
  <si>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</si>
  <si>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</si>
  <si>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</si>
  <si>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</si>
  <si>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</si>
  <si>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</si>
  <si>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</si>
  <si>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</si>
  <si>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</si>
  <si>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</si>
  <si>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</si>
  <si>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</si>
  <si>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</si>
  <si>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</si>
  <si>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</si>
  <si>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</si>
  <si>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</si>
  <si>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</si>
  <si>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</si>
  <si>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</si>
  <si>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</si>
  <si>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</si>
  <si>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</si>
  <si>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</si>
  <si>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</si>
  <si>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</si>
  <si>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</si>
  <si>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</si>
  <si>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</si>
  <si>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</si>
  <si>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</si>
  <si>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</si>
  <si>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</si>
  <si>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</si>
  <si>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</si>
  <si>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</si>
  <si>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</si>
  <si>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</si>
  <si>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</si>
  <si>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</si>
  <si>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</si>
  <si>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</si>
  <si>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</si>
  <si>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</si>
  <si>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</si>
  <si>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</si>
  <si>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</si>
  <si>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</si>
  <si>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</si>
  <si>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</si>
  <si>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</si>
  <si>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</si>
  <si>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</si>
  <si>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</si>
  <si>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</si>
  <si>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</si>
  <si>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</si>
  <si>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</si>
  <si>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</si>
  <si>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</si>
  <si>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</si>
  <si>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</si>
  <si>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</si>
  <si>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</si>
  <si>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</si>
  <si>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</si>
  <si>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</si>
  <si>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</si>
  <si>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</si>
  <si>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</si>
  <si>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</si>
  <si>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</si>
  <si>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</si>
  <si>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</si>
  <si>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</si>
  <si>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</si>
  <si>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</si>
  <si>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</si>
  <si>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</si>
  <si>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</si>
  <si>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</si>
  <si>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</si>
  <si>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</si>
  <si>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</si>
  <si>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</si>
  <si>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</si>
  <si>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</si>
  <si>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</si>
  <si>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</si>
  <si>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</si>
  <si>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</si>
  <si>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</si>
  <si>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</si>
  <si>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</si>
  <si>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</si>
  <si>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</si>
  <si>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</si>
  <si>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</si>
  <si>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</si>
  <si>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</si>
  <si>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</si>
  <si>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</si>
  <si>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</si>
  <si>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</si>
  <si>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</si>
  <si>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</si>
  <si>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</si>
  <si>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</si>
  <si>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</si>
  <si>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</si>
  <si>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</si>
  <si>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</si>
  <si>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</si>
  <si>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</si>
  <si>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</si>
  <si>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</si>
  <si>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</si>
  <si>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</si>
  <si>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</si>
  <si>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</si>
  <si>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</si>
  <si>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</si>
  <si>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</si>
  <si>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</si>
  <si>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</si>
  <si>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</si>
  <si>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</si>
  <si>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</si>
  <si>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</si>
  <si>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</si>
  <si>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</si>
  <si>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</si>
  <si>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</si>
  <si>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</si>
  <si>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</si>
  <si>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</si>
  <si>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</si>
  <si>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</si>
  <si>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</si>
  <si>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</si>
  <si>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</si>
  <si>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</si>
  <si>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</si>
  <si>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</si>
  <si>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</si>
  <si>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</si>
  <si>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</si>
  <si>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</si>
  <si>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</si>
  <si>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</si>
  <si>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</si>
  <si>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</si>
  <si>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</si>
  <si>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</si>
  <si>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</si>
  <si>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</si>
  <si>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</si>
  <si>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</si>
  <si>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</si>
  <si>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</si>
  <si>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</si>
  <si>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</si>
  <si>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</si>
  <si>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</si>
  <si>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</si>
  <si>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</si>
  <si>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</si>
  <si>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</si>
  <si>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</si>
  <si>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</si>
  <si>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</si>
  <si>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</si>
  <si>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</si>
  <si>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</si>
  <si>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</si>
  <si>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</si>
  <si>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</si>
  <si>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</si>
  <si>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</si>
  <si>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</si>
  <si>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</si>
  <si>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</si>
  <si>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</si>
  <si>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</si>
  <si>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</si>
  <si>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</si>
  <si>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</si>
  <si>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</si>
  <si>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</si>
  <si>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</si>
  <si>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</si>
  <si>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</si>
  <si>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</si>
  <si>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</si>
  <si>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</si>
  <si>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</si>
  <si>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</si>
  <si>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</si>
  <si>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</si>
  <si>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</si>
  <si>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</si>
  <si>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</si>
  <si>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</si>
  <si>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</si>
  <si>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</si>
  <si>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</si>
  <si>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</si>
  <si>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</si>
  <si>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</si>
  <si>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</si>
  <si>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</si>
  <si>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</si>
  <si>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</si>
  <si>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</si>
  <si>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</si>
  <si>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</si>
  <si>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</si>
  <si>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</si>
  <si>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</si>
  <si>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</si>
  <si>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</si>
  <si>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</si>
  <si>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</si>
  <si>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</si>
  <si>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</si>
  <si>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</si>
  <si>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</si>
  <si>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</si>
  <si>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</si>
  <si>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</si>
  <si>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</si>
  <si>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</si>
  <si>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</si>
  <si>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</si>
  <si>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</si>
  <si>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</si>
  <si>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</si>
  <si>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</si>
  <si>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</si>
  <si>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</si>
  <si>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</si>
  <si>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</si>
  <si>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</si>
  <si>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</si>
  <si>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</si>
  <si>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</si>
  <si>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</si>
  <si>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</si>
  <si>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</si>
  <si>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</si>
  <si>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</si>
  <si>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</si>
  <si>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</si>
  <si>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</si>
  <si>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</si>
  <si>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</si>
  <si>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</si>
  <si>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</si>
  <si>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</si>
  <si>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</si>
  <si>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</si>
  <si>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</si>
  <si>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</si>
  <si>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</si>
  <si>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</si>
  <si>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</si>
  <si>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</si>
  <si>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</si>
  <si>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</si>
  <si>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</si>
  <si>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</si>
  <si>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</si>
  <si>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</si>
  <si>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</si>
  <si>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</si>
  <si>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</si>
  <si>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</si>
  <si>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</si>
  <si>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</si>
  <si>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</si>
  <si>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</si>
  <si>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</si>
  <si>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</si>
  <si>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</si>
  <si>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</si>
  <si>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</si>
  <si>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</si>
  <si>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</si>
  <si>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</si>
  <si>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</si>
  <si>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</si>
  <si>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</si>
  <si>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</si>
  <si>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</si>
  <si>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</si>
  <si>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</si>
  <si>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</si>
  <si>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</si>
  <si>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</si>
  <si>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</si>
  <si>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</si>
  <si>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</si>
  <si>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</si>
  <si>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</si>
  <si>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</si>
  <si>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</si>
  <si>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</si>
  <si>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</si>
  <si>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</si>
  <si>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</si>
  <si>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</si>
  <si>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</si>
  <si>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</si>
  <si>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</si>
  <si>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</si>
  <si>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</si>
  <si>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</si>
  <si>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</si>
  <si>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</si>
  <si>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</si>
  <si>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</si>
  <si>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</si>
  <si>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</si>
  <si>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</si>
  <si>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</si>
  <si>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</si>
  <si>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</si>
  <si>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</si>
  <si>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</si>
  <si>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</si>
  <si>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</si>
  <si>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</si>
  <si>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</si>
  <si>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</si>
  <si>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</si>
  <si>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</si>
  <si>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</si>
  <si>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</si>
  <si>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</si>
  <si>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</si>
  <si>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</si>
  <si>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</si>
  <si>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</si>
  <si>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</si>
  <si>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</si>
  <si>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</si>
  <si>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</si>
  <si>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</si>
  <si>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</si>
  <si>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</si>
  <si>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</si>
  <si>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</si>
  <si>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</si>
  <si>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</si>
  <si>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</si>
  <si>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</si>
  <si>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</si>
  <si>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</si>
  <si>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</si>
  <si>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</si>
  <si>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</si>
  <si>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</si>
  <si>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</si>
  <si>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</si>
  <si>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</si>
  <si>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</si>
  <si>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</si>
  <si>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</si>
  <si>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</si>
  <si>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</si>
  <si>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</si>
  <si>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</si>
  <si>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</si>
  <si>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</si>
  <si>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</si>
  <si>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</si>
  <si>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</si>
  <si>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</si>
  <si>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</si>
  <si>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</si>
  <si>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</si>
  <si>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</si>
  <si>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</si>
  <si>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</si>
  <si>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</si>
  <si>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</si>
  <si>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</si>
  <si>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</si>
  <si>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</si>
  <si>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</si>
  <si>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</si>
  <si>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</si>
  <si>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</si>
  <si>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</si>
  <si>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</si>
  <si>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</si>
  <si>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</si>
  <si>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</si>
  <si>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</si>
  <si>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</si>
  <si>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</si>
  <si>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</si>
  <si>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</si>
  <si>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</si>
  <si>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</si>
  <si>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</si>
  <si>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</si>
  <si>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</si>
  <si>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</si>
  <si>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</si>
  <si>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</si>
  <si>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</si>
  <si>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</si>
  <si>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</si>
  <si>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</si>
  <si>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</si>
  <si>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</si>
  <si>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</si>
  <si>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</si>
  <si>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</si>
  <si>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</si>
  <si>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</si>
  <si>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</si>
  <si>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</si>
  <si>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</si>
  <si>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</si>
  <si>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</si>
  <si>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</si>
  <si>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</si>
  <si>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</si>
  <si>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</si>
  <si>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</si>
  <si>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</si>
  <si>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</si>
  <si>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</si>
  <si>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</si>
  <si>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</si>
  <si>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</si>
  <si>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</si>
  <si>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</si>
  <si>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</si>
  <si>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</si>
  <si>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</si>
  <si>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</si>
  <si>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</si>
  <si>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</si>
  <si>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</si>
  <si>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</si>
  <si>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</si>
  <si>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</si>
  <si>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</si>
  <si>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</si>
  <si>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</si>
  <si>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</si>
  <si>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</si>
  <si>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</si>
  <si>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</si>
  <si>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</si>
  <si>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</si>
  <si>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</si>
  <si>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</si>
  <si>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</si>
  <si>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</si>
  <si>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</si>
  <si>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</si>
  <si>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</si>
  <si>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</si>
  <si>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</si>
  <si>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</si>
  <si>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</si>
  <si>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</si>
  <si>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</si>
  <si>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</si>
  <si>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</si>
  <si>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</si>
  <si>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</si>
  <si>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</si>
  <si>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</si>
  <si>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</si>
  <si>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</si>
  <si>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</si>
  <si>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</si>
  <si>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</si>
  <si>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</si>
  <si>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</si>
  <si>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</si>
  <si>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</si>
  <si>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</si>
  <si>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</si>
  <si>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</si>
  <si>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</si>
  <si>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</si>
  <si>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</si>
  <si>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</si>
  <si>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</si>
  <si>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</si>
  <si>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</si>
  <si>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</si>
  <si>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</si>
  <si>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</si>
  <si>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</si>
  <si>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</si>
  <si>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</si>
  <si>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</si>
  <si>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</si>
  <si>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</si>
  <si>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</si>
  <si>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</si>
  <si>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</si>
  <si>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</si>
  <si>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</si>
  <si>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</si>
  <si>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</si>
  <si>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</si>
  <si>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</si>
  <si>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</si>
  <si>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</si>
  <si>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</si>
  <si>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</si>
  <si>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</si>
  <si>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</si>
  <si>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</si>
  <si>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</si>
  <si>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</si>
  <si>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</si>
  <si>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</si>
  <si>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</si>
  <si>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</si>
  <si>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</si>
  <si>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</si>
  <si>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</si>
  <si>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</si>
  <si>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</si>
  <si>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</si>
  <si>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</si>
  <si>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</si>
  <si>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</si>
  <si>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</si>
  <si>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</si>
  <si>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</si>
  <si>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</si>
  <si>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</si>
  <si>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</si>
  <si>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</si>
  <si>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</si>
  <si>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</si>
  <si>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</si>
  <si>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</si>
  <si>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</si>
  <si>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</si>
  <si>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</si>
  <si>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</si>
  <si>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</si>
  <si>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</si>
  <si>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</si>
  <si>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</si>
  <si>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</si>
  <si>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</si>
  <si>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</si>
  <si>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</si>
  <si>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</si>
  <si>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</si>
  <si>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</si>
  <si>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</si>
  <si>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</si>
  <si>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</si>
  <si>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</si>
  <si>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</si>
  <si>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</si>
  <si>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</si>
  <si>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</si>
  <si>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</si>
  <si>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</si>
  <si>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</si>
  <si>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</si>
  <si>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</si>
  <si>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</si>
  <si>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</si>
  <si>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</si>
  <si>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</si>
  <si>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</si>
  <si>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</si>
  <si>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</si>
  <si>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</si>
  <si>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</si>
  <si>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</si>
  <si>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</si>
  <si>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</si>
  <si>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</si>
  <si>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</si>
  <si>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</si>
  <si>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</si>
  <si>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</si>
  <si>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</si>
  <si>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</si>
  <si>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</si>
  <si>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</si>
  <si>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</si>
  <si>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</si>
  <si>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</si>
  <si>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</si>
  <si>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</si>
  <si>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</si>
  <si>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</si>
  <si>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</si>
  <si>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</si>
  <si>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</si>
  <si>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</si>
  <si>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</si>
  <si>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</si>
  <si>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</si>
  <si>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</si>
  <si>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</si>
  <si>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</si>
  <si>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</si>
  <si>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</si>
  <si>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</si>
  <si>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</si>
  <si>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</si>
  <si>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</si>
  <si>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</si>
  <si>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</si>
  <si>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</si>
  <si>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</si>
  <si>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</si>
  <si>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</si>
  <si>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</si>
  <si>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</si>
  <si>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</si>
  <si>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</si>
  <si>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</si>
  <si>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</si>
  <si>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</si>
  <si>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</si>
  <si>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</si>
  <si>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</si>
  <si>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</si>
  <si>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</si>
  <si>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</si>
  <si>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</si>
  <si>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</si>
  <si>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</si>
  <si>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</si>
  <si>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</si>
  <si>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</si>
  <si>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</si>
  <si>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</si>
  <si>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</si>
  <si>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</si>
  <si>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</si>
  <si>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</si>
  <si>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</si>
  <si>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</si>
  <si>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</si>
  <si>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</si>
  <si>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</si>
  <si>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</si>
  <si>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</si>
  <si>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</si>
  <si>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</si>
  <si>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</si>
  <si>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</si>
  <si>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</si>
  <si>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</si>
  <si>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</si>
  <si>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</si>
  <si>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</si>
  <si>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</si>
  <si>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</si>
  <si>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</si>
  <si>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</si>
  <si>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</si>
  <si>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</si>
  <si>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</si>
  <si>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</si>
  <si>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</si>
  <si>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</si>
  <si>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</si>
  <si>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</si>
  <si>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</si>
  <si>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</si>
  <si>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</si>
  <si>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</si>
  <si>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</si>
  <si>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</si>
  <si>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</si>
  <si>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</si>
  <si>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</si>
  <si>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</si>
  <si>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</si>
  <si>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</si>
  <si>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</si>
  <si>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</si>
  <si>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</si>
  <si>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</si>
  <si>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</si>
  <si>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</si>
  <si>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</si>
  <si>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</si>
  <si>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</si>
  <si>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</si>
  <si>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</si>
  <si>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</si>
  <si>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</si>
  <si>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</si>
  <si>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</si>
  <si>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</si>
  <si>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</si>
  <si>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</si>
  <si>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</si>
  <si>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</si>
  <si>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</si>
  <si>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</si>
  <si>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</si>
  <si>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</si>
  <si>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</si>
  <si>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</si>
  <si>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</si>
  <si>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</si>
  <si>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</si>
  <si>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</si>
  <si>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</si>
  <si>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</si>
  <si>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</si>
  <si>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</si>
  <si>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</si>
  <si>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</si>
  <si>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</si>
  <si>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</si>
  <si>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</si>
  <si>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</si>
  <si>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</si>
  <si>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</si>
  <si>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</si>
  <si>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</si>
  <si>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</si>
  <si>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</si>
  <si>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</si>
  <si>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</si>
  <si>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</si>
  <si>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</si>
  <si>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</si>
  <si>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</si>
  <si>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</si>
  <si>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</si>
  <si>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</si>
  <si>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</si>
  <si>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</si>
  <si>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</si>
  <si>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</si>
  <si>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</si>
  <si>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</si>
  <si>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</si>
  <si>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</si>
  <si>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</si>
  <si>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</si>
  <si>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</si>
  <si>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</si>
  <si>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</si>
  <si>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</si>
  <si>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</si>
  <si>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</si>
  <si>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</si>
  <si>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</si>
  <si>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</si>
  <si>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</si>
  <si>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</si>
  <si>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</si>
  <si>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</si>
  <si>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</si>
  <si>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</si>
  <si>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</si>
  <si>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</si>
  <si>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</si>
  <si>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</si>
  <si>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</si>
  <si>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</si>
  <si>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</si>
  <si>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</si>
  <si>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</si>
  <si>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</si>
  <si>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</si>
  <si>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</si>
  <si>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</si>
  <si>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</si>
  <si>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</si>
  <si>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</si>
  <si>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</si>
  <si>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</si>
  <si>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</si>
  <si>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</si>
  <si>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</si>
  <si>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</si>
  <si>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</si>
  <si>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</si>
  <si>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</si>
  <si>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</si>
  <si>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</si>
  <si>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</si>
  <si>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</si>
  <si>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</si>
  <si>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</si>
  <si>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</si>
  <si>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</si>
  <si>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</si>
  <si>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</si>
  <si>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</si>
  <si>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</si>
  <si>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</si>
  <si>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</si>
  <si>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</si>
  <si>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</si>
  <si>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</si>
  <si>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</si>
  <si>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</si>
  <si>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</si>
  <si>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</si>
  <si>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</si>
  <si>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</si>
  <si>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</si>
  <si>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</si>
  <si>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</si>
  <si>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</si>
  <si>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</si>
  <si>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</si>
  <si>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</si>
  <si>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</si>
  <si>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</si>
  <si>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</si>
  <si>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</si>
  <si>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</si>
  <si>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</si>
  <si>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</si>
  <si>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</si>
  <si>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</si>
  <si>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</si>
  <si>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</si>
  <si>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</si>
  <si>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</si>
  <si>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</si>
  <si>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</si>
  <si>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</si>
  <si>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</si>
  <si>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</si>
  <si>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</si>
  <si>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</si>
  <si>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</si>
  <si>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</si>
  <si>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</si>
  <si>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</si>
  <si>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</si>
  <si>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</si>
  <si>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</si>
  <si>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</si>
  <si>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</si>
  <si>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</si>
  <si>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</si>
  <si>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</si>
  <si>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</si>
  <si>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</si>
  <si>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</si>
  <si>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</si>
  <si>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</si>
  <si>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</si>
  <si>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</si>
  <si>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</si>
  <si>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</si>
  <si>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</si>
  <si>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</si>
  <si>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</si>
  <si>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</si>
  <si>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</si>
  <si>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</si>
  <si>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</si>
  <si>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</si>
  <si>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</si>
  <si>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</si>
  <si>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</si>
  <si>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</si>
  <si>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</si>
  <si>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</si>
  <si>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</si>
  <si>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</si>
  <si>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</si>
  <si>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</si>
  <si>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</si>
  <si>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</si>
  <si>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</si>
  <si>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</si>
  <si>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</si>
  <si>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</si>
  <si>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</si>
  <si>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</si>
  <si>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</si>
  <si>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</si>
  <si>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</si>
  <si>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</si>
  <si>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</si>
  <si>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</si>
  <si>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</si>
  <si>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</si>
  <si>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</si>
  <si>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</si>
  <si>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</si>
  <si>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</si>
  <si>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</si>
  <si>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</si>
  <si>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</si>
  <si>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</si>
  <si>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</si>
  <si>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</si>
  <si>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</si>
  <si>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</si>
  <si>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</si>
  <si>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</si>
  <si>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</si>
  <si>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</si>
  <si>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</si>
  <si>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</si>
  <si>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</si>
  <si>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</si>
  <si>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</si>
  <si>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</si>
  <si>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</si>
  <si>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</si>
  <si>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</si>
  <si>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</si>
  <si>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</si>
  <si>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</si>
  <si>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</si>
  <si>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</si>
  <si>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</si>
  <si>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</si>
  <si>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</si>
  <si>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</si>
  <si>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</si>
  <si>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</si>
  <si>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</si>
  <si>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</si>
  <si>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</si>
  <si>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</si>
  <si>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</si>
  <si>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</si>
  <si>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</si>
  <si>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</si>
  <si>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</si>
  <si>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</si>
  <si>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</si>
  <si>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</si>
  <si>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</si>
  <si>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</si>
  <si>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</si>
  <si>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</si>
  <si>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</si>
  <si>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</si>
  <si>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</si>
  <si>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</si>
  <si>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</si>
  <si>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</si>
  <si>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</si>
  <si>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</si>
  <si>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</si>
  <si>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</si>
  <si>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</si>
  <si>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</si>
  <si>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</si>
  <si>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</si>
  <si>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</si>
  <si>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</si>
  <si>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</si>
  <si>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</si>
  <si>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</si>
  <si>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</si>
  <si>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</si>
  <si>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</si>
  <si>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</si>
  <si>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</si>
  <si>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</si>
  <si>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</si>
  <si>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</si>
  <si>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</si>
  <si>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</si>
  <si>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</si>
  <si>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</si>
  <si>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</si>
  <si>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</si>
  <si>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</si>
  <si>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</si>
  <si>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</si>
  <si>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</si>
  <si>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</si>
  <si>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</si>
  <si>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</si>
  <si>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</si>
  <si>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</si>
  <si>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</si>
  <si>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</si>
  <si>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</si>
  <si>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</si>
  <si>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</si>
  <si>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</si>
  <si>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</si>
  <si>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</si>
  <si>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</si>
  <si>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</si>
  <si>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</si>
  <si>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</si>
  <si>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</si>
  <si>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</si>
  <si>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</si>
  <si>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</si>
  <si>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</si>
  <si>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</si>
  <si>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</si>
  <si>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</si>
  <si>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</si>
  <si>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</si>
  <si>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</si>
  <si>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</si>
  <si>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</si>
  <si>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</si>
  <si>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</si>
  <si>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</si>
  <si>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</si>
  <si>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</si>
  <si>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</si>
  <si>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</si>
  <si>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</si>
  <si>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</si>
  <si>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</si>
  <si>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</si>
  <si>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</si>
  <si>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</si>
  <si>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</si>
  <si>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</si>
  <si>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</si>
  <si>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</si>
  <si>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</si>
  <si>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</si>
  <si>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</si>
  <si>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</si>
  <si>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</si>
  <si>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</si>
  <si>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</si>
  <si>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</si>
  <si>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</si>
  <si>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</si>
  <si>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</si>
  <si>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</si>
  <si>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</si>
  <si>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</si>
  <si>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</si>
  <si>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</si>
  <si>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</si>
  <si>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</si>
  <si>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</si>
  <si>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</si>
  <si>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</si>
  <si>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</si>
  <si>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</si>
  <si>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</si>
  <si>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</si>
  <si>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</si>
  <si>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</si>
  <si>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</si>
  <si>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</si>
  <si>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</si>
  <si>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</si>
  <si>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</si>
  <si>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</si>
  <si>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</si>
  <si>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</si>
  <si>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</si>
  <si>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</si>
  <si>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</si>
  <si>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</si>
  <si>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</si>
  <si>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</si>
  <si>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</si>
  <si>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</si>
  <si>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</si>
  <si>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</si>
  <si>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</si>
  <si>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</si>
  <si>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</si>
  <si>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</si>
  <si>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</si>
  <si>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</si>
  <si>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</si>
  <si>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</si>
  <si>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</si>
  <si>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</si>
  <si>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</si>
  <si>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</si>
  <si>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</si>
  <si>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</si>
  <si>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</si>
  <si>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</si>
  <si>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</si>
  <si>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</si>
  <si>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</si>
  <si>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</si>
  <si>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</si>
  <si>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</si>
  <si>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</si>
  <si>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</si>
  <si>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</si>
  <si>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</si>
  <si>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</si>
  <si>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</si>
  <si>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</si>
  <si>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</si>
  <si>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</si>
  <si>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</si>
  <si>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</si>
  <si>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</si>
  <si>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</si>
  <si>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</si>
  <si>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</si>
  <si>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</si>
  <si>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</si>
  <si>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</si>
  <si>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</si>
  <si>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</si>
  <si>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</si>
  <si>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</si>
  <si>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</si>
  <si>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</si>
  <si>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</si>
  <si>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</si>
  <si>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</si>
  <si>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</si>
  <si>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</si>
  <si>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</si>
  <si>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</si>
  <si>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</si>
  <si>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</si>
  <si>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</si>
  <si>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</si>
  <si>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</si>
  <si>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</si>
  <si>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</si>
  <si>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</si>
  <si>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</si>
  <si>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</si>
  <si>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</si>
  <si>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</si>
  <si>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</si>
  <si>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</si>
  <si>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</si>
  <si>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</si>
  <si>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</si>
  <si>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</si>
  <si>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</si>
  <si>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</si>
  <si>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</si>
  <si>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</si>
  <si>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</si>
  <si>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</si>
  <si>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</si>
  <si>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</si>
  <si>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</si>
  <si>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</si>
  <si>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</si>
  <si>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</si>
  <si>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</si>
  <si>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</si>
  <si>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</si>
  <si>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</si>
  <si>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</si>
  <si>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</si>
  <si>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</si>
  <si>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</si>
  <si>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</si>
  <si>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</si>
  <si>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</si>
  <si>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</si>
  <si>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</si>
  <si>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</si>
  <si>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</si>
  <si>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</si>
  <si>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</si>
  <si>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</si>
  <si>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</si>
  <si>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</si>
  <si>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</si>
  <si>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</si>
  <si>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</si>
  <si>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</si>
  <si>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</si>
  <si>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</si>
  <si>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</si>
  <si>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</si>
  <si>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</si>
  <si>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</si>
  <si>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</si>
  <si>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</si>
  <si>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</si>
  <si>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</si>
  <si>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</si>
  <si>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</si>
  <si>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</si>
  <si>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</si>
  <si>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</si>
  <si>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</si>
  <si>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</si>
  <si>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</si>
  <si>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</si>
  <si>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</si>
  <si>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</si>
  <si>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</si>
  <si>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</si>
  <si>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</si>
  <si>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</si>
  <si>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</si>
  <si>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</si>
  <si>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</si>
  <si>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</si>
  <si>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</si>
  <si>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</si>
  <si>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</si>
  <si>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</si>
  <si>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</si>
  <si>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</si>
  <si>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</si>
  <si>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</si>
  <si>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</si>
  <si>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</si>
  <si>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</si>
  <si>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</si>
  <si>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</si>
  <si>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</si>
  <si>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</si>
  <si>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</si>
  <si>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</si>
  <si>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</si>
  <si>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</si>
  <si>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</si>
  <si>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</si>
  <si>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</si>
  <si>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</si>
  <si>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</si>
  <si>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</si>
  <si>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</si>
  <si>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</si>
  <si>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</si>
  <si>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</si>
  <si>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</si>
  <si>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</si>
  <si>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</si>
  <si>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</si>
  <si>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</si>
  <si>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</si>
  <si>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</si>
  <si>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</si>
  <si>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</si>
  <si>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</si>
  <si>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</si>
  <si>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</si>
  <si>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</si>
  <si>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</si>
  <si>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</si>
  <si>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</si>
  <si>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</si>
  <si>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</si>
  <si>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</si>
  <si>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</si>
  <si>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</si>
  <si>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</si>
  <si>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</si>
  <si>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</si>
  <si>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</si>
  <si>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</si>
  <si>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</si>
  <si>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</si>
  <si>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</si>
  <si>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</si>
  <si>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</si>
  <si>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</si>
  <si>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</si>
  <si>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</si>
  <si>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</si>
  <si>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</si>
  <si>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</si>
  <si>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</si>
  <si>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</si>
  <si>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</si>
  <si>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</si>
  <si>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</si>
  <si>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</si>
  <si>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</si>
  <si>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</si>
  <si>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</si>
  <si>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</si>
  <si>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</si>
  <si>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</si>
  <si>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</si>
  <si>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</si>
  <si>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</si>
  <si>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</si>
  <si>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</si>
  <si>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</si>
  <si>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</si>
  <si>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</si>
  <si>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</si>
  <si>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</si>
  <si>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</si>
  <si>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</si>
  <si>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</si>
  <si>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</si>
  <si>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</si>
  <si>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</si>
  <si>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</si>
  <si>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</si>
  <si>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</si>
  <si>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</si>
  <si>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</si>
  <si>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</si>
  <si>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</si>
  <si>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</si>
  <si>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</si>
  <si>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</si>
  <si>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</si>
  <si>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</si>
  <si>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</si>
  <si>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</si>
  <si>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</si>
  <si>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</si>
  <si>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</si>
  <si>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</si>
  <si>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</si>
  <si>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</si>
  <si>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</si>
  <si>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</si>
  <si>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</si>
  <si>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</si>
  <si>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</si>
  <si>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</si>
  <si>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</si>
  <si>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</si>
  <si>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</si>
  <si>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</si>
  <si>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</si>
  <si>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</si>
  <si>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</si>
  <si>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</si>
  <si>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</si>
  <si>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</si>
  <si>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</si>
  <si>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</si>
  <si>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</si>
  <si>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</si>
  <si>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</si>
  <si>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</si>
  <si>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</si>
  <si>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</si>
  <si>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</si>
  <si>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</si>
  <si>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</si>
  <si>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</si>
  <si>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</si>
  <si>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</si>
  <si>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</si>
  <si>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</si>
  <si>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</si>
  <si>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</si>
  <si>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</si>
  <si>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</si>
  <si>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</si>
  <si>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</si>
  <si>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</si>
  <si>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</si>
  <si>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</si>
  <si>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</si>
  <si>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</si>
  <si>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</si>
  <si>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</si>
  <si>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</si>
  <si>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</si>
  <si>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</si>
  <si>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</si>
  <si>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</si>
  <si>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</si>
  <si>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</si>
  <si>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</si>
  <si>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</si>
  <si>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</si>
  <si>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</si>
  <si>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</si>
  <si>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</si>
  <si>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</si>
  <si>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</si>
  <si>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</si>
  <si>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</si>
  <si>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</si>
  <si>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</si>
  <si>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</si>
  <si>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</si>
  <si>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</si>
  <si>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</si>
  <si>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</si>
  <si>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</si>
  <si>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</si>
  <si>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</si>
  <si>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</si>
  <si>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</si>
  <si>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</si>
  <si>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</si>
  <si>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</si>
  <si>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</si>
  <si>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</si>
  <si>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</si>
  <si>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</si>
  <si>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</si>
  <si>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</si>
  <si>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</si>
  <si>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</si>
  <si>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</si>
  <si>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</si>
  <si>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</si>
  <si>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</si>
  <si>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</si>
  <si>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</si>
  <si>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</si>
  <si>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</si>
  <si>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</si>
  <si>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</si>
  <si>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</si>
  <si>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</si>
  <si>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</si>
  <si>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</si>
  <si>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</si>
  <si>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</si>
  <si>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</si>
  <si>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</si>
  <si>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</si>
  <si>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</si>
  <si>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</si>
  <si>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</si>
  <si>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</si>
  <si>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</si>
  <si>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</si>
  <si>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</si>
  <si>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</si>
  <si>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</si>
  <si>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</si>
  <si>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</si>
  <si>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</si>
  <si>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</si>
  <si>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</si>
  <si>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</si>
  <si>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</si>
  <si>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</si>
  <si>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</si>
  <si>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</si>
  <si>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</si>
  <si>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</si>
  <si>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</si>
  <si>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</si>
  <si>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</si>
  <si>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</si>
  <si>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</si>
  <si>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</si>
  <si>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</si>
  <si>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</si>
  <si>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</si>
  <si>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</si>
  <si>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</si>
  <si>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</si>
  <si>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</si>
  <si>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</si>
  <si>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</si>
  <si>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</si>
  <si>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</si>
  <si>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</si>
  <si>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</si>
  <si>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</si>
  <si>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</si>
  <si>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</si>
  <si>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</si>
  <si>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</si>
  <si>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</si>
  <si>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</si>
  <si>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</si>
  <si>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</si>
  <si>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</si>
  <si>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</si>
  <si>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</si>
  <si>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</si>
  <si>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</si>
  <si>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</si>
  <si>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</si>
  <si>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</si>
  <si>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</si>
  <si>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</si>
  <si>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</si>
  <si>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</si>
  <si>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</si>
  <si>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</si>
  <si>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</si>
  <si>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</si>
  <si>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</si>
  <si>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</si>
  <si>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</si>
  <si>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</si>
  <si>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</si>
  <si>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</si>
  <si>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</si>
  <si>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</si>
  <si>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</si>
  <si>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</si>
  <si>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</si>
  <si>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</si>
  <si>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</si>
  <si>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</si>
  <si>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</si>
  <si>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</si>
  <si>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</si>
  <si>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</si>
  <si>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</si>
  <si>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</si>
  <si>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</si>
  <si>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</si>
  <si>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</si>
  <si>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</si>
  <si>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</si>
  <si>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</si>
  <si>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</si>
  <si>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</si>
  <si>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</si>
  <si>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</si>
  <si>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</si>
  <si>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</si>
  <si>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</si>
  <si>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</si>
  <si>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</si>
  <si>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</si>
  <si>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</si>
  <si>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</si>
  <si>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</si>
  <si>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</si>
  <si>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</si>
  <si>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</si>
  <si>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</si>
  <si>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</si>
  <si>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</si>
  <si>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</si>
  <si>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</si>
  <si>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</si>
  <si>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</si>
  <si>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</si>
  <si>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</si>
  <si>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</si>
  <si>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</si>
  <si>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</si>
  <si>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</si>
  <si>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</si>
  <si>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</si>
  <si>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</si>
  <si>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</si>
  <si>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</si>
  <si>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</si>
  <si>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</si>
  <si>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</si>
  <si>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</si>
  <si>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</si>
  <si>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</si>
  <si>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</si>
  <si>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</si>
  <si>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</si>
  <si>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</si>
  <si>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</si>
  <si>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</si>
  <si>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</si>
  <si>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</si>
  <si>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</si>
  <si>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</si>
  <si>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</si>
  <si>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</si>
  <si>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</si>
  <si>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</si>
  <si>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</si>
  <si>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</si>
  <si>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</si>
  <si>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</si>
  <si>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</si>
  <si>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</si>
  <si>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</si>
  <si>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</si>
  <si>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</si>
  <si>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</si>
  <si>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</si>
  <si>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</si>
  <si>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</si>
  <si>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</si>
  <si>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</si>
  <si>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</si>
  <si>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</si>
  <si>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</si>
  <si>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</si>
  <si>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</si>
  <si>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</si>
  <si>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</si>
  <si>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</si>
  <si>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</si>
  <si>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</si>
  <si>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</si>
  <si>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</si>
  <si>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</si>
  <si>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</si>
  <si>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</si>
  <si>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</si>
  <si>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</si>
  <si>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</si>
  <si>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</si>
  <si>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</si>
  <si>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</si>
  <si>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</si>
  <si>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</si>
  <si>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</si>
  <si>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</si>
  <si>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</si>
  <si>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</si>
  <si>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</si>
  <si>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</si>
  <si>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</si>
  <si>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</si>
  <si>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</si>
  <si>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</si>
  <si>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</si>
  <si>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</si>
  <si>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</si>
  <si>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</si>
  <si>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</si>
  <si>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</si>
  <si>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</si>
  <si>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</si>
  <si>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</si>
  <si>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</si>
  <si>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</si>
  <si>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</si>
  <si>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</si>
  <si>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</si>
  <si>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</si>
  <si>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</si>
  <si>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</si>
  <si>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</si>
  <si>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</si>
  <si>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</si>
  <si>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</si>
  <si>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</si>
  <si>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</si>
  <si>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</si>
  <si>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</si>
  <si>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</si>
  <si>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</si>
  <si>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</si>
  <si>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</si>
  <si>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</si>
  <si>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</si>
  <si>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</si>
  <si>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</si>
  <si>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</si>
  <si>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</si>
  <si>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</si>
  <si>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</si>
  <si>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</si>
  <si>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</si>
  <si>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</si>
  <si>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</si>
  <si>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</si>
  <si>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</si>
  <si>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</si>
  <si>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</si>
  <si>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</si>
  <si>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</si>
  <si>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</si>
  <si>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</si>
  <si>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</si>
  <si>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</si>
  <si>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</si>
  <si>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</si>
  <si>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</si>
  <si>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</si>
  <si>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</si>
  <si>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</si>
  <si>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</si>
  <si>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</si>
  <si>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</si>
  <si>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</si>
  <si>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</si>
  <si>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</si>
  <si>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</si>
  <si>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</si>
  <si>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</si>
  <si>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</si>
  <si>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</si>
  <si>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</si>
  <si>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</si>
  <si>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</si>
  <si>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</si>
  <si>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</si>
  <si>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</si>
  <si>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</si>
  <si>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</si>
  <si>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</si>
  <si>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</si>
  <si>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</si>
  <si>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</si>
  <si>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</si>
  <si>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</si>
  <si>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</si>
  <si>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</si>
  <si>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</si>
  <si>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</si>
  <si>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</si>
  <si>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</si>
  <si>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</si>
  <si>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</si>
  <si>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</si>
  <si>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</si>
  <si>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</si>
  <si>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</si>
  <si>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</si>
  <si>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</si>
  <si>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</si>
  <si>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</si>
  <si>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</si>
  <si>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</si>
  <si>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</si>
  <si>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</si>
  <si>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</si>
  <si>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</si>
  <si>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</si>
  <si>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</si>
  <si>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</si>
  <si>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</si>
  <si>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</si>
  <si>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</si>
  <si>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</si>
  <si>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</si>
  <si>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</si>
  <si>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</si>
  <si>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</si>
  <si>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</si>
  <si>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</si>
  <si>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</si>
  <si>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</si>
  <si>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</si>
  <si>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</si>
  <si>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</si>
  <si>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</si>
  <si>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</si>
  <si>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</si>
  <si>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</si>
  <si>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</si>
  <si>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</si>
  <si>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</si>
  <si>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</si>
  <si>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</si>
  <si>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</si>
  <si>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</si>
  <si>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</si>
  <si>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</si>
  <si>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</si>
  <si>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</si>
  <si>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</si>
  <si>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</si>
  <si>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</si>
  <si>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</si>
  <si>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</si>
  <si>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</si>
  <si>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</si>
  <si>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</si>
  <si>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</si>
  <si>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</si>
  <si>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</si>
  <si>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</si>
  <si>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</si>
  <si>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</si>
  <si>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</si>
  <si>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</si>
  <si>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</si>
  <si>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</si>
  <si>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</si>
  <si>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</si>
  <si>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</si>
  <si>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</si>
  <si>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</si>
  <si>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</si>
  <si>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</si>
  <si>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</si>
  <si>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</si>
  <si>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</si>
  <si>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</si>
  <si>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</si>
  <si>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</si>
  <si>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</si>
  <si>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</si>
  <si>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</si>
  <si>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</si>
  <si>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</si>
  <si>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</si>
  <si>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</si>
  <si>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</si>
  <si>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</si>
  <si>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</si>
  <si>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</si>
  <si>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</si>
  <si>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</si>
  <si>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</si>
  <si>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</si>
  <si>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</si>
  <si>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</si>
  <si>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</si>
  <si>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</si>
  <si>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</si>
  <si>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</si>
  <si>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</si>
  <si>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</si>
  <si>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</si>
  <si>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</si>
  <si>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</si>
  <si>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</si>
  <si>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</si>
  <si>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</si>
  <si>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</si>
  <si>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</si>
  <si>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</si>
  <si>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</si>
  <si>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</si>
  <si>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</si>
  <si>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</si>
  <si>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</si>
  <si>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</si>
  <si>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</si>
  <si>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</si>
  <si>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</si>
  <si>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</si>
  <si>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</si>
  <si>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</si>
  <si>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</si>
  <si>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</si>
  <si>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</si>
  <si>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</si>
  <si>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</si>
  <si>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</si>
  <si>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</si>
  <si>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</si>
  <si>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</si>
  <si>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</si>
  <si>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</si>
  <si>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</si>
  <si>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</si>
  <si>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</si>
  <si>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</si>
  <si>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</si>
  <si>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</si>
  <si>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</si>
  <si>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</si>
  <si>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</si>
  <si>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</si>
  <si>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</si>
  <si>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</si>
  <si>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</si>
  <si>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</si>
  <si>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</si>
  <si>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</si>
  <si>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</si>
  <si>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</si>
  <si>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</si>
  <si>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</si>
  <si>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</si>
  <si>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</si>
  <si>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</si>
  <si>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</si>
  <si>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</si>
  <si>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</si>
  <si>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</si>
  <si>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</si>
  <si>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</si>
  <si>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</si>
  <si>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</si>
  <si>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</si>
  <si>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</si>
  <si>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</si>
  <si>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</si>
  <si>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</si>
  <si>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</si>
  <si>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</si>
  <si>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</si>
  <si>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</si>
  <si>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</si>
  <si>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</si>
  <si>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</si>
  <si>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</si>
  <si>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</si>
  <si>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</si>
  <si>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</si>
  <si>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</si>
  <si>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</si>
  <si>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</si>
  <si>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</si>
  <si>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</si>
  <si>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</si>
  <si>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</si>
  <si>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</si>
  <si>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</si>
  <si>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</si>
  <si>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</si>
  <si>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</si>
  <si>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</si>
  <si>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</si>
  <si>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</si>
  <si>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</si>
  <si>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</si>
  <si>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</si>
  <si>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</si>
  <si>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</si>
  <si>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</si>
  <si>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</si>
  <si>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</si>
  <si>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</si>
  <si>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</si>
  <si>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</si>
  <si>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</si>
  <si>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</si>
  <si>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</si>
  <si>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</si>
  <si>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</si>
  <si>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</si>
  <si>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</si>
  <si>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</si>
  <si>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</si>
  <si>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</si>
  <si>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</si>
  <si>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</si>
  <si>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</si>
  <si>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</si>
  <si>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</si>
  <si>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</si>
  <si>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</si>
  <si>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</si>
  <si>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</si>
  <si>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</si>
  <si>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</si>
  <si>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</si>
  <si>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</si>
  <si>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</si>
  <si>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</si>
  <si>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</si>
  <si>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</si>
  <si>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</si>
  <si>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</si>
  <si>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</si>
  <si>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</si>
  <si>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</si>
  <si>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</si>
  <si>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</si>
  <si>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</si>
  <si>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</si>
  <si>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</si>
  <si>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</si>
  <si>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</si>
  <si>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</si>
  <si>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</si>
  <si>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</si>
  <si>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</si>
  <si>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</si>
  <si>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</si>
  <si>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</si>
  <si>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</si>
  <si>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</si>
  <si>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</si>
  <si>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</si>
  <si>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</si>
  <si>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</si>
  <si>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</si>
  <si>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</si>
  <si>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</si>
  <si>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</si>
  <si>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</si>
  <si>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</si>
  <si>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</si>
  <si>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</si>
  <si>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</si>
  <si>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</si>
  <si>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</si>
  <si>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</si>
  <si>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</si>
  <si>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</si>
  <si>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</si>
  <si>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</si>
  <si>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</si>
  <si>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</si>
  <si>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</si>
  <si>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</si>
  <si>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</si>
  <si>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</si>
  <si>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</si>
  <si>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</si>
  <si>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</si>
  <si>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</si>
  <si>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</si>
  <si>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</si>
  <si>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</si>
  <si>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</si>
  <si>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</si>
  <si>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</si>
  <si>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</si>
  <si>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</si>
  <si>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</si>
  <si>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</si>
  <si>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</si>
  <si>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</si>
  <si>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</si>
  <si>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</si>
  <si>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</si>
  <si>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</si>
  <si>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</si>
  <si>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</si>
  <si>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</si>
  <si>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</si>
  <si>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</si>
  <si>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</si>
  <si>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</si>
  <si>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</si>
  <si>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</si>
  <si>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</si>
  <si>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</si>
  <si>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</si>
  <si>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</si>
  <si>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</si>
  <si>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</si>
  <si>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</si>
  <si>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</si>
  <si>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</si>
  <si>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</si>
  <si>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</si>
  <si>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</si>
  <si>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</si>
  <si>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</si>
  <si>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</si>
  <si>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</si>
  <si>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</si>
  <si>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</si>
  <si>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</si>
  <si>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</si>
  <si>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</si>
  <si>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</si>
  <si>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</si>
  <si>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</si>
  <si>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</si>
  <si>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</si>
  <si>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</si>
  <si>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</si>
  <si>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</si>
  <si>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</si>
  <si>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</si>
  <si>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</si>
  <si>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</si>
  <si>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</si>
  <si>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</si>
  <si>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</si>
  <si>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</si>
  <si>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</si>
  <si>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</si>
  <si>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</si>
  <si>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</si>
  <si>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</si>
  <si>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</si>
  <si>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</si>
  <si>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</si>
  <si>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</si>
  <si>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</si>
  <si>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</si>
  <si>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</si>
  <si>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</si>
  <si>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</si>
  <si>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</si>
  <si>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</si>
  <si>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</si>
  <si>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</si>
  <si>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</si>
  <si>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</si>
  <si>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</si>
  <si>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</si>
  <si>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</si>
  <si>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</si>
  <si>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</si>
  <si>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</si>
  <si>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</si>
  <si>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</si>
  <si>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</si>
  <si>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</si>
  <si>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</si>
  <si>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</si>
  <si>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</si>
  <si>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</si>
  <si>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</si>
  <si>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</si>
  <si>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</si>
  <si>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</si>
  <si>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</si>
  <si>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</si>
  <si>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</si>
  <si>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</si>
  <si>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</si>
  <si>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</si>
  <si>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</si>
  <si>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</si>
  <si>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</si>
  <si>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</si>
  <si>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</si>
  <si>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</si>
  <si>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</si>
  <si>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</si>
  <si>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</si>
  <si>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</si>
  <si>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</si>
  <si>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</si>
  <si>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</si>
  <si>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</si>
  <si>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</si>
  <si>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</si>
  <si>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</si>
  <si>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</si>
  <si>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</si>
  <si>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</si>
  <si>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</si>
  <si>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</si>
  <si>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</si>
  <si>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</si>
  <si>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</si>
  <si>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</si>
  <si>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</si>
  <si>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</si>
  <si>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</si>
  <si>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</si>
  <si>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</si>
  <si>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</si>
  <si>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</si>
  <si>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</si>
  <si>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</si>
  <si>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</si>
  <si>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</si>
  <si>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</si>
  <si>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</si>
  <si>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</si>
  <si>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</si>
  <si>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</si>
  <si>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</si>
  <si>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</si>
  <si>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</si>
  <si>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</si>
  <si>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</si>
  <si>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</si>
  <si>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</si>
  <si>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</si>
  <si>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</si>
  <si>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</si>
  <si>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</si>
  <si>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</si>
  <si>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</si>
  <si>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</si>
  <si>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</si>
  <si>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</si>
  <si>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</si>
  <si>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</si>
  <si>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</si>
  <si>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</si>
  <si>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</si>
  <si>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</si>
  <si>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</si>
  <si>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</si>
  <si>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</si>
  <si>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</si>
  <si>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</si>
  <si>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</si>
  <si>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</si>
  <si>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</si>
  <si>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</si>
  <si>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</si>
  <si>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</si>
  <si>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</si>
  <si>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</si>
  <si>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</si>
  <si>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</si>
  <si>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</si>
  <si>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</si>
  <si>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</si>
  <si>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</si>
  <si>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</si>
  <si>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</si>
  <si>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</si>
  <si>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</si>
  <si>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</si>
  <si>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</si>
  <si>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</si>
  <si>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</si>
  <si>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</si>
  <si>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</si>
  <si>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</si>
  <si>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</si>
  <si>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</si>
  <si>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</si>
  <si>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</si>
  <si>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</si>
  <si>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</si>
  <si>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</si>
  <si>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</si>
  <si>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</si>
  <si>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</si>
  <si>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</si>
  <si>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</si>
  <si>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</si>
  <si>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</si>
  <si>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</si>
  <si>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</si>
  <si>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</si>
  <si>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</si>
  <si>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</si>
  <si>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</si>
  <si>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</si>
  <si>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</si>
  <si>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</si>
  <si>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</si>
  <si>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</si>
  <si>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</si>
  <si>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</si>
  <si>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</si>
  <si>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</si>
  <si>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</si>
  <si>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</si>
  <si>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</si>
  <si>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</si>
  <si>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</si>
  <si>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</si>
  <si>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</si>
  <si>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</si>
  <si>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</si>
  <si>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</si>
  <si>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</si>
  <si>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</si>
  <si>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</si>
  <si>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</si>
  <si>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</si>
  <si>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</si>
  <si>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</si>
  <si>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</si>
  <si>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</si>
  <si>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</si>
  <si>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</si>
  <si>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</si>
  <si>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</si>
  <si>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</si>
  <si>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</si>
  <si>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</si>
  <si>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</si>
  <si>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</si>
  <si>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</si>
  <si>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</si>
  <si>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</si>
  <si>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</si>
  <si>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</si>
  <si>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</si>
  <si>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</si>
  <si>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</si>
  <si>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</si>
  <si>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</si>
  <si>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</si>
  <si>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</si>
  <si>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</si>
  <si>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</si>
  <si>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</si>
  <si>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</si>
  <si>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</si>
  <si>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</si>
  <si>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</si>
  <si>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</si>
  <si>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</si>
  <si>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</si>
  <si>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</si>
  <si>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</si>
  <si>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</si>
  <si>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</si>
  <si>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</si>
  <si>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</si>
  <si>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</si>
  <si>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</si>
  <si>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</si>
  <si>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</si>
  <si>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</si>
  <si>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</si>
  <si>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</si>
  <si>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</si>
  <si>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</si>
  <si>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</si>
  <si>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</si>
  <si>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</si>
  <si>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</si>
  <si>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</si>
  <si>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</si>
  <si>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</si>
  <si>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</si>
  <si>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</si>
  <si>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</si>
  <si>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</si>
  <si>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</si>
  <si>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</si>
  <si>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</si>
  <si>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</si>
  <si>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</si>
  <si>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</si>
  <si>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</si>
  <si>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</si>
  <si>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</si>
  <si>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</si>
  <si>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</si>
  <si>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</si>
  <si>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</si>
  <si>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</si>
  <si>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</si>
  <si>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</si>
  <si>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</si>
  <si>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</si>
  <si>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</si>
  <si>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</si>
  <si>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</si>
  <si>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</si>
  <si>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</si>
  <si>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</si>
  <si>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</si>
  <si>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</si>
  <si>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</si>
  <si>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</si>
  <si>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</si>
  <si>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</si>
  <si>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</si>
  <si>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</si>
  <si>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</si>
  <si>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</si>
  <si>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</si>
  <si>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</si>
  <si>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</si>
  <si>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</si>
  <si>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</si>
  <si>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</si>
  <si>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</si>
  <si>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</si>
  <si>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</si>
  <si>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</si>
  <si>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</si>
  <si>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</si>
  <si>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</si>
  <si>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</si>
  <si>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</si>
  <si>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</si>
  <si>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</si>
  <si>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</si>
  <si>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</si>
  <si>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</si>
  <si>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</si>
  <si>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</si>
  <si>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</si>
  <si>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</si>
  <si>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</si>
  <si>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</si>
  <si>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</si>
  <si>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</si>
  <si>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</si>
  <si>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</si>
  <si>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</si>
  <si>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</si>
  <si>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</si>
  <si>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</si>
  <si>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</si>
  <si>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</si>
  <si>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</si>
  <si>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</si>
  <si>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</si>
  <si>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</si>
  <si>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</si>
  <si>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</si>
  <si>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</si>
  <si>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</si>
  <si>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</si>
  <si>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</si>
  <si>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</si>
  <si>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</si>
  <si>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</si>
  <si>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</si>
  <si>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</si>
  <si>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</si>
  <si>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</si>
  <si>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</si>
  <si>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</si>
  <si>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</si>
  <si>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</si>
  <si>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</si>
  <si>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</si>
  <si>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</si>
  <si>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</si>
  <si>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</si>
  <si>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</si>
  <si>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</si>
  <si>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</si>
  <si>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</si>
  <si>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</si>
  <si>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</si>
  <si>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</si>
  <si>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</si>
  <si>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</si>
  <si>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</si>
  <si>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</si>
  <si>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</si>
  <si>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</si>
  <si>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</si>
  <si>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</si>
  <si>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</si>
  <si>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</si>
  <si>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</si>
  <si>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</si>
  <si>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</si>
  <si>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</si>
  <si>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</si>
  <si>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</si>
  <si>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</si>
  <si>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</si>
  <si>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</si>
  <si>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</si>
  <si>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</si>
  <si>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</si>
  <si>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</si>
  <si>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</si>
  <si>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</si>
  <si>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</si>
  <si>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</si>
  <si>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</si>
  <si>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</si>
  <si>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</si>
  <si>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</si>
  <si>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</si>
  <si>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</si>
  <si>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</si>
  <si>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</si>
  <si>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</si>
  <si>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</si>
  <si>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</si>
  <si>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</si>
  <si>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</si>
  <si>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</si>
  <si>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</si>
  <si>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</si>
  <si>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</si>
  <si>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</si>
  <si>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</si>
  <si>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</si>
  <si>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</si>
  <si>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</si>
  <si>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</si>
  <si>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</si>
  <si>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</si>
  <si>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</si>
  <si>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</si>
  <si>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</si>
  <si>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</si>
  <si>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</si>
  <si>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</si>
  <si>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</si>
  <si>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</si>
  <si>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</si>
  <si>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</si>
  <si>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</si>
  <si>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</si>
  <si>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</si>
  <si>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</si>
  <si>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</si>
  <si>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</si>
  <si>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</si>
  <si>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</si>
  <si>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</si>
  <si>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</si>
  <si>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</si>
  <si>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</si>
  <si>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</si>
  <si>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</si>
  <si>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</si>
  <si>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</si>
  <si>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</si>
  <si>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</si>
  <si>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</si>
  <si>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</si>
  <si>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</si>
  <si>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</si>
  <si>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</si>
  <si>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</si>
  <si>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</si>
  <si>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</si>
  <si>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</si>
  <si>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</si>
  <si>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</si>
  <si>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</si>
  <si>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</si>
  <si>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</si>
  <si>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</si>
  <si>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</si>
  <si>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</si>
  <si>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</si>
  <si>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</si>
  <si>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</si>
  <si>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</si>
  <si>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</si>
  <si>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</si>
  <si>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</si>
  <si>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</si>
  <si>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</si>
  <si>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</si>
  <si>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</si>
  <si>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</si>
  <si>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</si>
  <si>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</si>
  <si>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</si>
  <si>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</si>
  <si>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</si>
  <si>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</si>
  <si>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</si>
  <si>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</si>
  <si>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</si>
  <si>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</si>
  <si>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</si>
  <si>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</si>
  <si>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</si>
  <si>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</si>
  <si>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</si>
  <si>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</si>
  <si>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</si>
  <si>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</si>
  <si>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</si>
  <si>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</si>
  <si>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</si>
  <si>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</si>
  <si>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</si>
  <si>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</si>
  <si>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</si>
  <si>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</si>
  <si>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</si>
  <si>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</si>
  <si>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</si>
  <si>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</si>
  <si>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</si>
  <si>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</si>
  <si>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</si>
  <si>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</si>
  <si>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</si>
  <si>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</si>
  <si>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</si>
  <si>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</si>
  <si>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</si>
  <si>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</si>
  <si>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</si>
  <si>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</si>
  <si>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</si>
  <si>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</si>
  <si>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</si>
  <si>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</si>
  <si>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</si>
  <si>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</si>
  <si>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</si>
  <si>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</si>
  <si>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</si>
  <si>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</si>
  <si>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</si>
  <si>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</si>
  <si>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</si>
  <si>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</si>
  <si>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</si>
  <si>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</si>
  <si>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</si>
  <si>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</si>
  <si>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</si>
  <si>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</si>
  <si>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</si>
  <si>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</si>
  <si>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</si>
  <si>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</si>
  <si>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</si>
  <si>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</si>
  <si>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</si>
  <si>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</si>
  <si>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</si>
  <si>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</si>
  <si>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</si>
  <si>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</si>
  <si>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</si>
  <si>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</si>
  <si>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</si>
  <si>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</si>
  <si>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</si>
  <si>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</si>
  <si>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</si>
  <si>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</si>
  <si>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</si>
  <si>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</si>
  <si>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</si>
  <si>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</si>
  <si>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</si>
  <si>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</si>
  <si>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</si>
  <si>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</si>
  <si>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</si>
  <si>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</si>
  <si>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</si>
  <si>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</si>
  <si>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</si>
  <si>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</si>
  <si>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</si>
  <si>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</si>
  <si>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</si>
  <si>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</si>
  <si>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</si>
  <si>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</si>
  <si>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</si>
  <si>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</si>
  <si>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</si>
  <si>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</si>
  <si>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</si>
  <si>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</si>
  <si>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</si>
  <si>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</si>
  <si>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</si>
  <si>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</si>
  <si>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</si>
  <si>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</si>
  <si>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</si>
  <si>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</si>
  <si>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</si>
  <si>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</si>
  <si>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</si>
  <si>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</si>
  <si>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</si>
  <si>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</si>
  <si>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</si>
  <si>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</si>
  <si>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</si>
  <si>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</si>
  <si>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</si>
  <si>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</si>
  <si>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</si>
  <si>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</si>
  <si>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</si>
  <si>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</si>
  <si>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</si>
  <si>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</si>
  <si>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</si>
  <si>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</si>
  <si>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</si>
  <si>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</si>
  <si>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</si>
  <si>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</si>
  <si>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</si>
  <si>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</si>
  <si>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</si>
  <si>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</si>
  <si>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</si>
  <si>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</si>
  <si>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</si>
  <si>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</si>
  <si>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</si>
  <si>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</si>
  <si>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</si>
  <si>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</si>
  <si>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</si>
  <si>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</si>
  <si>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</si>
  <si>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</si>
  <si>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</si>
  <si>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</si>
  <si>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</si>
  <si>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</si>
  <si>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</si>
  <si>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</si>
  <si>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</si>
  <si>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</si>
  <si>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</si>
  <si>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</si>
  <si>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</si>
  <si>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</si>
  <si>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</si>
  <si>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</si>
  <si>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</si>
  <si>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</si>
  <si>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</si>
  <si>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</si>
  <si>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</si>
  <si>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</si>
  <si>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</si>
  <si>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</si>
  <si>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</si>
  <si>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</si>
  <si>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</si>
  <si>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</si>
  <si>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</si>
  <si>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</si>
  <si>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</si>
  <si>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</si>
  <si>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</si>
  <si>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</si>
  <si>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</si>
  <si>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</si>
  <si>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</si>
  <si>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</si>
  <si>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</si>
  <si>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</si>
  <si>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</si>
  <si>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</si>
  <si>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</si>
  <si>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</si>
  <si>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</si>
  <si>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</si>
  <si>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</si>
  <si>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</si>
  <si>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</si>
  <si>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</si>
  <si>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</si>
  <si>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</si>
  <si>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</si>
  <si>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</si>
  <si>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</si>
  <si>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</si>
  <si>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</si>
  <si>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</si>
  <si>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</si>
  <si>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</si>
  <si>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</si>
  <si>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</si>
  <si>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</si>
  <si>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</si>
  <si>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</si>
  <si>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</si>
  <si>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</si>
  <si>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</si>
  <si>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</si>
  <si>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</si>
  <si>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</si>
  <si>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</si>
  <si>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</si>
  <si>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</si>
  <si>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</si>
  <si>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</si>
  <si>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</si>
  <si>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</si>
  <si>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</si>
  <si>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</si>
  <si>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</si>
  <si>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</si>
  <si>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</si>
  <si>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</si>
  <si>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</si>
  <si>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</si>
  <si>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</si>
  <si>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</si>
  <si>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</si>
  <si>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</si>
  <si>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</si>
  <si>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</si>
  <si>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</si>
  <si>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</si>
  <si>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</si>
  <si>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</si>
  <si>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</si>
  <si>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</si>
  <si>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</si>
  <si>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</si>
  <si>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</si>
  <si>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</si>
  <si>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</si>
  <si>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</si>
  <si>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</si>
  <si>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</si>
  <si>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</si>
  <si>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</si>
  <si>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</si>
  <si>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</si>
  <si>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</si>
  <si>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</si>
  <si>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</si>
  <si>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</si>
  <si>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</si>
  <si>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</si>
  <si>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</si>
  <si>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</si>
  <si>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</si>
  <si>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</si>
  <si>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</si>
  <si>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</si>
  <si>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</si>
  <si>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</si>
  <si>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</si>
  <si>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</si>
  <si>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</si>
  <si>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</si>
  <si>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</si>
  <si>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</si>
  <si>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</si>
  <si>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</si>
  <si>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</si>
  <si>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</si>
  <si>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</si>
  <si>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</si>
  <si>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</si>
  <si>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</si>
  <si>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</si>
  <si>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</si>
  <si>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</si>
  <si>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</si>
  <si>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</si>
  <si>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</si>
  <si>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</si>
  <si>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</si>
  <si>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</si>
  <si>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</si>
  <si>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</si>
  <si>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</si>
  <si>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</si>
  <si>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</si>
  <si>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</si>
  <si>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</si>
  <si>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</si>
  <si>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</si>
  <si>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</si>
  <si>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</si>
  <si>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</si>
  <si>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</si>
  <si>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</si>
  <si>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</si>
  <si>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</si>
  <si>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</si>
  <si>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</si>
  <si>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</si>
  <si>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</si>
  <si>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</si>
  <si>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</si>
  <si>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</si>
  <si>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</si>
  <si>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</si>
  <si>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</si>
  <si>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</si>
  <si>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</si>
  <si>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</si>
  <si>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</si>
  <si>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</si>
  <si>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</si>
  <si>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</si>
  <si>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</si>
  <si>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</si>
  <si>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</si>
  <si>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</si>
  <si>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</si>
  <si>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</si>
  <si>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</si>
  <si>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</si>
  <si>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</si>
  <si>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</si>
  <si>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</si>
  <si>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</si>
  <si>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</si>
  <si>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</si>
  <si>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</si>
  <si>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</si>
  <si>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</si>
  <si>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</si>
  <si>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</si>
  <si>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</si>
  <si>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</si>
  <si>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</si>
  <si>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</si>
  <si>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</si>
  <si>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</si>
  <si>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</si>
  <si>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</si>
  <si>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</si>
  <si>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</si>
  <si>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</si>
  <si>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</si>
  <si>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</si>
  <si>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</si>
  <si>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</si>
  <si>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</si>
  <si>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</si>
  <si>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</si>
  <si>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</si>
  <si>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</si>
  <si>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</si>
  <si>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</si>
  <si>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</si>
  <si>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</si>
  <si>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</si>
  <si>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</si>
  <si>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</si>
  <si>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</si>
  <si>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</si>
  <si>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</si>
  <si>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</si>
  <si>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</si>
  <si>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</si>
  <si>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</si>
  <si>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</si>
  <si>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</si>
  <si>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</si>
  <si>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</si>
  <si>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</si>
  <si>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</si>
  <si>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</si>
  <si>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</si>
  <si>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</si>
  <si>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</si>
  <si>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</si>
  <si>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</si>
  <si>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</si>
  <si>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</si>
  <si>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</si>
  <si>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</si>
  <si>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</si>
  <si>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</si>
  <si>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</si>
  <si>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</si>
  <si>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</si>
  <si>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</si>
  <si>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</si>
  <si>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</si>
  <si>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</si>
  <si>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</si>
  <si>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</si>
  <si>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</si>
  <si>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</si>
  <si>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</si>
  <si>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</si>
  <si>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</si>
  <si>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</si>
  <si>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</si>
  <si>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</si>
  <si>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</si>
  <si>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</si>
  <si>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</si>
  <si>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</si>
  <si>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</si>
  <si>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</si>
  <si>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</si>
  <si>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</si>
  <si>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</si>
  <si>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</si>
  <si>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</si>
  <si>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</si>
  <si>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</si>
  <si>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</si>
  <si>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</si>
  <si>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</si>
  <si>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</si>
  <si>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</si>
  <si>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</si>
  <si>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</si>
  <si>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</si>
  <si>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</si>
  <si>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</si>
  <si>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</si>
  <si>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</si>
  <si>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</si>
  <si>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</si>
  <si>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</si>
  <si>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</si>
  <si>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</si>
  <si>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</si>
  <si>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</si>
  <si>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</si>
  <si>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</si>
  <si>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</si>
  <si>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</si>
  <si>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</si>
  <si>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</si>
  <si>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</si>
  <si>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</si>
  <si>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</si>
  <si>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</si>
  <si>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</si>
  <si>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</si>
  <si>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</si>
  <si>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</si>
  <si>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</si>
  <si>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</si>
  <si>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</si>
  <si>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</si>
  <si>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</si>
  <si>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</si>
  <si>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</si>
  <si>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</si>
  <si>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</si>
  <si>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</si>
  <si>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</si>
  <si>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</si>
  <si>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</si>
  <si>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</si>
  <si>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</si>
  <si>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</si>
  <si>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</si>
  <si>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</si>
  <si>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</si>
  <si>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</si>
  <si>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</si>
  <si>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</si>
  <si>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</si>
  <si>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</si>
  <si>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</si>
  <si>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</si>
  <si>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</si>
  <si>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</si>
  <si>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</si>
  <si>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</si>
  <si>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</si>
  <si>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</si>
  <si>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</si>
  <si>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</si>
  <si>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</si>
  <si>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</si>
  <si>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</si>
  <si>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</si>
  <si>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</si>
  <si>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</si>
  <si>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</si>
  <si>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</si>
  <si>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</si>
  <si>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</si>
  <si>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</si>
  <si>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</si>
  <si>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</si>
  <si>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</si>
  <si>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</si>
  <si>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</si>
  <si>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</si>
  <si>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</si>
  <si>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</si>
  <si>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</si>
  <si>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</si>
  <si>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</si>
  <si>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</si>
  <si>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</si>
  <si>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</si>
  <si>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</si>
  <si>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</si>
  <si>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</si>
  <si>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</si>
  <si>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</si>
  <si>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</si>
  <si>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</si>
  <si>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</si>
  <si>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</si>
  <si>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</si>
  <si>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</si>
  <si>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</si>
  <si>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</si>
  <si>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</si>
  <si>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</si>
  <si>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</si>
  <si>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</si>
  <si>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</si>
  <si>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</si>
  <si>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</si>
  <si>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</si>
  <si>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</si>
  <si>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</si>
  <si>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</si>
  <si>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</si>
  <si>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</si>
  <si>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</si>
  <si>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</si>
  <si>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</si>
  <si>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</si>
  <si>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</si>
  <si>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</si>
  <si>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</si>
  <si>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</si>
  <si>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</si>
  <si>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</si>
  <si>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</si>
  <si>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</si>
  <si>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</si>
  <si>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</si>
  <si>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</si>
  <si>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</si>
  <si>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</si>
  <si>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</si>
  <si>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</si>
  <si>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</si>
  <si>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</si>
  <si>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</si>
  <si>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</si>
  <si>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</si>
  <si>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</si>
  <si>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</si>
  <si>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</si>
  <si>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</si>
  <si>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</si>
  <si>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</si>
  <si>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</si>
  <si>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</si>
  <si>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</si>
  <si>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</si>
  <si>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</si>
  <si>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</si>
  <si>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</si>
  <si>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</si>
  <si>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</si>
  <si>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</si>
  <si>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</si>
  <si>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</si>
  <si>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</si>
  <si>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</si>
  <si>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</si>
  <si>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</si>
  <si>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</si>
  <si>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</si>
  <si>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</si>
  <si>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</si>
  <si>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</si>
  <si>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</si>
  <si>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</si>
  <si>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</si>
  <si>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</si>
  <si>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</si>
  <si>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</si>
  <si>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</si>
  <si>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</si>
  <si>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</si>
  <si>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</si>
  <si>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</si>
  <si>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</si>
  <si>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</si>
  <si>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</si>
  <si>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</si>
  <si>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</si>
  <si>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</si>
  <si>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</si>
  <si>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</si>
  <si>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</si>
  <si>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</si>
  <si>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</si>
  <si>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</si>
  <si>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</si>
  <si>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</si>
  <si>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</si>
  <si>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</si>
  <si>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</si>
  <si>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</si>
  <si>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</si>
  <si>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</si>
  <si>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</si>
  <si>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</si>
  <si>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</si>
  <si>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</si>
  <si>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</si>
  <si>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</si>
  <si>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</si>
  <si>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</si>
  <si>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</si>
  <si>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</si>
  <si>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</si>
  <si>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</si>
  <si>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</si>
  <si>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</si>
  <si>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</si>
  <si>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</si>
  <si>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</si>
  <si>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</si>
  <si>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</si>
  <si>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</si>
  <si>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</si>
  <si>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</si>
  <si>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</si>
  <si>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</si>
  <si>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</si>
  <si>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</si>
  <si>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</si>
  <si>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</si>
  <si>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</si>
  <si>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</si>
  <si>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</si>
  <si>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</si>
  <si>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</si>
  <si>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</si>
  <si>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</si>
  <si>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</si>
  <si>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</si>
  <si>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</si>
  <si>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</si>
  <si>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</si>
  <si>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</si>
  <si>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</si>
  <si>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</si>
  <si>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</si>
  <si>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</si>
  <si>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</si>
  <si>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</si>
  <si>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</si>
  <si>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</si>
  <si>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</si>
  <si>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</si>
  <si>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</si>
  <si>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</si>
  <si>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</si>
  <si>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</si>
  <si>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</si>
  <si>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</si>
  <si>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</si>
  <si>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</si>
  <si>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</si>
  <si>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</si>
  <si>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</si>
  <si>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</si>
  <si>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</si>
  <si>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</si>
  <si>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</si>
  <si>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</si>
  <si>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</si>
  <si>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</si>
  <si>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</si>
  <si>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</si>
  <si>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</si>
  <si>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</si>
  <si>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</si>
  <si>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</si>
  <si>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</si>
  <si>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</si>
  <si>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</si>
  <si>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</si>
  <si>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</si>
  <si>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</si>
  <si>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</si>
  <si>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</si>
  <si>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</si>
  <si>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</si>
  <si>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</si>
  <si>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</si>
  <si>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</si>
  <si>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</si>
  <si>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</si>
  <si>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</si>
  <si>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</si>
  <si>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</si>
  <si>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</si>
  <si>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</si>
  <si>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</si>
  <si>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</si>
  <si>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</si>
  <si>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</si>
  <si>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</si>
  <si>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</si>
  <si>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</si>
  <si>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</si>
  <si>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</si>
  <si>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</si>
  <si>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</si>
  <si>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</si>
  <si>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</si>
  <si>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</si>
  <si>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</si>
  <si>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</si>
  <si>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</si>
  <si>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</si>
  <si>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</si>
  <si>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</si>
  <si>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</si>
  <si>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</si>
  <si>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</si>
  <si>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</si>
  <si>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</si>
  <si>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</si>
  <si>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</si>
  <si>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</si>
  <si>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</si>
  <si>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</si>
  <si>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</si>
  <si>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</si>
  <si>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</si>
  <si>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</si>
  <si>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</si>
  <si>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</si>
  <si>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</si>
  <si>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</si>
  <si>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</si>
  <si>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</si>
  <si>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</si>
  <si>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</si>
  <si>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</si>
  <si>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</si>
  <si>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</si>
  <si>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</si>
  <si>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</si>
  <si>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</si>
  <si>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</si>
  <si>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</si>
  <si>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</si>
  <si>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</si>
  <si>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</si>
  <si>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</si>
  <si>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</si>
  <si>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</si>
  <si>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</si>
  <si>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</si>
  <si>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</si>
  <si>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</si>
  <si>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</si>
  <si>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</si>
  <si>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</si>
  <si>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</si>
  <si>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</si>
  <si>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</si>
  <si>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</si>
  <si>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</si>
  <si>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</si>
  <si>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</si>
  <si>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</si>
  <si>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</si>
  <si>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</si>
  <si>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</si>
  <si>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</si>
  <si>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</si>
  <si>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</si>
  <si>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</si>
  <si>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</si>
  <si>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</si>
  <si>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</si>
  <si>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</si>
  <si>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</si>
  <si>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</si>
  <si>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</si>
  <si>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</si>
  <si>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</si>
  <si>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</si>
  <si>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</si>
  <si>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</si>
  <si>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</si>
  <si>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</si>
  <si>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</si>
  <si>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</si>
  <si>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</si>
  <si>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</si>
  <si>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</si>
  <si>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</si>
  <si>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</si>
  <si>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</si>
  <si>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</si>
  <si>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</si>
  <si>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</si>
  <si>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</si>
  <si>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</si>
  <si>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</si>
  <si>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</si>
  <si>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</si>
  <si>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</si>
  <si>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</si>
  <si>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</si>
  <si>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</si>
  <si>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</si>
  <si>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</si>
  <si>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</si>
  <si>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</si>
  <si>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</si>
  <si>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</si>
  <si>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</si>
  <si>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</si>
  <si>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</si>
  <si>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</si>
  <si>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</si>
  <si>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</si>
  <si>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</si>
  <si>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</si>
  <si>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</si>
  <si>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</si>
  <si>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</si>
  <si>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</si>
  <si>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</si>
  <si>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</si>
  <si>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</si>
  <si>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</si>
  <si>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</si>
  <si>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</si>
  <si>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</si>
  <si>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</si>
  <si>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</si>
  <si>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</si>
  <si>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</si>
  <si>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</si>
  <si>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</si>
  <si>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</si>
  <si>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</si>
  <si>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</si>
  <si>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</si>
  <si>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</si>
  <si>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</si>
  <si>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</si>
  <si>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</si>
  <si>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</si>
  <si>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</si>
  <si>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</si>
  <si>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</si>
  <si>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</si>
  <si>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</si>
  <si>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</si>
  <si>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</si>
  <si>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</si>
  <si>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</si>
  <si>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</si>
  <si>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</si>
  <si>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</si>
  <si>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</si>
  <si>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</si>
  <si>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</si>
  <si>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</si>
  <si>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</si>
  <si>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</si>
  <si>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</si>
  <si>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</si>
  <si>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</si>
  <si>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</si>
  <si>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</si>
  <si>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</si>
  <si>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</si>
  <si>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</si>
  <si>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</si>
  <si>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</si>
  <si>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</si>
  <si>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</si>
  <si>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</si>
  <si>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</si>
  <si>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</si>
  <si>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</si>
  <si>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</si>
  <si>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</si>
  <si>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</si>
  <si>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</si>
  <si>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</si>
  <si>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</si>
  <si>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</si>
  <si>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</si>
  <si>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</si>
  <si>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</si>
  <si>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</si>
  <si>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</si>
  <si>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</si>
  <si>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</si>
  <si>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</si>
  <si>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</si>
  <si>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</si>
  <si>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</si>
  <si>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</si>
  <si>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</si>
  <si>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</si>
  <si>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</si>
  <si>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</si>
  <si>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</si>
  <si>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</si>
  <si>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</si>
  <si>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</si>
  <si>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</si>
  <si>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</si>
  <si>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</si>
  <si>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</si>
  <si>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</si>
  <si>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</si>
  <si>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</si>
  <si>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</si>
  <si>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</si>
  <si>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</si>
  <si>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</si>
  <si>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</si>
  <si>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</si>
  <si>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</si>
  <si>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</si>
  <si>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</si>
  <si>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</si>
  <si>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</si>
  <si>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</si>
  <si>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</si>
  <si>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</si>
  <si>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</si>
  <si>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</si>
  <si>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</si>
  <si>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</si>
  <si>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</si>
  <si>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</si>
  <si>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</si>
  <si>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</si>
  <si>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</si>
  <si>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</si>
  <si>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</si>
  <si>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</si>
  <si>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</si>
  <si>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</si>
  <si>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</si>
  <si>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</si>
  <si>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</si>
  <si>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</si>
  <si>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</si>
  <si>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</si>
  <si>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</si>
  <si>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</si>
  <si>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</si>
  <si>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</si>
  <si>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</si>
  <si>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</si>
  <si>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</si>
  <si>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</si>
  <si>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</si>
  <si>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</si>
  <si>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</si>
  <si>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</si>
  <si>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</si>
  <si>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</si>
  <si>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</si>
  <si>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</si>
  <si>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</si>
  <si>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</si>
  <si>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</si>
  <si>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</si>
  <si>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</si>
  <si>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</si>
  <si>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</si>
  <si>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</si>
  <si>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</si>
  <si>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</si>
  <si>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</si>
  <si>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</si>
  <si>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</si>
  <si>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</si>
  <si>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</si>
  <si>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</si>
  <si>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</si>
  <si>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</si>
  <si>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</si>
  <si>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</si>
  <si>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</si>
  <si>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</si>
  <si>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</si>
  <si>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</si>
  <si>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</si>
  <si>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</si>
  <si>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</si>
  <si>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</si>
  <si>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</si>
  <si>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</si>
  <si>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</si>
  <si>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</si>
  <si>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</si>
  <si>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</si>
  <si>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</si>
  <si>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</si>
  <si>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</si>
  <si>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</si>
  <si>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</si>
  <si>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</si>
  <si>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</si>
  <si>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</si>
  <si>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</si>
  <si>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</si>
  <si>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</si>
  <si>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</si>
  <si>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</si>
  <si>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</si>
  <si>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</si>
  <si>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</si>
  <si>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</si>
  <si>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</si>
  <si>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</si>
  <si>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</si>
  <si>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</si>
  <si>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</si>
  <si>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</si>
  <si>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</si>
  <si>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</si>
  <si>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</si>
  <si>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</si>
  <si>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</si>
  <si>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</si>
  <si>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</si>
  <si>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</si>
  <si>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</si>
  <si>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</si>
  <si>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</si>
  <si>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</si>
  <si>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</si>
  <si>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</si>
  <si>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</si>
  <si>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</si>
  <si>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</si>
  <si>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</si>
  <si>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</si>
  <si>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</si>
  <si>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</si>
  <si>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</si>
  <si>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</si>
  <si>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</si>
  <si>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</si>
  <si>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</si>
  <si>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</si>
  <si>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</si>
  <si>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</si>
  <si>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</si>
  <si>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</si>
  <si>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</si>
  <si>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</si>
  <si>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</si>
  <si>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</si>
  <si>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</si>
  <si>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</si>
  <si>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</si>
  <si>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</si>
  <si>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</si>
  <si>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</si>
  <si>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</si>
  <si>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</si>
  <si>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</si>
  <si>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</si>
  <si>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</si>
  <si>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</si>
  <si>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</si>
  <si>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</si>
  <si>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</si>
  <si>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</si>
  <si>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</si>
  <si>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</si>
  <si>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</si>
  <si>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</si>
  <si>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</si>
  <si>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</si>
  <si>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</si>
  <si>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</si>
  <si>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</si>
  <si>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</si>
  <si>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</si>
  <si>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</si>
  <si>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</si>
  <si>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</si>
  <si>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</si>
  <si>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</si>
  <si>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</si>
  <si>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</si>
  <si>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</si>
  <si>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</si>
  <si>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</si>
  <si>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</si>
  <si>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</si>
  <si>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</si>
  <si>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</si>
  <si>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</si>
  <si>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</si>
  <si>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</si>
  <si>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</si>
  <si>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</si>
  <si>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</si>
  <si>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</si>
  <si>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</si>
  <si>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</si>
  <si>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</si>
  <si>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</si>
  <si>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</si>
  <si>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</si>
  <si>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</si>
  <si>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</si>
  <si>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</si>
  <si>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</si>
  <si>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</si>
  <si>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</si>
  <si>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</si>
  <si>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</si>
  <si>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</si>
  <si>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</si>
  <si>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</si>
  <si>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</si>
  <si>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</si>
  <si>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</si>
  <si>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</si>
  <si>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</si>
  <si>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</si>
  <si>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</si>
  <si>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</si>
  <si>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</si>
  <si>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</si>
  <si>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</si>
  <si>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</si>
  <si>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</si>
  <si>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</si>
  <si>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</si>
  <si>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</si>
  <si>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</si>
  <si>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</si>
  <si>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</si>
  <si>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</si>
  <si>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</si>
  <si>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</si>
  <si>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</si>
  <si>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</si>
  <si>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</si>
  <si>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</si>
  <si>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</si>
  <si>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</si>
  <si>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</si>
  <si>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</si>
  <si>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</si>
  <si>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</si>
  <si>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</si>
  <si>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</si>
  <si>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</si>
  <si>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</si>
  <si>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</si>
  <si>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</si>
  <si>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</si>
  <si>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</si>
  <si>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</si>
  <si>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</si>
  <si>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</si>
  <si>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</si>
  <si>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</si>
  <si>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</si>
  <si>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</si>
  <si>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</si>
  <si>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</si>
  <si>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</si>
  <si>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</si>
  <si>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</si>
  <si>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</si>
  <si>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</si>
  <si>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</si>
  <si>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</si>
  <si>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</si>
  <si>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</si>
  <si>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</si>
  <si>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</si>
  <si>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</si>
  <si>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</si>
  <si>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</si>
  <si>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</si>
  <si>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</si>
  <si>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</si>
  <si>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</si>
  <si>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</si>
  <si>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</si>
  <si>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</si>
  <si>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</si>
  <si>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</si>
  <si>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</si>
  <si>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</si>
  <si>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</si>
  <si>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</si>
  <si>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</si>
  <si>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</si>
  <si>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</si>
  <si>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</si>
  <si>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</si>
  <si>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</si>
  <si>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</si>
  <si>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</si>
  <si>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</si>
  <si>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</si>
  <si>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</si>
  <si>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</si>
  <si>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</si>
  <si>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</si>
  <si>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</si>
  <si>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</si>
  <si>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</si>
  <si>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</si>
  <si>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</si>
  <si>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</si>
  <si>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</si>
  <si>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</si>
  <si>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</si>
  <si>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</si>
  <si>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</si>
  <si>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</si>
  <si>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</si>
  <si>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</si>
  <si>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</si>
  <si>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</si>
  <si>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</si>
  <si>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</si>
  <si>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</si>
  <si>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</si>
  <si>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</si>
  <si>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</si>
  <si>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</si>
  <si>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</si>
  <si>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</si>
  <si>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</si>
  <si>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</si>
  <si>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</si>
  <si>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</si>
  <si>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</si>
  <si>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</si>
  <si>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</si>
  <si>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</si>
  <si>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</si>
  <si>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</si>
  <si>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</si>
  <si>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</si>
  <si>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</si>
  <si>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</si>
  <si>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</si>
  <si>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</si>
  <si>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</si>
  <si>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</si>
  <si>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</si>
  <si>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</si>
  <si>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</si>
  <si>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</si>
  <si>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</si>
  <si>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</si>
  <si>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</si>
  <si>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</si>
  <si>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</si>
  <si>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</si>
  <si>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</si>
  <si>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</si>
  <si>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</si>
  <si>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</si>
  <si>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</si>
  <si>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</si>
  <si>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</si>
  <si>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</si>
  <si>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</si>
  <si>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</si>
  <si>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</si>
  <si>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</si>
  <si>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</si>
  <si>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</si>
  <si>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</si>
  <si>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</si>
  <si>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</si>
  <si>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</si>
  <si>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</si>
  <si>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</si>
  <si>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</si>
  <si>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</si>
  <si>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</si>
  <si>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</si>
  <si>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</si>
  <si>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</si>
  <si>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</si>
  <si>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</si>
  <si>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</si>
  <si>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</si>
  <si>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</si>
  <si>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</si>
  <si>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</si>
  <si>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</si>
  <si>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</si>
  <si>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</si>
  <si>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</si>
  <si>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</si>
  <si>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</si>
  <si>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</si>
  <si>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</si>
  <si>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</si>
  <si>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</si>
  <si>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</si>
  <si>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</si>
  <si>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</si>
  <si>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</si>
  <si>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</si>
  <si>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</si>
  <si>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</si>
  <si>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</si>
  <si>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</si>
  <si>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</si>
  <si>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</si>
  <si>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</si>
  <si>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</si>
  <si>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</si>
  <si>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</si>
  <si>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</si>
  <si>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</si>
  <si>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</si>
  <si>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</si>
  <si>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</si>
  <si>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</si>
  <si>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</si>
  <si>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</si>
  <si>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</si>
  <si>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</si>
  <si>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</si>
  <si>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</si>
  <si>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</si>
  <si>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</si>
  <si>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</si>
  <si>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</si>
  <si>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</si>
  <si>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</si>
  <si>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</si>
  <si>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</si>
  <si>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</si>
  <si>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</si>
  <si>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</si>
  <si>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</si>
  <si>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</si>
  <si>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</si>
  <si>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</si>
  <si>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</si>
  <si>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</si>
  <si>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</si>
  <si>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</si>
  <si>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</si>
  <si>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</si>
  <si>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</si>
  <si>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</si>
  <si>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</si>
  <si>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</si>
  <si>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</si>
  <si>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</si>
  <si>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</si>
  <si>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</si>
  <si>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</si>
  <si>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</si>
  <si>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</si>
  <si>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</si>
  <si>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</si>
  <si>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</si>
  <si>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</si>
  <si>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</si>
  <si>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</si>
  <si>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</si>
  <si>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</si>
  <si>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</si>
  <si>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</si>
  <si>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</si>
  <si>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</si>
  <si>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</si>
  <si>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</si>
  <si>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</si>
  <si>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</si>
  <si>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</si>
  <si>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</si>
  <si>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</si>
  <si>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</si>
  <si>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</si>
  <si>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</si>
  <si>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</si>
  <si>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</si>
  <si>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</si>
  <si>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</si>
  <si>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</si>
  <si>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</si>
  <si>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</si>
  <si>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</si>
  <si>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</si>
  <si>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</si>
  <si>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</si>
  <si>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</si>
  <si>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</si>
  <si>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</si>
  <si>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</si>
  <si>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</si>
  <si>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</si>
  <si>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</si>
  <si>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</si>
  <si>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</si>
  <si>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</si>
  <si>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</si>
  <si>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</si>
  <si>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</si>
  <si>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</si>
  <si>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</si>
  <si>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</si>
  <si>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</si>
  <si>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</si>
  <si>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</si>
  <si>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</si>
  <si>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</si>
  <si>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</si>
  <si>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</si>
  <si>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</si>
  <si>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</si>
  <si>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</si>
  <si>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</si>
  <si>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</si>
  <si>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</si>
  <si>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</si>
  <si>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</si>
  <si>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</si>
  <si>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</si>
  <si>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</si>
  <si>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</si>
  <si>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</si>
  <si>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</si>
  <si>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</si>
  <si>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</si>
  <si>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</si>
  <si>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</si>
  <si>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</si>
  <si>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</si>
  <si>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</si>
  <si>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</si>
  <si>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</si>
  <si>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</si>
  <si>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</si>
  <si>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</si>
  <si>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</si>
  <si>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</si>
  <si>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</si>
  <si>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</si>
  <si>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</si>
  <si>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</si>
  <si>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</si>
  <si>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</si>
  <si>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</si>
  <si>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</si>
  <si>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</si>
  <si>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</si>
  <si>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</si>
  <si>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</si>
  <si>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</si>
  <si>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</si>
  <si>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</si>
  <si>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</si>
  <si>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</si>
  <si>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</si>
  <si>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</si>
  <si>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</si>
  <si>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</si>
  <si>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</si>
  <si>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</si>
  <si>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</si>
  <si>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</si>
  <si>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</si>
  <si>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</si>
  <si>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</si>
  <si>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</si>
  <si>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</si>
  <si>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</si>
  <si>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</si>
  <si>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</si>
  <si>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</si>
  <si>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</si>
  <si>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</si>
  <si>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</si>
  <si>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</si>
  <si>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</si>
  <si>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</si>
  <si>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</si>
  <si>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</si>
  <si>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</si>
  <si>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</si>
  <si>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</si>
  <si>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</si>
  <si>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</si>
  <si>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</si>
  <si>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</si>
  <si>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</si>
  <si>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</si>
  <si>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</si>
  <si>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</si>
  <si>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</si>
  <si>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</si>
  <si>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</si>
  <si>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</si>
  <si>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</si>
  <si>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</si>
  <si>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</si>
  <si>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</si>
  <si>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</si>
  <si>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</si>
  <si>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</si>
  <si>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</si>
  <si>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</si>
  <si>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</si>
  <si>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</si>
  <si>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</si>
  <si>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</si>
  <si>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</si>
  <si>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</si>
  <si>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</si>
  <si>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</si>
  <si>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</si>
  <si>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</si>
  <si>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</si>
  <si>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</si>
  <si>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</si>
  <si>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</si>
  <si>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</si>
  <si>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</si>
  <si>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</si>
  <si>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</si>
  <si>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</si>
  <si>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</si>
  <si>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</si>
  <si>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</si>
  <si>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</si>
  <si>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</si>
  <si>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</si>
  <si>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</si>
  <si>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</si>
  <si>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</si>
  <si>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</si>
  <si>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</si>
  <si>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</si>
  <si>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</si>
  <si>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</si>
  <si>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</si>
  <si>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</si>
  <si>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</si>
  <si>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</si>
  <si>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</si>
  <si>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</si>
  <si>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</si>
  <si>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</si>
  <si>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</si>
  <si>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</si>
  <si>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</si>
  <si>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</si>
  <si>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</si>
  <si>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</si>
  <si>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</si>
  <si>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</si>
  <si>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</si>
  <si>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</si>
  <si>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</si>
  <si>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</si>
  <si>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</si>
  <si>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</si>
  <si>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</si>
  <si>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</si>
  <si>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</si>
  <si>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</si>
  <si>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</si>
  <si>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</si>
  <si>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</si>
  <si>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</si>
  <si>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</si>
  <si>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</si>
  <si>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</si>
  <si>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</si>
  <si>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</si>
  <si>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</si>
  <si>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</si>
  <si>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</si>
  <si>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</si>
  <si>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</si>
  <si>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</si>
  <si>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</si>
  <si>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</si>
  <si>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</si>
  <si>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</si>
  <si>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</si>
  <si>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</si>
  <si>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</si>
  <si>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</si>
  <si>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</si>
  <si>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</si>
  <si>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</si>
  <si>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</si>
  <si>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</si>
  <si>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</si>
  <si>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</si>
  <si>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</si>
  <si>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</si>
  <si>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</si>
  <si>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</si>
  <si>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</si>
  <si>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</si>
  <si>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</si>
  <si>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</si>
  <si>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</si>
  <si>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</si>
  <si>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</si>
  <si>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</si>
  <si>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</si>
  <si>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</si>
  <si>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</si>
  <si>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</si>
  <si>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</si>
  <si>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</si>
  <si>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</si>
  <si>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</si>
  <si>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</si>
  <si>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</si>
  <si>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</si>
  <si>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</si>
  <si>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</si>
  <si>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</si>
  <si>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</si>
  <si>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</si>
  <si>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</si>
  <si>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</si>
  <si>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</si>
  <si>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</si>
  <si>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</si>
  <si>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</si>
  <si>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</si>
  <si>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</si>
  <si>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</si>
  <si>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</si>
  <si>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</si>
  <si>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</si>
  <si>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</si>
  <si>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</si>
  <si>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</si>
  <si>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</si>
  <si>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</si>
  <si>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</si>
  <si>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</si>
  <si>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</si>
  <si>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</si>
  <si>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</si>
  <si>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</si>
  <si>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</si>
  <si>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</si>
  <si>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</si>
  <si>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</si>
  <si>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</si>
  <si>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</si>
  <si>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</si>
  <si>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</si>
  <si>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</si>
  <si>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</si>
  <si>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</si>
  <si>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</si>
  <si>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</si>
  <si>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</si>
  <si>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</si>
  <si>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</si>
  <si>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</si>
  <si>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</si>
  <si>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</si>
  <si>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</si>
  <si>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</si>
  <si>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</si>
  <si>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</si>
  <si>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</si>
  <si>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</si>
  <si>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</si>
  <si>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</si>
  <si>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</si>
  <si>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</si>
  <si>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</si>
  <si>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</si>
  <si>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</si>
  <si>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</si>
  <si>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</si>
  <si>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</si>
  <si>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</si>
  <si>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</si>
  <si>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</si>
  <si>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</si>
  <si>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</si>
  <si>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</si>
  <si>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</si>
  <si>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</si>
  <si>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</si>
  <si>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</si>
  <si>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</si>
  <si>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</si>
  <si>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</si>
  <si>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</si>
  <si>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</si>
  <si>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</si>
  <si>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</si>
  <si>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</si>
  <si>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</si>
  <si>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</si>
  <si>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</si>
  <si>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</si>
  <si>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</si>
  <si>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</si>
  <si>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</si>
  <si>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</si>
  <si>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</si>
  <si>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</si>
  <si>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</si>
  <si>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</si>
  <si>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</si>
  <si>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</si>
  <si>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</si>
  <si>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</si>
  <si>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</si>
  <si>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</si>
  <si>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</si>
  <si>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</si>
  <si>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</si>
  <si>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</si>
  <si>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</si>
  <si>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</si>
  <si>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</si>
  <si>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</si>
  <si>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</si>
  <si>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</si>
  <si>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</si>
  <si>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</si>
  <si>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</si>
  <si>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</si>
  <si>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</si>
  <si>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</si>
  <si>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</si>
  <si>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</si>
  <si>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</si>
  <si>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</si>
  <si>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</si>
  <si>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</si>
  <si>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</si>
  <si>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</si>
  <si>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</si>
  <si>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</si>
  <si>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</si>
  <si>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</si>
  <si>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</si>
  <si>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</si>
  <si>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</si>
  <si>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</si>
  <si>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</si>
  <si>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</si>
  <si>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</si>
  <si>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</si>
  <si>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</si>
  <si>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</si>
  <si>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</si>
  <si>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</si>
  <si>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</si>
  <si>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</si>
  <si>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</si>
  <si>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</si>
  <si>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</si>
  <si>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</si>
  <si>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</si>
  <si>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</si>
  <si>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</si>
  <si>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</si>
  <si>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</si>
  <si>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</si>
  <si>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</si>
  <si>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</si>
  <si>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</si>
  <si>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</si>
  <si>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</si>
  <si>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</si>
  <si>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</si>
  <si>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</si>
  <si>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</si>
  <si>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</si>
  <si>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</si>
  <si>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</si>
  <si>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</si>
  <si>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</si>
  <si>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</si>
  <si>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</si>
  <si>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</si>
  <si>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</si>
  <si>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</si>
  <si>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</si>
  <si>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</si>
  <si>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</si>
  <si>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</si>
  <si>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</si>
  <si>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</si>
  <si>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</si>
  <si>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</si>
  <si>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</si>
  <si>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</si>
  <si>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</si>
  <si>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</si>
  <si>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</si>
  <si>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</si>
  <si>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</si>
  <si>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</si>
  <si>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</si>
  <si>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</si>
  <si>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</si>
  <si>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</si>
  <si>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</si>
  <si>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</si>
  <si>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</si>
  <si>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</si>
  <si>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</si>
  <si>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</si>
  <si>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</si>
  <si>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</si>
  <si>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</si>
  <si>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</si>
  <si>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</si>
  <si>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</si>
  <si>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</si>
  <si>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</si>
  <si>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</si>
  <si>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</si>
  <si>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</si>
  <si>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</si>
  <si>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</si>
  <si>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</si>
  <si>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</si>
  <si>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</si>
  <si>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</si>
  <si>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</si>
  <si>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</si>
  <si>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</si>
  <si>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</si>
  <si>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</si>
  <si>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</si>
  <si>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</si>
  <si>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</si>
  <si>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</si>
  <si>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</si>
  <si>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</si>
  <si>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</si>
  <si>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</si>
  <si>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</si>
  <si>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</si>
  <si>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</si>
  <si>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</si>
  <si>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</si>
  <si>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</si>
  <si>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</si>
  <si>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</si>
  <si>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</si>
  <si>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</si>
  <si>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</si>
  <si>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</si>
  <si>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</si>
  <si>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</si>
  <si>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</si>
  <si>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</si>
  <si>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</si>
  <si>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</si>
  <si>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</si>
  <si>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</si>
  <si>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</si>
  <si>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</si>
  <si>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</si>
  <si>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</si>
  <si>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</si>
  <si>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</si>
  <si>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</si>
  <si>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</si>
  <si>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</si>
  <si>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</si>
  <si>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</si>
  <si>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</si>
  <si>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</si>
  <si>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</si>
  <si>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</si>
  <si>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</si>
  <si>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</si>
  <si>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</si>
  <si>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</si>
  <si>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</si>
  <si>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</si>
  <si>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</si>
  <si>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</si>
  <si>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</si>
  <si>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</si>
  <si>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</si>
  <si>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</si>
  <si>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</si>
  <si>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</si>
  <si>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</si>
  <si>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</si>
  <si>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</si>
  <si>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</si>
  <si>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</si>
  <si>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</si>
  <si>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</si>
  <si>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</si>
  <si>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</si>
  <si>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</si>
  <si>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</si>
  <si>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</si>
  <si>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</si>
  <si>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</si>
  <si>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</si>
  <si>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</si>
  <si>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</si>
  <si>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</si>
  <si>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</si>
  <si>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</si>
  <si>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</si>
  <si>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</si>
  <si>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</si>
  <si>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</si>
  <si>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</si>
  <si>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</si>
  <si>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</si>
  <si>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</si>
  <si>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</si>
  <si>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</si>
  <si>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</si>
  <si>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</si>
  <si>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</si>
  <si>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</si>
  <si>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</si>
  <si>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</si>
  <si>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</si>
  <si>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</si>
  <si>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</si>
  <si>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</si>
  <si>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</si>
  <si>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</si>
  <si>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</si>
  <si>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</si>
  <si>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</si>
  <si>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</si>
  <si>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</si>
  <si>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</si>
  <si>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</si>
  <si>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</si>
  <si>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</si>
  <si>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</si>
  <si>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</si>
  <si>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</si>
  <si>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</si>
  <si>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</si>
  <si>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</si>
  <si>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</si>
  <si>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</si>
  <si>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</si>
  <si>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</si>
  <si>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</si>
  <si>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</si>
  <si>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</si>
  <si>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</si>
  <si>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</si>
  <si>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</si>
  <si>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</si>
  <si>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</si>
  <si>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</si>
  <si>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</si>
  <si>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</si>
  <si>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</si>
  <si>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</si>
  <si>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</si>
  <si>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</si>
  <si>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</si>
  <si>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</si>
  <si>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</si>
  <si>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</si>
  <si>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</si>
  <si>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</si>
  <si>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</si>
  <si>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</si>
  <si>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</si>
  <si>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</si>
  <si>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</si>
  <si>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</si>
  <si>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</si>
  <si>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</si>
  <si>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</si>
  <si>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</si>
  <si>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</si>
  <si>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</si>
  <si>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</si>
  <si>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</si>
  <si>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</si>
  <si>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</si>
  <si>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</si>
  <si>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</si>
  <si>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</si>
  <si>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</si>
  <si>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</si>
  <si>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</si>
  <si>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</si>
  <si>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</si>
  <si>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</si>
  <si>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</si>
  <si>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</si>
  <si>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</si>
  <si>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</si>
  <si>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</si>
  <si>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</si>
  <si>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</si>
  <si>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</si>
  <si>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</si>
  <si>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</si>
  <si>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</si>
  <si>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</si>
  <si>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</si>
  <si>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</si>
  <si>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</si>
  <si>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</si>
  <si>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</si>
  <si>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</si>
  <si>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</si>
  <si>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</si>
  <si>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</si>
  <si>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</si>
  <si>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</si>
  <si>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</si>
  <si>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</si>
  <si>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</si>
  <si>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</si>
  <si>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</si>
  <si>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</si>
  <si>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</si>
  <si>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</si>
  <si>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</si>
  <si>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</si>
  <si>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</si>
  <si>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</si>
  <si>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</si>
  <si>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</si>
  <si>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</si>
  <si>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</si>
  <si>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</si>
  <si>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</si>
  <si>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</si>
  <si>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</si>
  <si>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</si>
  <si>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</si>
  <si>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</si>
  <si>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</si>
  <si>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</si>
  <si>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</si>
  <si>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</si>
  <si>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</si>
  <si>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</si>
  <si>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</si>
  <si>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</si>
  <si>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</si>
  <si>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</si>
  <si>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</si>
  <si>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</si>
  <si>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</si>
  <si>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</si>
  <si>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</si>
  <si>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</si>
  <si>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</si>
  <si>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</si>
  <si>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</si>
  <si>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</si>
  <si>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</si>
  <si>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</si>
  <si>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</si>
  <si>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</si>
  <si>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</si>
  <si>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</si>
  <si>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</si>
  <si>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</si>
  <si>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</si>
  <si>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</si>
  <si>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</si>
  <si>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</si>
  <si>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</si>
  <si>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</si>
  <si>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</si>
  <si>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</si>
  <si>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</si>
  <si>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</si>
  <si>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</si>
  <si>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</si>
  <si>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</si>
  <si>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</si>
  <si>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</si>
  <si>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</si>
  <si>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</si>
  <si>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</si>
  <si>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</si>
  <si>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</si>
  <si>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</si>
  <si>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</si>
  <si>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</si>
  <si>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</si>
  <si>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</si>
  <si>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</si>
  <si>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</si>
  <si>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</si>
  <si>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</si>
  <si>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</si>
  <si>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</si>
  <si>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</si>
  <si>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</si>
  <si>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</si>
  <si>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</si>
  <si>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</si>
  <si>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</si>
  <si>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</si>
  <si>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</si>
  <si>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</si>
  <si>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</si>
  <si>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</si>
  <si>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</si>
  <si>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</si>
  <si>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</si>
  <si>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</si>
  <si>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</si>
  <si>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</si>
  <si>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</si>
  <si>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</si>
  <si>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</si>
  <si>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</si>
  <si>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</si>
  <si>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</si>
  <si>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</si>
  <si>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</si>
  <si>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</si>
  <si>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</si>
  <si>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</si>
  <si>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</si>
  <si>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</si>
  <si>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</si>
  <si>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</si>
  <si>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</si>
  <si>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</si>
  <si>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</si>
  <si>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</si>
  <si>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</si>
  <si>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</si>
  <si>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</si>
  <si>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</si>
  <si>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</si>
  <si>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</si>
  <si>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</si>
  <si>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</si>
  <si>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</si>
  <si>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</si>
  <si>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</si>
  <si>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</si>
  <si>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</si>
  <si>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</si>
  <si>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</si>
  <si>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</si>
  <si>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</si>
  <si>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</si>
  <si>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</si>
  <si>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</si>
  <si>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</si>
  <si>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</si>
  <si>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</si>
  <si>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</si>
  <si>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</si>
  <si>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</si>
  <si>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</si>
  <si>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</si>
  <si>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</si>
  <si>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</si>
  <si>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</si>
  <si>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</si>
  <si>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</si>
  <si>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</si>
  <si>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</si>
  <si>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</si>
  <si>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</si>
  <si>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</si>
  <si>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</si>
  <si>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</si>
  <si>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</si>
  <si>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</si>
  <si>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</si>
  <si>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</si>
  <si>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</si>
  <si>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</si>
  <si>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</si>
  <si>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</si>
  <si>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</si>
  <si>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</si>
  <si>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</si>
  <si>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</si>
  <si>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</si>
  <si>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</si>
  <si>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</si>
  <si>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</si>
  <si>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</si>
  <si>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</si>
  <si>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</si>
  <si>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</si>
  <si>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</si>
  <si>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</si>
  <si>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</si>
  <si>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</si>
  <si>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</si>
  <si>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</si>
  <si>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</si>
  <si>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</si>
  <si>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</si>
  <si>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</si>
  <si>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</si>
  <si>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</si>
  <si>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</si>
  <si>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</si>
  <si>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</si>
  <si>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</si>
  <si>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</si>
  <si>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</si>
  <si>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</si>
  <si>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</si>
  <si>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</si>
  <si>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</si>
  <si>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</si>
  <si>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</si>
  <si>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</si>
  <si>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</si>
  <si>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</si>
  <si>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</si>
  <si>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</si>
  <si>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</si>
  <si>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</si>
  <si>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</si>
  <si>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</si>
  <si>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</si>
  <si>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</si>
  <si>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</si>
  <si>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</si>
  <si>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</si>
  <si>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</si>
  <si>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</si>
  <si>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</si>
  <si>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</si>
  <si>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</si>
  <si>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</si>
  <si>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</si>
  <si>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</si>
  <si>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</si>
  <si>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</si>
  <si>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</si>
  <si>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</si>
  <si>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</si>
  <si>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</si>
  <si>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</si>
  <si>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</si>
  <si>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</si>
  <si>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</si>
  <si>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</si>
  <si>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</si>
  <si>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</si>
  <si>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</si>
  <si>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</si>
  <si>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</si>
  <si>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</si>
  <si>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</si>
  <si>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</si>
  <si>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</si>
  <si>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</si>
  <si>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</si>
  <si>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</si>
  <si>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</si>
  <si>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</si>
  <si>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</si>
  <si>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</si>
  <si>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</si>
  <si>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</si>
  <si>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</si>
  <si>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</si>
  <si>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</si>
  <si>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</si>
  <si>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</si>
  <si>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</si>
  <si>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</si>
  <si>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</si>
  <si>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</si>
  <si>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</si>
  <si>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</si>
  <si>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</si>
  <si>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</si>
  <si>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</si>
  <si>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</si>
  <si>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</si>
  <si>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</si>
  <si>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</si>
  <si>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</si>
  <si>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</si>
  <si>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</si>
  <si>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</si>
  <si>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</si>
  <si>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</si>
  <si>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</si>
  <si>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</si>
  <si>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</si>
  <si>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</si>
  <si>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</si>
  <si>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</si>
  <si>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</si>
  <si>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</si>
  <si>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</si>
  <si>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</si>
  <si>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</si>
  <si>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</si>
  <si>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</si>
  <si>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</si>
  <si>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</si>
  <si>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</si>
  <si>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</si>
  <si>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</si>
  <si>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</si>
  <si>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</si>
  <si>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</si>
  <si>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</si>
  <si>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</si>
  <si>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</si>
  <si>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</si>
  <si>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</si>
  <si>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</si>
  <si>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</si>
  <si>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</si>
  <si>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</si>
  <si>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</si>
  <si>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</si>
  <si>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</si>
  <si>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</si>
  <si>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</si>
  <si>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</si>
  <si>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</si>
  <si>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</si>
  <si>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</si>
  <si>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</si>
  <si>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</si>
  <si>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</si>
  <si>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</si>
  <si>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</si>
  <si>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</si>
  <si>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</si>
  <si>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</si>
  <si>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</si>
  <si>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</si>
  <si>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</si>
  <si>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</si>
  <si>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</si>
  <si>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</si>
  <si>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</si>
  <si>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</si>
  <si>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</si>
  <si>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</si>
  <si>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</si>
  <si>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</si>
  <si>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</si>
  <si>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</si>
  <si>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</si>
  <si>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</si>
  <si>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</si>
  <si>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</si>
  <si>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</si>
  <si>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</si>
  <si>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</si>
  <si>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</si>
  <si>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</si>
  <si>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</si>
  <si>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</si>
  <si>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</si>
  <si>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</si>
  <si>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</si>
  <si>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</si>
  <si>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</si>
  <si>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</si>
  <si>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</si>
  <si>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</si>
  <si>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</si>
  <si>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</si>
  <si>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</si>
  <si>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</si>
  <si>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</si>
  <si>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</si>
  <si>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</si>
  <si>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</si>
  <si>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</si>
  <si>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</si>
  <si>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</si>
  <si>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</si>
  <si>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</si>
  <si>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</si>
  <si>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</si>
  <si>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</si>
  <si>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</si>
  <si>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</si>
  <si>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</si>
  <si>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</si>
  <si>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</si>
  <si>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</si>
  <si>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</si>
  <si>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</si>
  <si>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</si>
  <si>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</si>
  <si>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</si>
  <si>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</si>
  <si>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</si>
  <si>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</si>
  <si>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</si>
  <si>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</si>
  <si>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</si>
  <si>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</si>
  <si>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</si>
  <si>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</si>
  <si>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</si>
  <si>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</si>
  <si>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</si>
  <si>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</si>
  <si>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</si>
  <si>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</si>
  <si>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</si>
  <si>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</si>
  <si>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</si>
  <si>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</si>
  <si>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</si>
  <si>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</si>
  <si>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</si>
  <si>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</si>
  <si>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</si>
  <si>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</si>
  <si>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</si>
  <si>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</si>
  <si>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</si>
  <si>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</si>
  <si>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</si>
  <si>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</si>
  <si>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</si>
  <si>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</si>
  <si>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</si>
  <si>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</si>
  <si>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</si>
  <si>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</si>
  <si>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</si>
  <si>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</si>
  <si>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</si>
  <si>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</si>
  <si>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</si>
  <si>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</si>
  <si>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</si>
  <si>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</si>
  <si>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</si>
  <si>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</si>
  <si>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</si>
  <si>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</si>
  <si>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</si>
  <si>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</si>
  <si>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</si>
  <si>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</si>
  <si>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</si>
  <si>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</si>
  <si>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</si>
  <si>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</si>
  <si>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</si>
  <si>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</si>
  <si>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</si>
  <si>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</si>
  <si>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</si>
  <si>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</si>
  <si>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</si>
  <si>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</si>
  <si>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</si>
  <si>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</si>
  <si>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</si>
  <si>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</si>
  <si>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</si>
  <si>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</si>
  <si>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</si>
  <si>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</si>
  <si>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</si>
  <si>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</si>
  <si>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</si>
  <si>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</si>
  <si>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</si>
  <si>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</si>
  <si>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</si>
  <si>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</si>
  <si>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</si>
  <si>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</si>
  <si>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</si>
  <si>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</si>
  <si>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</si>
  <si>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</si>
  <si>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</si>
  <si>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</si>
  <si>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</si>
  <si>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</si>
  <si>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</si>
  <si>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</si>
  <si>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</si>
  <si>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</si>
  <si>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</si>
  <si>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</si>
  <si>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</si>
  <si>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</si>
  <si>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</si>
  <si>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</si>
  <si>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</si>
  <si>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</si>
  <si>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</si>
  <si>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</si>
  <si>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</si>
  <si>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</si>
  <si>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</si>
  <si>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</si>
  <si>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</si>
  <si>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</si>
  <si>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</si>
  <si>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</si>
  <si>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</si>
  <si>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</si>
  <si>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</si>
  <si>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</si>
  <si>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</si>
  <si>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</si>
  <si>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</si>
  <si>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</si>
  <si>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</si>
  <si>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</si>
  <si>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</si>
  <si>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</si>
  <si>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</si>
  <si>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</si>
  <si>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</si>
  <si>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</si>
  <si>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</si>
  <si>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</si>
  <si>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</si>
  <si>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</si>
  <si>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</si>
  <si>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</si>
  <si>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</si>
  <si>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</si>
  <si>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</si>
  <si>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</si>
  <si>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</si>
  <si>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</si>
  <si>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</si>
  <si>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</si>
  <si>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</si>
  <si>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</si>
  <si>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</si>
  <si>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</si>
  <si>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</si>
  <si>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</si>
  <si>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</si>
  <si>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</si>
  <si>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</si>
  <si>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</si>
  <si>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</si>
  <si>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</si>
  <si>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</si>
  <si>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</si>
  <si>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</si>
  <si>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</si>
  <si>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</si>
  <si>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</si>
  <si>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</si>
  <si>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</si>
  <si>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</si>
  <si>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</si>
  <si>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</si>
  <si>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</si>
  <si>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</si>
  <si>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</si>
  <si>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</si>
  <si>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</si>
  <si>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</si>
  <si>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</si>
  <si>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</si>
  <si>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</si>
  <si>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</si>
  <si>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</si>
  <si>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</si>
  <si>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</si>
  <si>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</si>
  <si>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</si>
  <si>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</si>
  <si>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</si>
  <si>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</si>
  <si>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</si>
  <si>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</si>
  <si>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</si>
  <si>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</si>
  <si>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</si>
  <si>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</si>
  <si>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</si>
  <si>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</si>
  <si>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</si>
  <si>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</si>
  <si>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</si>
  <si>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</si>
  <si>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</si>
  <si>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</si>
  <si>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</si>
  <si>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</si>
  <si>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</si>
  <si>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</si>
  <si>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</si>
  <si>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</si>
  <si>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</si>
  <si>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</si>
  <si>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</si>
  <si>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</si>
  <si>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</si>
  <si>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</si>
  <si>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</si>
  <si>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</si>
  <si>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</si>
  <si>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</si>
  <si>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</si>
  <si>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</si>
  <si>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</si>
  <si>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</si>
  <si>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</si>
  <si>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</si>
  <si>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</si>
  <si>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</si>
  <si>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</si>
  <si>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</si>
  <si>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</si>
  <si>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</si>
  <si>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</si>
  <si>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</si>
  <si>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</si>
  <si>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</si>
  <si>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</si>
  <si>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</si>
  <si>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</si>
  <si>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</si>
  <si>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</si>
  <si>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</si>
  <si>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</si>
  <si>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</si>
  <si>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</si>
  <si>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</si>
  <si>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</si>
  <si>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</si>
  <si>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</si>
  <si>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</si>
  <si>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</si>
  <si>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</si>
  <si>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</si>
  <si>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</si>
  <si>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</si>
  <si>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</si>
  <si>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</si>
  <si>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</si>
  <si>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</si>
  <si>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</si>
  <si>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</si>
  <si>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</si>
  <si>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</si>
  <si>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</si>
  <si>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</si>
  <si>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</si>
  <si>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</si>
  <si>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</si>
  <si>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</si>
  <si>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</si>
  <si>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</si>
  <si>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</si>
  <si>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</si>
  <si>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</si>
  <si>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</si>
  <si>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</si>
  <si>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</si>
  <si>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</si>
  <si>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</si>
  <si>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</si>
  <si>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</si>
  <si>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</si>
  <si>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</si>
  <si>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</si>
  <si>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</si>
  <si>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</si>
  <si>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</si>
  <si>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</si>
  <si>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</si>
  <si>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</si>
  <si>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</si>
  <si>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</si>
  <si>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</si>
  <si>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</si>
  <si>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</si>
  <si>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</si>
  <si>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</si>
  <si>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</si>
  <si>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</si>
  <si>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</si>
  <si>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</si>
  <si>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</si>
  <si>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</si>
  <si>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</si>
  <si>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</si>
  <si>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</si>
  <si>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</si>
  <si>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</si>
  <si>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</si>
  <si>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</si>
  <si>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</si>
  <si>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</si>
  <si>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</si>
  <si>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</si>
  <si>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</si>
  <si>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</si>
  <si>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</si>
  <si>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</si>
  <si>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</si>
  <si>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</si>
  <si>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</si>
  <si>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</si>
  <si>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</si>
  <si>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</si>
  <si>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</si>
  <si>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</si>
  <si>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</si>
  <si>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</si>
  <si>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</si>
  <si>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</si>
  <si>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</si>
  <si>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</si>
  <si>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</si>
  <si>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</si>
  <si>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</si>
  <si>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</si>
  <si>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</si>
  <si>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</si>
  <si>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</si>
  <si>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</si>
  <si>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</si>
  <si>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</si>
  <si>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</si>
  <si>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</si>
  <si>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</si>
  <si>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</si>
  <si>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</si>
  <si>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</si>
  <si>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</si>
  <si>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</si>
  <si>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</si>
  <si>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</si>
  <si>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</si>
  <si>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</si>
  <si>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</si>
  <si>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</si>
  <si>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</si>
  <si>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</si>
  <si>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</si>
  <si>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</si>
  <si>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</si>
  <si>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</si>
  <si>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</si>
  <si>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</si>
  <si>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</si>
  <si>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</si>
  <si>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</si>
  <si>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</si>
  <si>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</si>
  <si>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</si>
  <si>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</si>
  <si>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</si>
  <si>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</si>
  <si>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</si>
  <si>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</si>
  <si>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</si>
  <si>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</si>
  <si>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</si>
  <si>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</si>
  <si>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</si>
  <si>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</si>
  <si>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</si>
  <si>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</si>
  <si>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</si>
  <si>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</si>
  <si>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</si>
  <si>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</si>
  <si>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</si>
  <si>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</si>
  <si>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</si>
  <si>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</si>
  <si>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</si>
  <si>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</si>
  <si>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</si>
  <si>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</si>
  <si>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</si>
  <si>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</si>
  <si>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</si>
  <si>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</si>
  <si>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</si>
  <si>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</si>
  <si>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</si>
  <si>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</si>
  <si>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</si>
  <si>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</si>
  <si>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</si>
  <si>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</si>
  <si>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</si>
  <si>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</si>
  <si>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</si>
  <si>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</si>
  <si>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</si>
  <si>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</si>
  <si>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</si>
  <si>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</si>
  <si>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</si>
  <si>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</si>
  <si>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</si>
  <si>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</si>
  <si>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</si>
  <si>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</si>
  <si>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</si>
  <si>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</si>
  <si>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</si>
  <si>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</si>
  <si>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</si>
  <si>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</si>
  <si>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</si>
  <si>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</si>
  <si>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</si>
  <si>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</si>
  <si>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</si>
  <si>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</si>
  <si>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</si>
  <si>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</si>
  <si>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</si>
  <si>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</si>
  <si>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</si>
  <si>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</si>
  <si>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</si>
  <si>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</si>
  <si>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</si>
  <si>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</si>
  <si>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</si>
  <si>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</si>
  <si>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</si>
  <si>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</si>
  <si>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</si>
  <si>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</si>
  <si>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</si>
  <si>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</si>
  <si>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</si>
  <si>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</si>
  <si>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</si>
  <si>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</si>
  <si>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</si>
  <si>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</si>
  <si>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</si>
  <si>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</si>
  <si>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</si>
  <si>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</si>
  <si>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</si>
  <si>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</si>
  <si>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</si>
  <si>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</si>
  <si>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</si>
  <si>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</si>
  <si>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</si>
  <si>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</si>
  <si>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</si>
  <si>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</si>
  <si>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</si>
  <si>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</si>
  <si>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</si>
  <si>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</si>
  <si>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</si>
  <si>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</si>
  <si>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</si>
  <si>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</si>
  <si>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</si>
  <si>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</si>
  <si>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</si>
  <si>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</si>
  <si>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</si>
  <si>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</si>
  <si>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</si>
  <si>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</si>
  <si>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</si>
  <si>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</si>
  <si>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</si>
  <si>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</si>
  <si>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</si>
  <si>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</si>
  <si>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</si>
  <si>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</si>
  <si>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</si>
  <si>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</si>
  <si>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</si>
  <si>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</si>
  <si>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</si>
  <si>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</si>
  <si>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</si>
  <si>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</si>
  <si>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</si>
  <si>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</si>
  <si>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</si>
  <si>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</si>
  <si>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</si>
  <si>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</si>
  <si>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</si>
  <si>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</si>
  <si>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</si>
  <si>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</si>
  <si>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</si>
  <si>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</si>
  <si>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</si>
  <si>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</si>
  <si>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</si>
  <si>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</si>
  <si>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</si>
  <si>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</si>
  <si>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</si>
  <si>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</si>
  <si>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</si>
  <si>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</si>
  <si>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</si>
  <si>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</si>
  <si>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</si>
  <si>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</si>
  <si>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</si>
  <si>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</si>
  <si>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</si>
  <si>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</si>
  <si>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</si>
  <si>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</si>
  <si>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</si>
  <si>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</si>
  <si>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</si>
  <si>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</si>
  <si>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</si>
  <si>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</si>
  <si>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</si>
  <si>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</si>
  <si>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</si>
  <si>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</si>
  <si>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</si>
  <si>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</si>
  <si>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</si>
  <si>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</si>
  <si>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</si>
  <si>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</si>
  <si>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</si>
  <si>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</si>
  <si>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</si>
  <si>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</si>
  <si>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</si>
  <si>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</si>
  <si>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</si>
  <si>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</si>
  <si>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</si>
  <si>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</si>
  <si>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</si>
  <si>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</si>
  <si>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</si>
  <si>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</si>
  <si>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</si>
  <si>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</si>
  <si>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</si>
  <si>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</si>
  <si>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</si>
  <si>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</si>
  <si>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</si>
  <si>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</si>
  <si>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</si>
  <si>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</si>
  <si>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</si>
  <si>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</si>
  <si>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</si>
  <si>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</si>
  <si>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</si>
  <si>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</si>
  <si>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</si>
  <si>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</si>
  <si>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</si>
  <si>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</si>
  <si>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</si>
  <si>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</si>
  <si>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</si>
  <si>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</si>
  <si>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</si>
  <si>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</si>
  <si>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</si>
  <si>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</si>
  <si>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</si>
  <si>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</si>
  <si>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</si>
  <si>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</si>
  <si>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</si>
  <si>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</si>
  <si>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</si>
  <si>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</si>
  <si>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</si>
  <si>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</si>
  <si>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</si>
  <si>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</si>
  <si>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</si>
  <si>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</si>
  <si>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</si>
  <si>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</si>
  <si>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</si>
  <si>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</si>
  <si>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</si>
  <si>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</si>
  <si>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</si>
  <si>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</si>
  <si>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</si>
  <si>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</si>
  <si>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</si>
  <si>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</si>
  <si>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</si>
  <si>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</si>
  <si>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</si>
  <si>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</si>
  <si>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</si>
  <si>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</si>
  <si>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</si>
  <si>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</si>
  <si>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</si>
  <si>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</si>
  <si>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</si>
  <si>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</si>
  <si>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</si>
  <si>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</si>
  <si>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</si>
  <si>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</si>
  <si>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</si>
  <si>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</si>
  <si>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</si>
  <si>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</si>
  <si>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</si>
  <si>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</si>
  <si>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</si>
  <si>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</si>
  <si>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</si>
  <si>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</si>
  <si>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</si>
  <si>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</si>
  <si>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</si>
  <si>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</si>
  <si>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</si>
  <si>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</si>
  <si>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</si>
  <si>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</si>
  <si>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</si>
  <si>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</si>
  <si>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</si>
  <si>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</si>
  <si>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</si>
  <si>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</si>
  <si>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</si>
  <si>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</si>
  <si>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</si>
  <si>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</si>
  <si>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</si>
  <si>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</si>
  <si>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</si>
  <si>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</si>
  <si>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</si>
  <si>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</si>
  <si>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</si>
  <si>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</si>
  <si>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</si>
  <si>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</si>
  <si>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</si>
  <si>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</si>
  <si>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</si>
  <si>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</si>
  <si>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</si>
  <si>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</si>
  <si>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</si>
  <si>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</si>
  <si>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</si>
  <si>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</si>
  <si>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</si>
  <si>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</si>
  <si>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</si>
  <si>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</si>
  <si>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</si>
  <si>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</si>
  <si>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</si>
  <si>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</si>
  <si>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</si>
  <si>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</si>
  <si>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</si>
  <si>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</si>
  <si>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</si>
  <si>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</si>
  <si>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</si>
  <si>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</si>
  <si>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</si>
  <si>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</si>
  <si>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</si>
  <si>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</si>
  <si>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</si>
  <si>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</si>
  <si>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</si>
  <si>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</si>
  <si>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</si>
  <si>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</si>
  <si>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</si>
  <si>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</si>
  <si>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</si>
  <si>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</si>
  <si>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</si>
  <si>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</si>
  <si>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</si>
  <si>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</si>
  <si>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</si>
  <si>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</si>
  <si>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</si>
  <si>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</si>
  <si>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</si>
  <si>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</si>
  <si>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</si>
  <si>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</si>
  <si>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</si>
  <si>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</si>
  <si>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</si>
  <si>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</si>
  <si>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</si>
  <si>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</si>
  <si>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</si>
  <si>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</si>
  <si>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</si>
  <si>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</si>
  <si>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</si>
  <si>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</si>
  <si>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</si>
  <si>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</si>
  <si>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</si>
  <si>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</si>
  <si>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</si>
  <si>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</si>
  <si>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</si>
  <si>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</si>
  <si>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</si>
  <si>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</si>
  <si>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</si>
  <si>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</si>
  <si>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</si>
  <si>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</si>
  <si>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</si>
  <si>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</si>
  <si>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</si>
  <si>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</si>
  <si>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</si>
  <si>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</si>
  <si>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</si>
  <si>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</si>
  <si>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</si>
  <si>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</si>
  <si>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</si>
  <si>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</si>
  <si>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</si>
  <si>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</si>
  <si>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</si>
  <si>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</si>
  <si>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</si>
  <si>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</si>
  <si>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</si>
  <si>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</si>
  <si>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</si>
  <si>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</si>
  <si>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</si>
  <si>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</si>
  <si>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</si>
  <si>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</si>
  <si>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</si>
  <si>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</si>
  <si>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</si>
  <si>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</si>
  <si>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</si>
  <si>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</si>
  <si>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</si>
  <si>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</si>
  <si>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</si>
  <si>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</si>
  <si>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</si>
  <si>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</si>
  <si>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</si>
  <si>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</si>
  <si>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</si>
  <si>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</si>
  <si>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</si>
  <si>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</si>
  <si>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</si>
  <si>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</si>
  <si>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</si>
  <si>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</si>
  <si>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</si>
  <si>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</si>
  <si>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</si>
  <si>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</si>
  <si>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</si>
  <si>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</si>
  <si>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</si>
  <si>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</si>
  <si>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</si>
  <si>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</si>
  <si>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</si>
  <si>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</si>
  <si>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</si>
  <si>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</si>
  <si>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</si>
  <si>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</si>
  <si>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</si>
  <si>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</si>
  <si>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</si>
  <si>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</si>
  <si>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</si>
  <si>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</si>
  <si>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</si>
  <si>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</si>
  <si>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</si>
  <si>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</si>
  <si>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</si>
  <si>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</si>
  <si>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</si>
  <si>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</si>
  <si>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</si>
  <si>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</si>
  <si>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</si>
  <si>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</si>
  <si>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</si>
  <si>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</si>
  <si>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</si>
  <si>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</si>
  <si>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</si>
  <si>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</si>
  <si>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</si>
  <si>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</si>
  <si>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</si>
  <si>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</si>
  <si>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</si>
  <si>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</si>
  <si>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</si>
  <si>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</si>
  <si>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</si>
  <si>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</si>
  <si>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</si>
  <si>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</si>
  <si>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</si>
  <si>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</si>
  <si>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</si>
  <si>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</si>
  <si>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</si>
  <si>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</si>
  <si>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</si>
  <si>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</si>
  <si>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</si>
  <si>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</si>
  <si>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</si>
  <si>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</si>
  <si>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</si>
  <si>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</si>
  <si>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</si>
  <si>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</si>
  <si>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</si>
  <si>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</si>
  <si>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</si>
  <si>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</si>
  <si>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</si>
  <si>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</si>
  <si>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</si>
  <si>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</si>
  <si>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</si>
  <si>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</si>
  <si>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</si>
  <si>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</si>
  <si>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</si>
  <si>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</si>
  <si>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</si>
  <si>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</si>
  <si>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</si>
  <si>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</si>
  <si>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</si>
  <si>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</si>
  <si>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</si>
  <si>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</si>
  <si>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</si>
  <si>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</si>
  <si>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</si>
  <si>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</si>
  <si>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</si>
  <si>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</si>
  <si>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</si>
  <si>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</si>
  <si>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</si>
  <si>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</si>
  <si>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</si>
  <si>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</si>
  <si>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</si>
  <si>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</si>
  <si>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</si>
  <si>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</si>
  <si>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</si>
  <si>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</si>
  <si>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</si>
  <si>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</si>
  <si>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</si>
  <si>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</si>
  <si>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</si>
  <si>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</si>
  <si>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</si>
  <si>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</si>
  <si>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</si>
  <si>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</si>
  <si>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</si>
  <si>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</si>
  <si>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</si>
  <si>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</si>
  <si>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</si>
  <si>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</si>
  <si>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</si>
  <si>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</si>
  <si>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</si>
  <si>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</si>
  <si>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</si>
  <si>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</si>
  <si>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</si>
  <si>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</si>
  <si>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</si>
  <si>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</si>
  <si>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</si>
  <si>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</si>
  <si>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</si>
  <si>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</si>
  <si>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</si>
  <si>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</si>
  <si>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</si>
  <si>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</si>
  <si>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</si>
  <si>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</si>
  <si>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</si>
  <si>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</si>
  <si>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</si>
  <si>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</si>
  <si>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</si>
  <si>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</si>
  <si>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</si>
  <si>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</si>
  <si>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</si>
  <si>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</si>
  <si>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</si>
  <si>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</si>
  <si>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</si>
  <si>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</si>
  <si>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</si>
  <si>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</si>
  <si>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</si>
  <si>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</si>
  <si>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</si>
  <si>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</si>
  <si>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</si>
  <si>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</si>
  <si>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</si>
  <si>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</si>
  <si>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</si>
  <si>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</si>
  <si>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</si>
  <si>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</si>
  <si>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</si>
  <si>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</si>
  <si>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</si>
  <si>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</si>
  <si>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</si>
  <si>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</si>
  <si>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</si>
  <si>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</si>
  <si>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</si>
  <si>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</si>
  <si>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</si>
  <si>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</si>
  <si>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</si>
  <si>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</si>
  <si>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</si>
  <si>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</si>
  <si>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</si>
  <si>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</si>
  <si>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</si>
  <si>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</si>
  <si>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</si>
  <si>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</si>
  <si>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</si>
  <si>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</si>
  <si>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</si>
  <si>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</si>
  <si>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</si>
  <si>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</si>
  <si>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</si>
  <si>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</si>
  <si>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</si>
  <si>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</si>
  <si>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</si>
  <si>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</si>
  <si>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</si>
  <si>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</si>
  <si>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</si>
  <si>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</si>
  <si>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</si>
  <si>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</si>
  <si>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</si>
  <si>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</si>
  <si>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</si>
  <si>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</si>
  <si>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</si>
  <si>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</si>
  <si>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</si>
  <si>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</si>
  <si>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</si>
  <si>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</si>
  <si>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</si>
  <si>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</si>
  <si>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</si>
  <si>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</si>
  <si>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</si>
  <si>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</si>
  <si>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</si>
  <si>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</si>
  <si>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</si>
  <si>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</si>
  <si>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</si>
  <si>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</si>
  <si>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</si>
  <si>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</si>
  <si>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</si>
  <si>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</si>
  <si>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</si>
  <si>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</si>
  <si>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</si>
  <si>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</si>
  <si>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</si>
  <si>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</si>
  <si>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</si>
  <si>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</si>
  <si>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</si>
  <si>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</si>
  <si>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</si>
  <si>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</si>
  <si>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</si>
  <si>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</si>
  <si>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</si>
  <si>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</si>
  <si>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</si>
  <si>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</si>
  <si>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</si>
  <si>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</si>
  <si>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</si>
  <si>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</si>
  <si>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</si>
  <si>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</si>
  <si>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</si>
  <si>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</si>
  <si>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</si>
  <si>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</si>
  <si>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</si>
  <si>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</si>
  <si>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</si>
  <si>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</si>
  <si>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</si>
  <si>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</si>
  <si>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</si>
  <si>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</si>
  <si>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</si>
  <si>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</si>
  <si>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</si>
  <si>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</si>
  <si>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</si>
  <si>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</si>
  <si>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</si>
  <si>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</si>
  <si>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</si>
  <si>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</si>
  <si>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</si>
  <si>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</si>
  <si>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</si>
  <si>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</si>
  <si>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</si>
  <si>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</si>
  <si>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</si>
  <si>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</si>
  <si>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</si>
  <si>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</si>
  <si>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</si>
  <si>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</si>
  <si>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</si>
  <si>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</si>
  <si>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</si>
  <si>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</si>
  <si>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</si>
  <si>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</si>
  <si>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</si>
  <si>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</si>
  <si>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</si>
  <si>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</si>
  <si>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</si>
  <si>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</si>
  <si>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</si>
  <si>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</si>
  <si>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</si>
  <si>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</si>
  <si>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</si>
  <si>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</si>
  <si>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</si>
  <si>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</si>
  <si>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</si>
  <si>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</si>
  <si>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</si>
  <si>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</si>
  <si>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</si>
  <si>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</si>
  <si>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</si>
  <si>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</si>
  <si>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</si>
  <si>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</si>
  <si>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</si>
  <si>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</si>
  <si>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</si>
  <si>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</si>
  <si>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</si>
  <si>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</si>
  <si>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</si>
  <si>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</si>
  <si>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</si>
  <si>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</si>
  <si>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</si>
  <si>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</si>
  <si>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</si>
  <si>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</si>
  <si>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</si>
  <si>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</si>
  <si>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</si>
  <si>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</si>
  <si>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</si>
  <si>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</si>
  <si>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</si>
  <si>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</si>
  <si>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</si>
  <si>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</si>
  <si>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</si>
  <si>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</si>
  <si>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</si>
  <si>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</si>
  <si>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</si>
  <si>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</si>
  <si>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</si>
  <si>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</si>
  <si>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</si>
  <si>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</si>
  <si>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</si>
  <si>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</si>
  <si>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</si>
  <si>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</si>
  <si>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</si>
  <si>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</si>
  <si>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</si>
  <si>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</si>
  <si>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</si>
  <si>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</si>
  <si>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</si>
  <si>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</si>
  <si>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</si>
  <si>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</si>
  <si>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</si>
  <si>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</si>
  <si>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</si>
  <si>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</si>
  <si>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</si>
  <si>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</si>
  <si>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</si>
  <si>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</si>
  <si>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</si>
  <si>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</si>
  <si>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</si>
  <si>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</si>
  <si>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</si>
  <si>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</si>
  <si>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</si>
  <si>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</si>
  <si>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</si>
  <si>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</si>
  <si>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</si>
  <si>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</si>
  <si>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</si>
  <si>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</si>
  <si>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</si>
  <si>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</si>
  <si>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</si>
  <si>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</si>
  <si>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</si>
  <si>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</si>
  <si>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</si>
  <si>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</si>
  <si>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</si>
  <si>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</si>
  <si>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</si>
  <si>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</si>
  <si>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</si>
  <si>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</si>
  <si>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</si>
  <si>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</si>
  <si>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</si>
  <si>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</si>
  <si>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</si>
  <si>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</si>
  <si>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</si>
  <si>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</si>
  <si>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</si>
  <si>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</si>
  <si>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</si>
  <si>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</si>
  <si>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</si>
  <si>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</si>
  <si>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</si>
  <si>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</si>
  <si>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</si>
  <si>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</si>
  <si>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</si>
  <si>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</si>
  <si>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</si>
  <si>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</si>
  <si>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</si>
  <si>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</si>
  <si>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</si>
  <si>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</si>
  <si>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</si>
  <si>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</si>
  <si>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</si>
  <si>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</si>
  <si>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</si>
  <si>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</si>
  <si>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</si>
  <si>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</si>
  <si>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</si>
  <si>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</si>
  <si>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</si>
  <si>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</si>
  <si>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</si>
  <si>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</si>
  <si>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</si>
  <si>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</si>
  <si>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</si>
  <si>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</si>
  <si>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</si>
  <si>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</si>
  <si>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</si>
  <si>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</si>
  <si>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</si>
  <si>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</si>
  <si>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</si>
  <si>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</si>
  <si>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</si>
  <si>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</si>
  <si>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</si>
  <si>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</si>
  <si>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</si>
  <si>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</si>
  <si>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</si>
  <si>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</si>
  <si>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</si>
  <si>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</si>
  <si>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</si>
  <si>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</si>
  <si>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</si>
  <si>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</si>
  <si>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</si>
  <si>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</si>
  <si>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</si>
  <si>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</si>
  <si>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</si>
  <si>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</si>
  <si>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</si>
  <si>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</si>
  <si>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</si>
  <si>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</si>
  <si>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</si>
  <si>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</si>
  <si>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</si>
  <si>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</si>
  <si>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</si>
  <si>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</si>
  <si>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</si>
  <si>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</si>
  <si>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</si>
  <si>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</si>
  <si>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</si>
  <si>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</si>
  <si>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</si>
  <si>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</si>
  <si>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</si>
  <si>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</si>
  <si>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</si>
  <si>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</si>
  <si>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</si>
  <si>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</si>
  <si>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</si>
  <si>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</si>
  <si>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</si>
  <si>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</si>
  <si>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</si>
  <si>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</si>
  <si>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</si>
  <si>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</si>
  <si>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</si>
  <si>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</si>
  <si>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</si>
  <si>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</si>
  <si>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</si>
  <si>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</si>
  <si>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</si>
  <si>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</si>
  <si>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</si>
  <si>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</si>
  <si>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</si>
  <si>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</si>
  <si>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</si>
  <si>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</si>
  <si>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</si>
  <si>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</si>
  <si>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</si>
  <si>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</si>
  <si>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</si>
  <si>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</si>
  <si>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</si>
  <si>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</si>
  <si>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</si>
  <si>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</si>
  <si>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</si>
  <si>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</si>
  <si>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</si>
  <si>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</si>
  <si>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</si>
  <si>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</si>
  <si>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</si>
  <si>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</si>
  <si>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</si>
  <si>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</si>
  <si>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</si>
  <si>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</si>
  <si>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</si>
  <si>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</si>
  <si>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</si>
  <si>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</si>
  <si>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</si>
  <si>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</si>
  <si>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</si>
  <si>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</si>
  <si>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</si>
  <si>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</si>
  <si>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</si>
  <si>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</si>
  <si>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</si>
  <si>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</si>
  <si>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</si>
  <si>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</si>
  <si>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</si>
  <si>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</si>
  <si>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</si>
  <si>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</si>
  <si>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</si>
  <si>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</si>
  <si>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</si>
  <si>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</si>
  <si>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</si>
  <si>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</si>
  <si>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</si>
  <si>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</si>
  <si>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</si>
  <si>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</si>
  <si>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</si>
  <si>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</si>
  <si>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</si>
  <si>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</si>
  <si>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</si>
  <si>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</si>
  <si>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</si>
  <si>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</si>
  <si>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</si>
  <si>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</si>
  <si>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</si>
  <si>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</si>
  <si>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</si>
  <si>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</si>
  <si>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</si>
  <si>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</si>
  <si>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</si>
  <si>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</si>
  <si>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</si>
  <si>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</si>
  <si>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</si>
  <si>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</si>
  <si>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</si>
  <si>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</si>
  <si>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</si>
  <si>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</si>
  <si>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</si>
  <si>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</si>
  <si>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</si>
  <si>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</si>
  <si>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</si>
  <si>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</si>
  <si>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</si>
  <si>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</si>
  <si>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</si>
  <si>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</si>
  <si>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</si>
  <si>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</si>
  <si>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</si>
  <si>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</si>
  <si>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</si>
  <si>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</si>
  <si>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</si>
  <si>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</si>
  <si>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</si>
  <si>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</si>
  <si>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</si>
  <si>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</si>
  <si>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</si>
  <si>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</si>
  <si>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</si>
  <si>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</si>
  <si>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</si>
  <si>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</si>
  <si>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</si>
  <si>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</si>
  <si>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</si>
  <si>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</si>
  <si>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</si>
  <si>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</si>
  <si>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</si>
  <si>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</si>
  <si>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</si>
  <si>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</si>
  <si>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</si>
  <si>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</si>
  <si>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</si>
  <si>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</si>
  <si>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</si>
  <si>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</si>
  <si>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</si>
  <si>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</si>
  <si>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</si>
  <si>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</si>
  <si>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</si>
  <si>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</si>
  <si>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</si>
  <si>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</si>
  <si>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</si>
  <si>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</si>
  <si>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</si>
  <si>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</si>
  <si>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</si>
  <si>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</si>
  <si>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</si>
  <si>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</si>
  <si>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</si>
  <si>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</si>
  <si>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</si>
  <si>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</si>
  <si>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</si>
  <si>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</si>
  <si>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</si>
  <si>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</si>
  <si>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</si>
  <si>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</si>
  <si>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</si>
  <si>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</si>
  <si>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</si>
  <si>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</si>
  <si>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</si>
  <si>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</si>
  <si>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</si>
  <si>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</si>
  <si>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</si>
  <si>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</si>
  <si>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</si>
  <si>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</si>
  <si>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</si>
  <si>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</si>
  <si>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</si>
  <si>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</si>
  <si>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</si>
  <si>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</si>
  <si>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</si>
  <si>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</si>
  <si>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</si>
  <si>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</si>
  <si>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</si>
  <si>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</si>
  <si>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</si>
  <si>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</si>
  <si>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</si>
  <si>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</si>
  <si>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</si>
  <si>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</si>
  <si>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</si>
  <si>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</si>
  <si>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</si>
  <si>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</si>
  <si>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</si>
  <si>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</si>
  <si>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</si>
  <si>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</si>
  <si>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</si>
  <si>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</si>
  <si>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</si>
  <si>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</si>
  <si>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</si>
  <si>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</si>
  <si>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</si>
  <si>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</si>
  <si>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</si>
  <si>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</si>
  <si>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</si>
  <si>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</si>
  <si>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</si>
  <si>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</si>
  <si>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</si>
  <si>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</si>
  <si>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</si>
  <si>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</si>
  <si>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</si>
  <si>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</si>
  <si>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</si>
  <si>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</si>
  <si>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</si>
  <si>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</si>
  <si>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</si>
  <si>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</si>
  <si>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</si>
  <si>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</si>
  <si>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</si>
  <si>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</si>
  <si>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</si>
  <si>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</si>
  <si>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</si>
  <si>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</si>
  <si>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</si>
  <si>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</si>
  <si>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</si>
  <si>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</si>
  <si>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</si>
  <si>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</si>
  <si>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</si>
  <si>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</si>
  <si>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</si>
  <si>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</si>
  <si>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</si>
  <si>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</si>
  <si>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</si>
  <si>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</si>
  <si>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</si>
  <si>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</si>
  <si>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</si>
  <si>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</si>
  <si>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</si>
  <si>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</si>
  <si>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</si>
  <si>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</si>
  <si>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</si>
  <si>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</si>
  <si>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</si>
  <si>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</si>
  <si>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</si>
  <si>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</si>
  <si>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</si>
  <si>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</si>
  <si>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</si>
  <si>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</si>
  <si>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</si>
  <si>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</si>
  <si>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</si>
  <si>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</si>
  <si>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</si>
  <si>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</si>
  <si>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</si>
  <si>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</si>
  <si>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</si>
  <si>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</si>
  <si>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</si>
  <si>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</si>
  <si>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</si>
  <si>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</si>
  <si>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</si>
  <si>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</si>
  <si>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</si>
  <si>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</si>
  <si>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</si>
  <si>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</si>
  <si>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</si>
  <si>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</si>
  <si>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</si>
  <si>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</si>
  <si>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</si>
  <si>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</si>
  <si>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</si>
  <si>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</si>
  <si>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</si>
  <si>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</si>
  <si>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</si>
  <si>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</si>
  <si>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</si>
  <si>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</si>
  <si>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</si>
  <si>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</si>
  <si>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</si>
  <si>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</si>
  <si>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</si>
  <si>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</si>
  <si>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</si>
  <si>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</si>
  <si>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</si>
  <si>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</si>
  <si>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</si>
  <si>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</si>
  <si>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</si>
  <si>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</si>
  <si>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</si>
  <si>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</si>
  <si>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</si>
  <si>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</si>
  <si>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</si>
  <si>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</si>
  <si>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</si>
  <si>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</si>
  <si>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</si>
  <si>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</si>
  <si>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</si>
  <si>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</si>
  <si>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</si>
  <si>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</si>
  <si>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</si>
  <si>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</si>
  <si>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</si>
  <si>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</si>
  <si>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</si>
  <si>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</si>
  <si>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</si>
  <si>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</si>
  <si>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</si>
  <si>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</si>
  <si>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</si>
  <si>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</si>
  <si>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</si>
  <si>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</si>
  <si>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</si>
  <si>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</si>
  <si>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</si>
  <si>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</si>
  <si>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</si>
  <si>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</si>
  <si>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</si>
  <si>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</si>
  <si>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</si>
  <si>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</si>
  <si>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</si>
  <si>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</si>
  <si>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</si>
  <si>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</si>
  <si>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</si>
  <si>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</si>
  <si>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</si>
  <si>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</si>
  <si>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</si>
  <si>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</si>
  <si>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</si>
  <si>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</si>
  <si>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</si>
  <si>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</si>
  <si>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</si>
  <si>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</si>
  <si>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</si>
  <si>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</si>
  <si>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</si>
  <si>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</si>
  <si>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</si>
  <si>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</si>
  <si>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</si>
  <si>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</si>
  <si>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</si>
  <si>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</si>
  <si>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</si>
  <si>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</si>
  <si>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</si>
  <si>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</si>
  <si>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</si>
  <si>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</si>
  <si>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</si>
  <si>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</si>
  <si>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</si>
  <si>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</si>
  <si>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</si>
  <si>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</si>
  <si>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</si>
  <si>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</si>
  <si>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</si>
  <si>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</si>
  <si>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</si>
  <si>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</si>
  <si>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</si>
  <si>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</si>
  <si>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</si>
  <si>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</si>
  <si>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</si>
  <si>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</si>
  <si>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</si>
  <si>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</si>
  <si>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</si>
  <si>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</si>
  <si>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</si>
  <si>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</si>
  <si>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</si>
  <si>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</si>
  <si>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</si>
  <si>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</si>
  <si>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</si>
  <si>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</si>
  <si>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</si>
  <si>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</si>
  <si>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</si>
  <si>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</si>
  <si>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</si>
  <si>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</si>
  <si>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</si>
  <si>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</si>
  <si>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</si>
  <si>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</si>
  <si>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</si>
  <si>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</si>
  <si>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</si>
  <si>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</si>
  <si>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</si>
  <si>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</si>
  <si>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</si>
  <si>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</si>
  <si>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</si>
  <si>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</si>
  <si>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</si>
  <si>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</si>
  <si>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</si>
  <si>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</si>
  <si>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</si>
  <si>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</si>
  <si>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</si>
  <si>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</si>
  <si>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</si>
  <si>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</si>
  <si>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</si>
  <si>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</si>
  <si>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</si>
  <si>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</si>
  <si>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</si>
  <si>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</si>
  <si>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</si>
  <si>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</si>
  <si>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</si>
  <si>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</si>
  <si>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</si>
  <si>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</si>
  <si>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</si>
  <si>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</si>
  <si>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</si>
  <si>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</si>
  <si>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</si>
  <si>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</si>
  <si>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</si>
  <si>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</si>
  <si>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</si>
  <si>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</si>
  <si>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</si>
  <si>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</si>
  <si>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</si>
  <si>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</si>
  <si>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</si>
  <si>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</si>
  <si>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</si>
  <si>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</si>
  <si>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</si>
  <si>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</si>
  <si>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</si>
  <si>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</si>
  <si>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</si>
  <si>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</si>
  <si>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</si>
  <si>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</si>
  <si>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</si>
  <si>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</si>
  <si>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</si>
  <si>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</si>
  <si>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</si>
  <si>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</si>
  <si>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</si>
  <si>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</si>
  <si>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</si>
  <si>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</si>
  <si>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</si>
  <si>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</si>
  <si>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</si>
  <si>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</si>
  <si>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</si>
  <si>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</si>
  <si>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</si>
  <si>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</si>
  <si>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</si>
  <si>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</si>
  <si>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</si>
  <si>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</si>
  <si>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</si>
  <si>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</si>
  <si>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</si>
  <si>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</si>
  <si>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</si>
  <si>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</si>
  <si>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</si>
  <si>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</si>
  <si>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</si>
  <si>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</si>
  <si>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</si>
  <si>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</si>
  <si>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</si>
  <si>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</si>
  <si>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</si>
  <si>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</si>
  <si>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</si>
  <si>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</si>
  <si>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</si>
  <si>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</si>
  <si>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</si>
  <si>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</si>
  <si>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</si>
  <si>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</si>
  <si>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</si>
  <si>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</si>
  <si>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</si>
  <si>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</si>
  <si>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</si>
  <si>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</si>
  <si>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</si>
  <si>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</si>
  <si>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</si>
  <si>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</si>
  <si>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</si>
  <si>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</si>
  <si>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</si>
  <si>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</si>
  <si>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</si>
  <si>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</si>
  <si>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</si>
  <si>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</si>
  <si>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</si>
  <si>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</si>
  <si>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</si>
  <si>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</si>
  <si>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</si>
  <si>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</si>
  <si>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</si>
  <si>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</si>
  <si>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</si>
  <si>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</si>
  <si>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</si>
  <si>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</si>
  <si>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</si>
  <si>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</si>
  <si>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</si>
  <si>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</si>
  <si>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</si>
  <si>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</si>
  <si>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</si>
  <si>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</si>
  <si>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</si>
  <si>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</si>
  <si>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</si>
  <si>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</si>
  <si>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</si>
  <si>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</si>
  <si>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</si>
  <si>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</si>
  <si>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</si>
  <si>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</si>
  <si>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</si>
  <si>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</si>
  <si>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</si>
  <si>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</si>
  <si>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</si>
  <si>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</si>
  <si>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</si>
  <si>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</si>
  <si>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</si>
  <si>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</si>
  <si>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</si>
  <si>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</si>
  <si>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</si>
  <si>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</si>
  <si>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</si>
  <si>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</si>
  <si>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</si>
  <si>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</si>
  <si>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</si>
  <si>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</si>
  <si>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</si>
  <si>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</si>
  <si>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</si>
  <si>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</si>
  <si>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</si>
  <si>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</si>
  <si>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</si>
  <si>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</si>
  <si>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</si>
  <si>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</si>
  <si>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</si>
  <si>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</si>
  <si>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</si>
  <si>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</si>
  <si>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</si>
  <si>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</si>
  <si>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</si>
  <si>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</si>
  <si>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</si>
  <si>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</si>
  <si>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</si>
  <si>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</si>
  <si>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</si>
  <si>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</si>
  <si>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</si>
  <si>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</si>
  <si>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</si>
  <si>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</si>
  <si>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</si>
  <si>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</si>
  <si>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</si>
  <si>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</si>
  <si>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</si>
  <si>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</si>
  <si>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</si>
  <si>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</si>
  <si>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</si>
  <si>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</si>
  <si>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</si>
  <si>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</si>
  <si>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</si>
  <si>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</si>
  <si>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</si>
  <si>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</si>
  <si>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</si>
  <si>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</si>
  <si>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</si>
  <si>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</si>
  <si>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</si>
  <si>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</si>
  <si>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</si>
  <si>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</si>
  <si>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</si>
  <si>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</si>
  <si>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</si>
  <si>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</si>
  <si>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</si>
  <si>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</si>
  <si>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</si>
  <si>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</si>
  <si>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</si>
  <si>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</si>
  <si>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</si>
  <si>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</si>
  <si>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</si>
  <si>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</si>
  <si>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</si>
  <si>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</si>
  <si>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</si>
  <si>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</si>
  <si>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</si>
  <si>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</si>
  <si>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</si>
  <si>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</si>
  <si>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</si>
  <si>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</si>
  <si>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</si>
  <si>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</si>
  <si>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</si>
  <si>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</si>
  <si>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</si>
  <si>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</si>
  <si>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</si>
  <si>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</si>
  <si>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</si>
  <si>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</si>
  <si>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</si>
  <si>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</si>
  <si>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</si>
  <si>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</si>
  <si>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</si>
  <si>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</si>
  <si>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</si>
  <si>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</si>
  <si>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</si>
  <si>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</si>
  <si>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</si>
  <si>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</si>
  <si>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</si>
  <si>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</si>
  <si>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</si>
  <si>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</si>
  <si>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</si>
  <si>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</si>
  <si>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</si>
  <si>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</si>
  <si>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</si>
  <si>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</si>
  <si>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</si>
  <si>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</si>
  <si>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</si>
  <si>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</si>
  <si>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</si>
  <si>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</si>
  <si>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</si>
  <si>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</si>
  <si>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</si>
  <si>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</si>
  <si>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</si>
  <si>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</si>
  <si>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</si>
  <si>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</si>
  <si>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</si>
  <si>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</si>
  <si>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</si>
  <si>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</si>
  <si>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</si>
  <si>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</si>
  <si>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</si>
  <si>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</si>
  <si>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</si>
  <si>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</si>
  <si>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</si>
  <si>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</si>
  <si>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</si>
  <si>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</si>
  <si>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</si>
  <si>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</si>
  <si>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</si>
  <si>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</si>
  <si>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</si>
  <si>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</si>
  <si>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</si>
  <si>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</si>
  <si>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</si>
  <si>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</si>
  <si>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</si>
  <si>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</si>
  <si>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</si>
  <si>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</si>
  <si>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</si>
  <si>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</si>
  <si>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</si>
  <si>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</si>
  <si>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</si>
  <si>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</si>
  <si>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</si>
  <si>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</si>
  <si>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</si>
  <si>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</si>
  <si>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</si>
  <si>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</si>
  <si>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</si>
  <si>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</si>
  <si>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</si>
  <si>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</si>
  <si>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</si>
  <si>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</si>
  <si>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</si>
  <si>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</si>
  <si>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</si>
  <si>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</si>
  <si>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</si>
  <si>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</si>
  <si>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</si>
  <si>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</si>
  <si>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</si>
  <si>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</si>
  <si>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</si>
  <si>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</si>
  <si>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</si>
  <si>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</si>
  <si>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</si>
  <si>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</si>
  <si>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</si>
  <si>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</si>
  <si>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</si>
  <si>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</si>
  <si>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</si>
  <si>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</si>
  <si>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</si>
  <si>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</si>
  <si>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</si>
  <si>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</si>
  <si>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</si>
  <si>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</si>
  <si>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</si>
  <si>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</si>
  <si>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</si>
  <si>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</si>
  <si>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</si>
  <si>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</si>
  <si>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</si>
  <si>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</si>
  <si>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</si>
  <si>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</si>
  <si>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</si>
  <si>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</si>
  <si>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</si>
  <si>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</si>
  <si>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</si>
  <si>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</si>
  <si>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</si>
  <si>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</si>
  <si>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</si>
  <si>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</si>
  <si>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</si>
  <si>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</si>
  <si>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</si>
  <si>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</si>
  <si>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</si>
  <si>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</si>
  <si>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</si>
  <si>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</si>
  <si>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</si>
  <si>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</si>
  <si>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</si>
  <si>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</si>
  <si>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</si>
  <si>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</si>
  <si>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</si>
  <si>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</si>
  <si>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</si>
  <si>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</si>
  <si>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</si>
  <si>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</si>
  <si>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</si>
  <si>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</si>
  <si>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</si>
  <si>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</si>
  <si>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</si>
  <si>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</si>
  <si>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</si>
  <si>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</si>
  <si>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</si>
  <si>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</si>
  <si>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</si>
  <si>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</si>
  <si>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</si>
  <si>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</si>
  <si>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</si>
  <si>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</si>
  <si>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</si>
  <si>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</si>
  <si>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</si>
  <si>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</si>
  <si>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</si>
  <si>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</si>
  <si>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</si>
  <si>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</si>
  <si>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</si>
  <si>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</si>
  <si>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</si>
  <si>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</si>
  <si>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</si>
  <si>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</si>
  <si>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</si>
  <si>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</si>
  <si>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</si>
  <si>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</si>
  <si>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</si>
  <si>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</si>
  <si>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</si>
  <si>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</si>
  <si>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</si>
  <si>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</si>
  <si>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</si>
  <si>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</si>
  <si>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</si>
  <si>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</si>
  <si>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</si>
  <si>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</si>
  <si>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</si>
  <si>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</si>
  <si>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</si>
  <si>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</si>
  <si>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</si>
  <si>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</si>
  <si>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</si>
  <si>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</si>
  <si>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</si>
  <si>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</si>
  <si>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</si>
  <si>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</si>
  <si>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</si>
  <si>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</si>
  <si>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</si>
  <si>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</si>
  <si>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</si>
  <si>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</si>
  <si>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</si>
  <si>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</si>
  <si>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</si>
  <si>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</si>
  <si>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</si>
  <si>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</si>
  <si>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</si>
  <si>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</si>
  <si>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</si>
  <si>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</si>
  <si>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</si>
  <si>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</si>
  <si>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</si>
  <si>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</si>
  <si>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</si>
  <si>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</si>
  <si>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</si>
  <si>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</si>
  <si>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</si>
  <si>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</si>
  <si>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</si>
  <si>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</si>
  <si>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</si>
  <si>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</si>
  <si>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</si>
  <si>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</si>
  <si>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</si>
  <si>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</si>
  <si>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</si>
  <si>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</si>
  <si>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</si>
  <si>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</si>
  <si>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</si>
  <si>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</si>
  <si>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</si>
  <si>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</si>
  <si>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</si>
  <si>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</si>
  <si>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</si>
  <si>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</si>
  <si>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</si>
  <si>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</si>
  <si>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</si>
  <si>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</si>
  <si>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</si>
  <si>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</si>
  <si>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</si>
  <si>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</si>
  <si>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</si>
  <si>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</si>
  <si>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</si>
  <si>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</si>
  <si>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</si>
  <si>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</si>
  <si>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</si>
  <si>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</si>
  <si>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</si>
  <si>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</si>
  <si>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</si>
  <si>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</si>
  <si>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</si>
  <si>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</si>
  <si>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</si>
  <si>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</si>
  <si>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</si>
  <si>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</si>
  <si>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</si>
  <si>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</si>
  <si>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</si>
  <si>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</si>
  <si>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</si>
  <si>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</si>
  <si>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</si>
  <si>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</si>
  <si>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</si>
  <si>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</si>
  <si>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</si>
  <si>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</si>
  <si>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</si>
  <si>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</si>
  <si>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</si>
  <si>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</si>
  <si>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</si>
  <si>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</si>
  <si>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</si>
  <si>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</si>
  <si>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</si>
  <si>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</si>
  <si>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</si>
  <si>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</si>
  <si>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</si>
  <si>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</si>
  <si>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</si>
  <si>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</si>
  <si>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</si>
  <si>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</si>
  <si>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</si>
  <si>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</si>
  <si>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</si>
  <si>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</si>
  <si>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</si>
  <si>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</si>
  <si>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</si>
  <si>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</si>
  <si>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</si>
  <si>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</si>
  <si>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</si>
  <si>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</si>
  <si>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</si>
  <si>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</si>
  <si>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</si>
  <si>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</si>
  <si>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</si>
  <si>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</si>
  <si>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</si>
  <si>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</si>
  <si>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</si>
  <si>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</si>
  <si>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</si>
  <si>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</si>
  <si>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</si>
  <si>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</si>
  <si>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</si>
  <si>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</si>
  <si>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</si>
  <si>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</si>
  <si>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</si>
  <si>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</si>
  <si>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</si>
  <si>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</si>
  <si>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</si>
  <si>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</si>
  <si>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</si>
  <si>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</si>
  <si>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</si>
  <si>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</si>
  <si>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</si>
  <si>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</si>
  <si>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</si>
  <si>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</si>
  <si>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</si>
  <si>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</si>
  <si>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</si>
  <si>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</si>
  <si>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</si>
  <si>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</si>
  <si>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</si>
  <si>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</si>
  <si>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</si>
  <si>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</si>
  <si>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</si>
  <si>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</si>
  <si>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</si>
  <si>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</si>
  <si>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</si>
  <si>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</si>
  <si>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</si>
  <si>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</si>
  <si>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</si>
  <si>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</si>
  <si>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</si>
  <si>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</si>
  <si>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</si>
  <si>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</si>
  <si>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</si>
  <si>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</si>
  <si>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</si>
  <si>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</si>
  <si>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</si>
  <si>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</si>
  <si>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</si>
  <si>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</si>
  <si>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</si>
  <si>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</si>
  <si>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</si>
  <si>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</si>
  <si>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</si>
  <si>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</si>
  <si>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</si>
  <si>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</si>
  <si>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</si>
  <si>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</si>
  <si>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</si>
  <si>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</si>
  <si>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</si>
  <si>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</si>
  <si>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</si>
  <si>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</si>
  <si>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</si>
  <si>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</si>
  <si>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</si>
  <si>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</si>
  <si>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</si>
  <si>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</si>
  <si>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</si>
  <si>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</si>
  <si>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</si>
  <si>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</si>
  <si>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</si>
  <si>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</si>
  <si>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</si>
  <si>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</si>
  <si>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</si>
  <si>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</si>
  <si>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</si>
  <si>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</si>
  <si>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</si>
  <si>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</si>
  <si>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</si>
  <si>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</si>
  <si>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</si>
  <si>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</si>
  <si>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</si>
  <si>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</si>
  <si>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</si>
  <si>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</si>
  <si>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</si>
  <si>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</si>
  <si>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</si>
  <si>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</si>
  <si>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</si>
  <si>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</si>
  <si>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</si>
  <si>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</si>
  <si>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</si>
  <si>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</si>
  <si>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</si>
  <si>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</si>
  <si>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</si>
  <si>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</si>
  <si>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</si>
  <si>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</si>
  <si>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</si>
  <si>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</si>
  <si>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</si>
  <si>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</si>
  <si>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</si>
  <si>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</si>
  <si>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</si>
  <si>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</si>
  <si>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</si>
  <si>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</si>
  <si>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</si>
  <si>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</si>
  <si>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</si>
  <si>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</si>
  <si>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</si>
  <si>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</si>
  <si>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</si>
  <si>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</si>
  <si>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</si>
  <si>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</si>
  <si>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</si>
  <si>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</si>
  <si>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</si>
  <si>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</si>
  <si>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</si>
  <si>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</si>
  <si>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</si>
  <si>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</si>
  <si>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</si>
  <si>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</si>
  <si>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</si>
  <si>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</si>
  <si>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</si>
  <si>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</si>
  <si>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</si>
  <si>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</si>
  <si>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</si>
  <si>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</si>
  <si>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</si>
  <si>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</si>
  <si>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</si>
  <si>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</si>
  <si>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</si>
  <si>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</si>
  <si>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</si>
  <si>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</si>
  <si>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</si>
  <si>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</si>
  <si>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</si>
  <si>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</si>
  <si>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</si>
  <si>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</si>
  <si>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</si>
  <si>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</si>
  <si>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</si>
  <si>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</si>
  <si>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</si>
  <si>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</si>
  <si>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</si>
  <si>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</si>
  <si>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</si>
  <si>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</si>
  <si>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</si>
  <si>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</si>
  <si>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</si>
  <si>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</si>
  <si>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</si>
  <si>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</si>
  <si>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</si>
  <si>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</si>
  <si>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</si>
  <si>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</si>
  <si>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</si>
  <si>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</si>
  <si>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</si>
  <si>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</si>
  <si>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</si>
  <si>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</si>
  <si>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</si>
  <si>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</si>
  <si>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</si>
  <si>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</si>
  <si>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</si>
  <si>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</si>
  <si>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</si>
  <si>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</si>
  <si>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</si>
  <si>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</si>
  <si>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</si>
  <si>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</si>
  <si>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</si>
  <si>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</si>
  <si>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</si>
  <si>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</si>
  <si>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</si>
  <si>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</si>
  <si>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</si>
  <si>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</si>
  <si>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</si>
  <si>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</si>
  <si>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</si>
  <si>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</si>
  <si>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</si>
  <si>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</si>
  <si>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</si>
  <si>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</si>
  <si>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</si>
  <si>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</si>
  <si>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</si>
  <si>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</si>
  <si>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</si>
  <si>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</si>
  <si>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</si>
  <si>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</si>
  <si>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</si>
  <si>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</si>
  <si>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</si>
  <si>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</si>
  <si>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</si>
  <si>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</si>
  <si>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</si>
  <si>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</si>
  <si>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</si>
  <si>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</si>
  <si>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</si>
  <si>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</si>
  <si>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</si>
  <si>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</si>
  <si>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</si>
  <si>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</si>
  <si>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</si>
  <si>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</si>
  <si>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</si>
  <si>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</si>
  <si>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</si>
  <si>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</si>
  <si>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</si>
  <si>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</si>
  <si>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</si>
  <si>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</si>
  <si>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</si>
  <si>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</si>
  <si>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</si>
  <si>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</si>
  <si>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</si>
  <si>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</si>
  <si>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</si>
  <si>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</si>
  <si>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</si>
  <si>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</si>
  <si>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</si>
  <si>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</si>
  <si>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</si>
  <si>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</si>
  <si>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</si>
  <si>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</si>
  <si>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</si>
  <si>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</si>
  <si>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</si>
  <si>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</si>
  <si>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</si>
  <si>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</si>
  <si>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</si>
  <si>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</si>
  <si>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</si>
  <si>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</si>
  <si>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</si>
  <si>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</si>
  <si>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</si>
  <si>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</si>
  <si>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</si>
  <si>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</si>
  <si>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</si>
  <si>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</si>
  <si>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</si>
  <si>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</si>
  <si>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</si>
  <si>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</si>
  <si>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</si>
  <si>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</si>
  <si>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</si>
  <si>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</si>
  <si>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</si>
  <si>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</si>
  <si>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</si>
  <si>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</si>
  <si>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</si>
  <si>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</si>
  <si>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</si>
  <si>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</si>
  <si>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</si>
  <si>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</si>
  <si>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</si>
  <si>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</si>
  <si>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</si>
  <si>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</si>
  <si>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</si>
  <si>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</si>
  <si>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</si>
  <si>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</si>
  <si>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</si>
  <si>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</si>
  <si>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</si>
  <si>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</si>
  <si>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</si>
  <si>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</si>
  <si>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</si>
  <si>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</si>
  <si>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</si>
  <si>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</si>
  <si>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</si>
  <si>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</si>
  <si>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</si>
  <si>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</si>
  <si>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</si>
  <si>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</si>
  <si>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</si>
  <si>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</si>
  <si>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</si>
  <si>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</si>
  <si>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</si>
  <si>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</si>
  <si>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</si>
  <si>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</si>
  <si>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</si>
  <si>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</si>
  <si>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</si>
  <si>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</si>
  <si>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</si>
  <si>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</si>
  <si>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</si>
  <si>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</si>
  <si>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</si>
  <si>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</si>
  <si>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</si>
  <si>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</si>
  <si>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</si>
  <si>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</si>
  <si>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</si>
  <si>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</si>
  <si>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</si>
  <si>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</si>
  <si>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</si>
  <si>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</si>
  <si>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</si>
  <si>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</si>
  <si>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</si>
  <si>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</si>
  <si>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</si>
  <si>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</si>
  <si>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</si>
  <si>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</si>
  <si>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</si>
  <si>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</si>
  <si>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</si>
  <si>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</si>
  <si>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</si>
  <si>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</si>
  <si>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</si>
  <si>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</si>
  <si>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</si>
  <si>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</si>
  <si>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</si>
  <si>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</si>
  <si>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</si>
  <si>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</si>
  <si>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</si>
  <si>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</si>
  <si>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</si>
  <si>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</si>
  <si>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</si>
  <si>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</si>
  <si>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</si>
  <si>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</si>
  <si>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</si>
  <si>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</si>
  <si>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</si>
  <si>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</si>
  <si>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</si>
  <si>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</si>
  <si>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</si>
  <si>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</si>
  <si>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</si>
  <si>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</si>
  <si>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</si>
  <si>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</si>
  <si>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</si>
  <si>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</si>
  <si>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</si>
  <si>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</si>
  <si>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</si>
  <si>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</si>
  <si>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</si>
  <si>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</si>
  <si>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</si>
  <si>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</si>
  <si>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</si>
  <si>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</si>
  <si>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</si>
  <si>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</si>
  <si>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</si>
  <si>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</si>
  <si>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</si>
  <si>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</si>
  <si>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</si>
  <si>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</si>
  <si>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</si>
  <si>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</si>
  <si>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</si>
  <si>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</si>
  <si>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</si>
  <si>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</si>
  <si>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</si>
  <si>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</si>
  <si>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</si>
  <si>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</si>
  <si>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</si>
  <si>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</si>
  <si>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</si>
  <si>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</si>
  <si>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</si>
  <si>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</si>
  <si>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</si>
  <si>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</si>
  <si>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</si>
  <si>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</si>
  <si>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</si>
  <si>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</si>
  <si>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</si>
  <si>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</si>
  <si>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</si>
  <si>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</si>
  <si>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</si>
  <si>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</si>
  <si>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</si>
  <si>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</si>
  <si>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</si>
  <si>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</si>
  <si>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</si>
  <si>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</si>
  <si>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</si>
  <si>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</si>
  <si>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</si>
  <si>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</si>
  <si>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</si>
  <si>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</si>
  <si>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</si>
  <si>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</si>
  <si>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</si>
  <si>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</si>
  <si>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</si>
  <si>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</si>
  <si>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</si>
  <si>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</si>
  <si>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</si>
  <si>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</si>
  <si>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</si>
  <si>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</si>
  <si>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</si>
  <si>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</si>
  <si>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</si>
  <si>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</si>
  <si>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</si>
  <si>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</si>
  <si>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</si>
  <si>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</si>
  <si>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</si>
  <si>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</si>
  <si>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</si>
  <si>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</si>
  <si>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</si>
  <si>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</si>
  <si>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</si>
  <si>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</si>
  <si>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</si>
  <si>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</si>
  <si>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</si>
  <si>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</si>
  <si>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</si>
  <si>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</si>
  <si>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</si>
  <si>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</si>
  <si>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</si>
  <si>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</si>
  <si>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</si>
  <si>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</si>
  <si>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</si>
  <si>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</si>
  <si>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</si>
  <si>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</si>
  <si>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</si>
  <si>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</si>
  <si>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</si>
  <si>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</si>
  <si>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</si>
  <si>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</si>
  <si>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</si>
  <si>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</si>
  <si>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</si>
  <si>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</si>
  <si>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</si>
  <si>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</si>
  <si>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</si>
  <si>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</si>
  <si>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</si>
  <si>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</si>
  <si>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</si>
  <si>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</si>
  <si>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</si>
  <si>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</si>
  <si>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</si>
  <si>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</si>
  <si>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</si>
  <si>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</si>
  <si>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</si>
  <si>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</si>
  <si>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</si>
  <si>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</si>
  <si>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</si>
  <si>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</si>
  <si>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</si>
  <si>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</si>
  <si>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</si>
  <si>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</si>
  <si>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</si>
  <si>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</si>
  <si>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</si>
  <si>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</si>
  <si>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</si>
  <si>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</si>
  <si>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</si>
  <si>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</si>
  <si>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</si>
  <si>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</si>
  <si>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</si>
  <si>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</si>
  <si>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</si>
  <si>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</si>
  <si>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</si>
  <si>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</si>
  <si>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</si>
  <si>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</si>
  <si>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</si>
  <si>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</si>
  <si>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</si>
  <si>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</si>
  <si>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</si>
  <si>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</si>
  <si>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</si>
  <si>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</si>
  <si>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</si>
  <si>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</si>
  <si>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</si>
  <si>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</si>
  <si>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</si>
  <si>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</si>
  <si>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</si>
  <si>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</si>
  <si>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</si>
  <si>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</si>
  <si>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</si>
  <si>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</si>
  <si>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</si>
  <si>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</si>
  <si>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</si>
  <si>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</si>
  <si>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</si>
  <si>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</si>
  <si>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</si>
  <si>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</si>
  <si>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</si>
  <si>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</si>
  <si>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</si>
  <si>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</si>
  <si>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</si>
  <si>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</si>
  <si>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</si>
  <si>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</si>
  <si>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</si>
  <si>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</si>
  <si>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</si>
  <si>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</si>
  <si>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</si>
  <si>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</si>
  <si>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</si>
  <si>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</si>
  <si>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</si>
  <si>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</si>
  <si>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</si>
  <si>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</si>
  <si>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</si>
  <si>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</si>
  <si>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</si>
  <si>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</si>
  <si>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</si>
  <si>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</si>
  <si>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</si>
  <si>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</si>
  <si>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</si>
  <si>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</si>
  <si>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</si>
  <si>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</si>
  <si>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</si>
  <si>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</si>
  <si>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</si>
  <si>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</si>
  <si>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</si>
  <si>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</si>
  <si>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</si>
  <si>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</si>
  <si>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</si>
  <si>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</si>
  <si>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</si>
  <si>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</si>
  <si>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</si>
  <si>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</si>
  <si>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</si>
  <si>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</si>
  <si>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</si>
  <si>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</si>
  <si>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</si>
  <si>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</si>
  <si>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</si>
  <si>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</si>
  <si>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</si>
  <si>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</si>
  <si>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</si>
  <si>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</si>
  <si>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</si>
  <si>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</si>
  <si>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</si>
  <si>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</si>
  <si>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</si>
  <si>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</si>
  <si>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</si>
  <si>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</si>
  <si>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</si>
  <si>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</si>
  <si>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</si>
  <si>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</si>
  <si>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</si>
  <si>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</si>
  <si>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</si>
  <si>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</si>
  <si>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</si>
  <si>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</si>
  <si>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</si>
  <si>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</si>
  <si>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</si>
  <si>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</si>
  <si>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</si>
  <si>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</si>
  <si>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</si>
  <si>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</si>
  <si>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</si>
  <si>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</si>
  <si>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</si>
  <si>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</si>
  <si>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</si>
  <si>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</si>
  <si>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</si>
  <si>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</si>
  <si>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</si>
  <si>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</si>
  <si>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</si>
  <si>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</si>
  <si>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</si>
  <si>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</si>
  <si>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</si>
  <si>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</si>
  <si>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</si>
  <si>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</si>
  <si>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</si>
  <si>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</si>
  <si>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</si>
  <si>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</si>
  <si>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</si>
  <si>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</si>
  <si>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</si>
  <si>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</si>
  <si>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</si>
  <si>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</si>
  <si>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</si>
  <si>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</si>
  <si>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</si>
  <si>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</si>
  <si>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</si>
  <si>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</si>
  <si>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</si>
  <si>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</si>
  <si>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</si>
  <si>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</si>
  <si>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</si>
  <si>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</si>
  <si>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</si>
  <si>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</si>
  <si>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</si>
  <si>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</si>
  <si>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</si>
  <si>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</si>
  <si>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</si>
  <si>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</si>
  <si>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</si>
  <si>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</si>
  <si>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</si>
  <si>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</si>
  <si>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</si>
  <si>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</si>
  <si>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</si>
  <si>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</si>
  <si>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</si>
  <si>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</si>
  <si>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</si>
  <si>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</si>
  <si>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</si>
  <si>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</si>
  <si>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</si>
  <si>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</si>
  <si>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</si>
  <si>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</si>
  <si>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</si>
  <si>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</si>
  <si>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</si>
  <si>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</si>
  <si>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</si>
  <si>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</si>
  <si>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</si>
  <si>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</si>
  <si>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</si>
  <si>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</si>
  <si>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</si>
  <si>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</si>
  <si>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</si>
  <si>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</si>
  <si>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</si>
  <si>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</si>
  <si>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</si>
  <si>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</si>
  <si>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</si>
  <si>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</si>
  <si>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</si>
  <si>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</si>
  <si>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</si>
  <si>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</si>
  <si>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</si>
  <si>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</si>
  <si>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</si>
  <si>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</si>
  <si>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</si>
  <si>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</si>
  <si>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</si>
  <si>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</si>
  <si>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</si>
  <si>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</si>
  <si>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</si>
  <si>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</si>
  <si>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</si>
  <si>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</si>
  <si>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</si>
  <si>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</si>
  <si>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</si>
  <si>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</si>
  <si>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</si>
  <si>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</si>
  <si>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</si>
  <si>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</si>
  <si>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</si>
  <si>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</si>
  <si>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</si>
  <si>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</si>
  <si>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</si>
  <si>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</si>
  <si>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</si>
  <si>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</si>
  <si>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</si>
  <si>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</si>
  <si>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</si>
  <si>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</si>
  <si>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</si>
  <si>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</si>
  <si>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</si>
  <si>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</si>
  <si>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</si>
  <si>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</si>
  <si>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</si>
  <si>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</si>
  <si>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</si>
  <si>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</si>
  <si>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</si>
  <si>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</si>
  <si>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</si>
  <si>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</si>
  <si>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</si>
  <si>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</si>
  <si>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</si>
  <si>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</si>
  <si>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</si>
  <si>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</si>
  <si>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</si>
  <si>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</si>
  <si>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</si>
  <si>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</si>
  <si>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</si>
  <si>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</si>
  <si>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</si>
  <si>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</si>
  <si>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</si>
  <si>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</si>
  <si>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</si>
  <si>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</si>
  <si>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</si>
  <si>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</si>
  <si>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</si>
  <si>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</si>
  <si>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</si>
  <si>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</si>
  <si>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</si>
  <si>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</si>
  <si>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</si>
  <si>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</si>
  <si>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</si>
  <si>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</si>
  <si>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</si>
  <si>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</si>
  <si>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</si>
  <si>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</si>
  <si>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</si>
  <si>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</si>
  <si>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</si>
  <si>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</si>
  <si>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</si>
  <si>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</si>
  <si>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</si>
  <si>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</si>
  <si>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</si>
  <si>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</si>
  <si>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</si>
  <si>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</si>
  <si>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</si>
  <si>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</si>
  <si>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</si>
  <si>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</si>
  <si>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</si>
  <si>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</si>
  <si>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</si>
  <si>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</si>
  <si>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</si>
  <si>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</si>
  <si>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</si>
  <si>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</si>
  <si>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</si>
  <si>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</si>
  <si>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</si>
  <si>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</si>
  <si>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</si>
  <si>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</si>
  <si>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</si>
  <si>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</si>
  <si>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</si>
  <si>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</si>
  <si>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</si>
  <si>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</si>
  <si>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</si>
  <si>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</si>
  <si>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</si>
  <si>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</si>
  <si>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</si>
  <si>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</si>
  <si>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</si>
  <si>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</si>
  <si>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</si>
  <si>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</si>
  <si>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</si>
  <si>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</si>
  <si>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</si>
  <si>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</si>
  <si>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</si>
  <si>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</si>
  <si>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</si>
  <si>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</si>
  <si>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</si>
  <si>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</si>
  <si>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</si>
  <si>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</si>
  <si>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</si>
  <si>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</si>
  <si>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</si>
  <si>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</si>
  <si>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</si>
  <si>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</si>
  <si>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</si>
  <si>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</si>
  <si>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</si>
  <si>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</si>
  <si>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</si>
  <si>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</si>
  <si>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</si>
  <si>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</si>
  <si>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</si>
  <si>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</si>
  <si>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</si>
  <si>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</si>
  <si>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</si>
  <si>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</si>
  <si>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</si>
  <si>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</si>
  <si>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</si>
  <si>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</si>
  <si>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</si>
  <si>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</si>
  <si>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</si>
  <si>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</si>
  <si>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</si>
  <si>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</si>
  <si>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</si>
  <si>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</si>
  <si>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</si>
  <si>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</si>
  <si>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</si>
  <si>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</si>
  <si>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</si>
  <si>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</si>
  <si>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</si>
  <si>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</si>
  <si>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</si>
  <si>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</si>
  <si>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</si>
  <si>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</si>
  <si>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</si>
  <si>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</si>
  <si>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</si>
  <si>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</si>
  <si>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</si>
  <si>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</si>
  <si>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</si>
  <si>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</si>
  <si>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</si>
  <si>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</si>
  <si>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</si>
  <si>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</si>
  <si>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</si>
  <si>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</si>
  <si>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</si>
  <si>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</si>
  <si>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</si>
  <si>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</si>
  <si>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</si>
  <si>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</si>
  <si>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</si>
  <si>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</si>
  <si>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</si>
  <si>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</si>
  <si>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</si>
  <si>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</si>
  <si>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</si>
  <si>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</si>
  <si>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</si>
  <si>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</si>
  <si>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</si>
  <si>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</si>
  <si>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</si>
  <si>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</si>
  <si>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</si>
  <si>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</si>
  <si>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</si>
  <si>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</si>
  <si>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</si>
  <si>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</si>
  <si>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</si>
  <si>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</si>
  <si>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</si>
  <si>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</si>
  <si>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</si>
  <si>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</si>
  <si>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</si>
  <si>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</si>
  <si>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</si>
  <si>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</si>
  <si>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</si>
  <si>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</si>
  <si>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</si>
  <si>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</si>
  <si>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</si>
  <si>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</si>
  <si>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</si>
  <si>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</si>
  <si>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</si>
  <si>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</si>
  <si>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</si>
  <si>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</si>
  <si>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</si>
  <si>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</si>
  <si>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</si>
  <si>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</si>
  <si>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</si>
  <si>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</si>
  <si>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</si>
  <si>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</si>
  <si>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</si>
  <si>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</si>
  <si>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</si>
  <si>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</si>
  <si>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</si>
  <si>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</si>
  <si>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</si>
  <si>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</si>
  <si>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</si>
  <si>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</si>
  <si>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</si>
  <si>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</si>
  <si>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</si>
  <si>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</si>
  <si>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</si>
  <si>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</si>
  <si>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</si>
  <si>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</si>
  <si>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</si>
  <si>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</si>
  <si>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</si>
  <si>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</si>
  <si>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</si>
  <si>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</si>
  <si>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</si>
  <si>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</si>
  <si>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</si>
  <si>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</si>
  <si>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</si>
  <si>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</si>
  <si>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</si>
  <si>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</si>
  <si>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</si>
  <si>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</si>
  <si>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</si>
  <si>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</si>
  <si>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</si>
  <si>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</si>
  <si>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</si>
  <si>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</si>
  <si>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</si>
  <si>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</si>
  <si>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</si>
  <si>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</si>
  <si>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</si>
  <si>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</si>
  <si>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</si>
  <si>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</si>
  <si>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</si>
  <si>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</si>
  <si>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</si>
  <si>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</si>
  <si>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</si>
  <si>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</si>
  <si>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</si>
  <si>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</si>
  <si>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</si>
  <si>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</si>
  <si>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</si>
  <si>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</si>
  <si>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</si>
  <si>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</si>
  <si>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</si>
  <si>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</si>
  <si>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</si>
  <si>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</si>
  <si>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</si>
  <si>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</si>
  <si>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</si>
  <si>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</si>
  <si>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</si>
  <si>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</si>
  <si>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</si>
  <si>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</si>
  <si>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</si>
  <si>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</si>
  <si>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</si>
  <si>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</si>
  <si>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</si>
  <si>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</si>
  <si>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</si>
  <si>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</si>
  <si>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</si>
  <si>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</si>
  <si>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</si>
  <si>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</si>
  <si>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</si>
  <si>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</si>
  <si>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</si>
  <si>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</si>
  <si>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</si>
  <si>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</si>
  <si>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</si>
  <si>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</si>
  <si>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</si>
  <si>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</si>
  <si>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</si>
  <si>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</si>
  <si>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</si>
  <si>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</si>
  <si>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</si>
  <si>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</si>
  <si>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</si>
  <si>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</si>
  <si>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</si>
  <si>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</si>
  <si>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</si>
  <si>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</si>
  <si>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</si>
  <si>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</si>
  <si>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</si>
  <si>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</si>
  <si>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</si>
  <si>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</si>
  <si>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</si>
  <si>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</si>
  <si>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</si>
  <si>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</si>
  <si>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</si>
  <si>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</si>
  <si>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</si>
  <si>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</si>
  <si>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</si>
  <si>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</si>
  <si>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</si>
  <si>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</si>
  <si>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</si>
  <si>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</si>
  <si>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</si>
  <si>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</si>
  <si>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</si>
  <si>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</si>
  <si>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</si>
  <si>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</si>
  <si>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</si>
  <si>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</si>
  <si>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</si>
  <si>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</si>
  <si>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</si>
  <si>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</si>
  <si>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</si>
  <si>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</si>
  <si>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</si>
  <si>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</si>
  <si>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</si>
  <si>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</si>
  <si>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</si>
  <si>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</si>
  <si>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</si>
  <si>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</si>
  <si>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</si>
  <si>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</si>
  <si>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</si>
  <si>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</si>
  <si>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</si>
  <si>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</si>
  <si>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</si>
  <si>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</si>
  <si>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</si>
  <si>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</si>
  <si>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</si>
  <si>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</si>
  <si>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</si>
  <si>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</si>
  <si>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</si>
  <si>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</si>
  <si>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</si>
  <si>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</si>
  <si>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</si>
  <si>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</si>
  <si>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</si>
  <si>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</si>
  <si>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</si>
  <si>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</si>
  <si>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</si>
  <si>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</si>
  <si>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</si>
  <si>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</si>
  <si>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</si>
  <si>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</si>
  <si>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</si>
  <si>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</si>
  <si>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</si>
  <si>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</si>
  <si>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</si>
  <si>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</si>
  <si>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</si>
  <si>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</si>
  <si>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</si>
  <si>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</si>
  <si>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</si>
  <si>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</si>
  <si>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</si>
  <si>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</si>
  <si>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</si>
  <si>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</si>
  <si>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</si>
  <si>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</si>
  <si>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</si>
  <si>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</si>
  <si>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</si>
  <si>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</si>
  <si>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</si>
  <si>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</si>
  <si>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</si>
  <si>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</si>
  <si>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</si>
  <si>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</si>
  <si>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</si>
  <si>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</si>
  <si>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</si>
  <si>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</si>
  <si>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</si>
  <si>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</si>
  <si>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</si>
  <si>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</si>
  <si>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</si>
  <si>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</si>
  <si>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</si>
  <si>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</si>
  <si>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</si>
  <si>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</si>
  <si>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</si>
  <si>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</si>
  <si>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</si>
  <si>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</si>
  <si>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</si>
  <si>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</si>
  <si>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</si>
  <si>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</si>
  <si>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</si>
  <si>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</si>
  <si>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</si>
  <si>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</si>
  <si>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</si>
  <si>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</si>
  <si>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</si>
  <si>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</si>
  <si>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</si>
  <si>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</si>
  <si>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</si>
  <si>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</si>
  <si>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</si>
  <si>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</si>
  <si>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</si>
  <si>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</si>
  <si>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</si>
  <si>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</si>
  <si>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</si>
  <si>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</si>
  <si>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</si>
  <si>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</si>
  <si>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</si>
  <si>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</si>
  <si>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</si>
  <si>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</si>
  <si>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</si>
  <si>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</si>
  <si>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</si>
  <si>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</si>
  <si>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</si>
  <si>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</si>
  <si>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</si>
  <si>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</si>
  <si>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</si>
  <si>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</si>
  <si>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</si>
  <si>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</si>
  <si>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</si>
  <si>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</si>
  <si>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</si>
  <si>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</si>
  <si>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</si>
  <si>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</si>
  <si>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</si>
  <si>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</si>
  <si>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</si>
  <si>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</si>
  <si>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</si>
  <si>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</si>
  <si>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</si>
  <si>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</si>
  <si>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</si>
  <si>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</si>
  <si>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</si>
  <si>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</si>
  <si>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</si>
  <si>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</si>
  <si>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</si>
  <si>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</si>
  <si>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</si>
  <si>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</si>
  <si>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</si>
  <si>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</si>
  <si>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</si>
  <si>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</si>
  <si>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</si>
  <si>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</si>
  <si>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</si>
  <si>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</si>
  <si>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</si>
  <si>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</si>
  <si>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</si>
  <si>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</si>
  <si>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</si>
  <si>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</si>
  <si>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</si>
  <si>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</si>
  <si>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</si>
  <si>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</si>
  <si>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</si>
  <si>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</si>
  <si>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</si>
  <si>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</si>
  <si>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</si>
  <si>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</si>
  <si>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</si>
  <si>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</si>
  <si>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</si>
  <si>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</si>
  <si>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</si>
  <si>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</si>
  <si>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</si>
  <si>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</si>
  <si>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</si>
  <si>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</si>
  <si>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</si>
  <si>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</si>
  <si>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</si>
  <si>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</si>
  <si>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</si>
  <si>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</si>
  <si>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</si>
  <si>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</si>
  <si>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</si>
  <si>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</si>
  <si>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</si>
  <si>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</si>
  <si>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</si>
  <si>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</si>
  <si>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</si>
  <si>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</si>
  <si>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</si>
  <si>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</si>
  <si>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</si>
  <si>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</si>
  <si>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</si>
  <si>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</si>
  <si>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</si>
  <si>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</si>
  <si>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</si>
  <si>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</si>
  <si>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</si>
  <si>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</si>
  <si>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</si>
  <si>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</si>
  <si>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</si>
  <si>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</si>
  <si>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</si>
  <si>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</si>
  <si>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</si>
  <si>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</si>
  <si>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</si>
  <si>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</si>
  <si>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</si>
  <si>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</si>
  <si>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</si>
  <si>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</si>
  <si>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</si>
  <si>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</si>
  <si>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</si>
  <si>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</si>
  <si>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</si>
  <si>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</si>
  <si>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</si>
  <si>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</si>
  <si>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</si>
  <si>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</si>
  <si>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</si>
  <si>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</si>
  <si>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</si>
  <si>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</si>
  <si>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</si>
  <si>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</si>
  <si>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</si>
  <si>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</si>
  <si>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</si>
  <si>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</si>
  <si>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</si>
  <si>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</si>
  <si>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</si>
  <si>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</si>
  <si>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</si>
  <si>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</si>
  <si>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</si>
  <si>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</si>
  <si>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</si>
  <si>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</si>
  <si>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</si>
  <si>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</si>
  <si>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</si>
  <si>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</si>
  <si>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</si>
  <si>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</si>
  <si>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</si>
  <si>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</si>
  <si>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</si>
  <si>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</si>
  <si>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</si>
  <si>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</si>
  <si>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</si>
  <si>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</si>
  <si>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</si>
  <si>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</si>
  <si>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</si>
  <si>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</si>
  <si>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</si>
  <si>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</si>
  <si>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</si>
  <si>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</si>
  <si>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</si>
  <si>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</si>
  <si>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</si>
  <si>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</si>
  <si>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</si>
  <si>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</si>
  <si>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</si>
  <si>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</si>
  <si>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</si>
  <si>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</si>
  <si>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</si>
  <si>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</si>
  <si>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</si>
  <si>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</si>
  <si>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</si>
  <si>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</si>
  <si>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</si>
  <si>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</si>
  <si>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</si>
  <si>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</si>
  <si>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</si>
  <si>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</si>
  <si>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</si>
  <si>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</si>
  <si>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</si>
  <si>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</si>
  <si>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</si>
  <si>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</si>
  <si>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</si>
  <si>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</si>
  <si>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</si>
  <si>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</si>
  <si>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</si>
  <si>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</si>
  <si>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</si>
  <si>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</si>
  <si>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</si>
  <si>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</si>
  <si>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</si>
  <si>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</si>
  <si>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</si>
  <si>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</si>
  <si>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</si>
  <si>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</si>
  <si>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</si>
  <si>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</si>
  <si>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</si>
  <si>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</si>
  <si>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</si>
  <si>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</si>
  <si>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</si>
  <si>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</si>
  <si>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</si>
  <si>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</si>
  <si>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</si>
  <si>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</si>
  <si>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</si>
  <si>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</si>
  <si>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</si>
  <si>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</si>
  <si>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</si>
  <si>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</si>
  <si>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</si>
  <si>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</si>
  <si>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</si>
  <si>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</si>
  <si>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</si>
  <si>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</si>
  <si>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</si>
  <si>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</si>
  <si>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</si>
  <si>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</si>
  <si>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</si>
  <si>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</si>
  <si>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</si>
  <si>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</si>
  <si>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</si>
  <si>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</si>
  <si>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</si>
  <si>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</si>
  <si>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</si>
  <si>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</si>
  <si>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</si>
  <si>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</si>
  <si>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</si>
  <si>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</si>
  <si>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</si>
  <si>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</si>
  <si>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</si>
  <si>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</si>
  <si>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</si>
  <si>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</si>
  <si>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</si>
  <si>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</si>
  <si>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</si>
  <si>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</si>
  <si>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</si>
  <si>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</si>
  <si>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</si>
  <si>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</si>
  <si>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</si>
  <si>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</si>
  <si>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</si>
  <si>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</si>
  <si>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</si>
  <si>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</si>
  <si>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</si>
  <si>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</si>
  <si>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</si>
  <si>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</si>
  <si>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</si>
  <si>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</si>
  <si>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</si>
  <si>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</si>
  <si>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</si>
  <si>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</si>
  <si>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</si>
  <si>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</si>
  <si>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</si>
  <si>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</si>
  <si>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</si>
  <si>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</si>
  <si>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</si>
  <si>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</si>
  <si>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</si>
  <si>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</si>
  <si>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</si>
  <si>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</si>
  <si>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</si>
  <si>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</si>
  <si>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</si>
  <si>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</si>
  <si>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</si>
  <si>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</si>
  <si>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</si>
  <si>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</si>
  <si>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</si>
  <si>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</si>
  <si>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</si>
  <si>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</si>
  <si>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</si>
  <si>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</si>
  <si>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</si>
  <si>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</si>
  <si>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</si>
  <si>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</si>
  <si>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</si>
  <si>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</si>
  <si>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</si>
  <si>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</si>
  <si>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</si>
  <si>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</si>
  <si>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</si>
  <si>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</si>
  <si>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</si>
  <si>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</si>
  <si>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</si>
  <si>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</si>
  <si>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</si>
  <si>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</si>
  <si>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</si>
  <si>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</si>
  <si>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</si>
  <si>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</si>
  <si>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</si>
  <si>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</si>
  <si>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</si>
  <si>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</si>
  <si>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</si>
  <si>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</si>
  <si>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</si>
  <si>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</si>
  <si>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</si>
  <si>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</si>
  <si>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</si>
  <si>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</si>
  <si>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</si>
  <si>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</si>
  <si>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</si>
  <si>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</si>
  <si>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</si>
  <si>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</si>
  <si>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</si>
  <si>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</si>
  <si>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</si>
  <si>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</si>
  <si>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</si>
  <si>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</si>
  <si>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</si>
  <si>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</si>
  <si>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</si>
  <si>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</si>
  <si>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</si>
  <si>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</si>
  <si>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</si>
  <si>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</si>
  <si>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</si>
  <si>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</si>
  <si>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</si>
  <si>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</si>
  <si>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</si>
  <si>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</si>
  <si>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</si>
  <si>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</si>
  <si>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</si>
  <si>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</si>
  <si>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</si>
  <si>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</si>
  <si>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</si>
  <si>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</si>
  <si>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</si>
  <si>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</si>
  <si>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</si>
  <si>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</si>
  <si>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</si>
  <si>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</si>
  <si>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</si>
  <si>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</si>
  <si>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</si>
  <si>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</si>
  <si>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</si>
  <si>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</si>
  <si>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</si>
  <si>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</si>
  <si>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</si>
  <si>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</si>
  <si>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</si>
  <si>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</si>
  <si>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</si>
  <si>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</si>
  <si>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</si>
  <si>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</si>
  <si>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</si>
  <si>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</si>
  <si>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</si>
  <si>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</si>
  <si>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</si>
  <si>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</si>
  <si>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</si>
  <si>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</si>
  <si>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</si>
  <si>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</si>
  <si>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</si>
  <si>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</si>
  <si>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</si>
  <si>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</si>
  <si>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</si>
  <si>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</si>
  <si>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</si>
  <si>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</si>
  <si>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</si>
  <si>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</si>
  <si>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</si>
  <si>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</si>
  <si>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</si>
  <si>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</si>
  <si>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</si>
  <si>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</si>
  <si>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</si>
  <si>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</si>
  <si>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</si>
  <si>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</si>
  <si>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</si>
  <si>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</si>
  <si>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</si>
  <si>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</si>
  <si>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</si>
  <si>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</si>
  <si>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</si>
  <si>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</si>
  <si>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</si>
  <si>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</si>
  <si>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</si>
  <si>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</si>
  <si>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</si>
  <si>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</si>
  <si>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</si>
  <si>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</si>
  <si>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</si>
  <si>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</si>
  <si>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</si>
  <si>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</si>
  <si>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</si>
  <si>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</si>
  <si>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</si>
  <si>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</si>
  <si>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</si>
  <si>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</si>
  <si>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</si>
  <si>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</si>
  <si>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</si>
  <si>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</si>
  <si>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</si>
  <si>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</si>
  <si>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</si>
  <si>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</si>
  <si>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</si>
  <si>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</si>
  <si>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</si>
  <si>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</si>
  <si>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</si>
  <si>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</si>
  <si>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</si>
  <si>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</si>
  <si>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</si>
  <si>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</si>
  <si>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</si>
  <si>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</si>
  <si>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</si>
  <si>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</si>
  <si>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</si>
  <si>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</si>
  <si>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</si>
  <si>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</si>
  <si>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</si>
  <si>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</si>
  <si>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</si>
  <si>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</si>
  <si>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</si>
  <si>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</si>
  <si>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</si>
  <si>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</si>
  <si>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</si>
  <si>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</si>
  <si>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</si>
  <si>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</si>
  <si>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</si>
  <si>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</si>
  <si>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</si>
  <si>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</si>
  <si>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</si>
  <si>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</si>
  <si>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</si>
  <si>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</si>
  <si>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</si>
  <si>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</si>
  <si>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</si>
  <si>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</si>
  <si>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</si>
  <si>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</si>
  <si>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</si>
  <si>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</si>
  <si>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</si>
  <si>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</si>
  <si>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</si>
  <si>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</si>
  <si>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</si>
  <si>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</si>
  <si>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</si>
  <si>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</si>
  <si>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</si>
  <si>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</si>
  <si>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</si>
  <si>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</si>
  <si>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</si>
  <si>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</si>
  <si>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</si>
  <si>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</si>
  <si>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</si>
  <si>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</si>
  <si>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</si>
  <si>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</si>
  <si>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</si>
  <si>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</si>
  <si>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</si>
  <si>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</si>
  <si>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</si>
  <si>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</si>
  <si>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</si>
  <si>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</si>
  <si>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</si>
  <si>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</si>
  <si>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</si>
  <si>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</si>
  <si>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</si>
  <si>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</si>
  <si>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</si>
  <si>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</si>
  <si>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</si>
  <si>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</si>
  <si>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</si>
  <si>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</si>
  <si>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</si>
  <si>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</si>
  <si>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</si>
  <si>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</si>
  <si>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</si>
  <si>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</si>
  <si>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</si>
  <si>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</si>
  <si>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</si>
  <si>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</si>
  <si>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</si>
  <si>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</si>
  <si>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</si>
  <si>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</si>
  <si>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</si>
  <si>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</si>
  <si>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</si>
  <si>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</si>
  <si>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</si>
  <si>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</si>
  <si>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</si>
  <si>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</si>
  <si>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</si>
  <si>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</si>
  <si>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</si>
  <si>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</si>
  <si>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</si>
  <si>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</si>
  <si>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</si>
  <si>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</si>
  <si>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</si>
  <si>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</si>
  <si>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</si>
  <si>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</si>
  <si>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</si>
  <si>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</si>
  <si>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</si>
  <si>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</si>
  <si>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</si>
  <si>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</si>
  <si>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</si>
  <si>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</si>
  <si>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</si>
  <si>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</si>
  <si>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</si>
  <si>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</si>
  <si>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</si>
  <si>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</si>
  <si>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</si>
  <si>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</si>
  <si>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</si>
  <si>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</si>
  <si>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</si>
  <si>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</si>
  <si>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</si>
  <si>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</si>
  <si>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</si>
  <si>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</si>
  <si>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</si>
  <si>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</si>
  <si>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</si>
  <si>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</si>
  <si>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</si>
  <si>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</si>
  <si>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</si>
  <si>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</si>
  <si>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</si>
  <si>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</si>
  <si>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</si>
  <si>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</si>
  <si>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</si>
  <si>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</si>
  <si>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</si>
  <si>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</si>
  <si>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</si>
  <si>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</si>
  <si>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</si>
  <si>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</si>
  <si>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</si>
  <si>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</si>
  <si>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</si>
  <si>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</si>
  <si>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</si>
  <si>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</si>
  <si>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</si>
  <si>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</si>
  <si>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</si>
  <si>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</si>
  <si>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</si>
  <si>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</si>
  <si>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</si>
  <si>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</si>
  <si>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</si>
  <si>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</si>
  <si>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</si>
  <si>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</si>
  <si>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</si>
  <si>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</si>
  <si>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</si>
  <si>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</si>
  <si>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</si>
  <si>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</si>
  <si>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</si>
  <si>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</si>
  <si>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</si>
  <si>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</si>
  <si>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</si>
  <si>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</si>
  <si>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</si>
  <si>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</si>
  <si>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</si>
  <si>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</si>
  <si>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</si>
  <si>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</si>
  <si>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</si>
  <si>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</si>
  <si>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</si>
  <si>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</si>
  <si>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</si>
  <si>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</si>
  <si>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</si>
  <si>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</si>
  <si>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</si>
  <si>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</si>
  <si>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</si>
  <si>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</si>
  <si>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</si>
  <si>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</si>
  <si>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</si>
  <si>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</si>
  <si>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</si>
  <si>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</si>
  <si>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</si>
  <si>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</si>
  <si>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</si>
  <si>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</si>
  <si>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</si>
  <si>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</si>
  <si>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</si>
  <si>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</si>
  <si>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</si>
  <si>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</si>
  <si>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</si>
  <si>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</si>
  <si>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</si>
  <si>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</si>
  <si>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</si>
  <si>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</si>
  <si>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</si>
  <si>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</si>
  <si>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</si>
  <si>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</si>
  <si>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</si>
  <si>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</si>
  <si>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</si>
  <si>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</si>
  <si>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</si>
  <si>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</si>
  <si>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</si>
  <si>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</si>
  <si>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</si>
  <si>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</si>
  <si>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</si>
  <si>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</si>
  <si>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</si>
  <si>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</si>
  <si>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</si>
  <si>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</si>
  <si>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</si>
  <si>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</si>
  <si>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</si>
  <si>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</si>
  <si>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</si>
  <si>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</si>
  <si>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</si>
  <si>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</si>
  <si>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</si>
  <si>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</si>
  <si>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</si>
  <si>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</si>
  <si>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</si>
  <si>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</si>
  <si>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</si>
  <si>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</si>
  <si>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</si>
  <si>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</si>
  <si>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</si>
  <si>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</si>
  <si>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</si>
  <si>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</si>
  <si>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</si>
  <si>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</si>
  <si>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</si>
  <si>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</si>
  <si>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</si>
  <si>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</si>
  <si>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</si>
  <si>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</si>
  <si>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</si>
  <si>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</si>
  <si>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</si>
  <si>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</si>
  <si>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</si>
  <si>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</si>
  <si>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</si>
  <si>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</si>
  <si>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</si>
  <si>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</si>
  <si>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</si>
  <si>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</si>
  <si>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</si>
  <si>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</si>
  <si>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</si>
  <si>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</si>
  <si>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</si>
  <si>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</si>
  <si>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</si>
  <si>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</si>
  <si>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</si>
  <si>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</si>
  <si>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</si>
  <si>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</si>
  <si>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</si>
  <si>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</si>
  <si>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</si>
  <si>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</si>
  <si>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</si>
  <si>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</si>
  <si>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</si>
  <si>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</si>
  <si>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</si>
  <si>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</si>
  <si>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</si>
  <si>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</si>
  <si>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</si>
  <si>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</si>
  <si>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</si>
  <si>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</si>
  <si>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</si>
  <si>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</si>
  <si>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</si>
  <si>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</si>
  <si>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</si>
  <si>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</si>
  <si>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</si>
  <si>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</si>
  <si>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</si>
  <si>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</si>
  <si>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</si>
  <si>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</si>
  <si>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</si>
  <si>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</si>
  <si>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</si>
  <si>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</si>
  <si>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</si>
  <si>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</si>
  <si>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</si>
  <si>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</si>
  <si>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</si>
  <si>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</si>
  <si>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</si>
  <si>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</si>
  <si>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</si>
  <si>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</si>
  <si>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</si>
  <si>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</si>
  <si>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</si>
  <si>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</si>
  <si>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</si>
  <si>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</si>
  <si>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</si>
  <si>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</si>
  <si>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</si>
  <si>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</si>
  <si>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</si>
  <si>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</si>
  <si>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</si>
  <si>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</si>
  <si>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</si>
  <si>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</si>
  <si>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</si>
  <si>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</si>
  <si>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</si>
  <si>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</si>
  <si>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</si>
  <si>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</si>
  <si>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</si>
  <si>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</si>
  <si>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</si>
  <si>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</si>
  <si>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</si>
  <si>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</si>
  <si>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</si>
  <si>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</si>
  <si>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</si>
  <si>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</si>
  <si>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</si>
  <si>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</si>
  <si>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</si>
  <si>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</si>
  <si>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</si>
  <si>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</si>
  <si>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</si>
  <si>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</si>
  <si>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</si>
  <si>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</si>
  <si>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</si>
  <si>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</si>
  <si>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</si>
  <si>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</si>
  <si>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</si>
  <si>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</si>
  <si>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</si>
  <si>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</si>
  <si>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</si>
  <si>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</si>
  <si>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</si>
  <si>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</si>
  <si>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</si>
  <si>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</si>
  <si>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</si>
  <si>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</si>
  <si>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</si>
  <si>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</si>
  <si>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</si>
  <si>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</si>
  <si>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</si>
  <si>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</si>
  <si>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</si>
  <si>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</si>
  <si>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</si>
  <si>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</si>
  <si>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</si>
  <si>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</si>
  <si>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</si>
  <si>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</si>
  <si>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</si>
  <si>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</si>
  <si>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</si>
  <si>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</si>
  <si>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</si>
  <si>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</si>
  <si>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</si>
  <si>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</si>
  <si>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</si>
  <si>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</si>
  <si>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</si>
  <si>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</si>
  <si>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</si>
  <si>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</si>
  <si>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</si>
  <si>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</si>
  <si>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</si>
  <si>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</si>
  <si>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</si>
  <si>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</si>
  <si>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</si>
  <si>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</si>
  <si>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</si>
  <si>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</si>
  <si>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</si>
  <si>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</si>
  <si>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</si>
  <si>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</si>
  <si>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</si>
  <si>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</si>
  <si>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</si>
  <si>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</si>
  <si>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</si>
  <si>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</si>
  <si>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</si>
  <si>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</si>
  <si>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</si>
  <si>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</si>
  <si>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</si>
  <si>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</si>
  <si>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</si>
  <si>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</si>
  <si>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</si>
  <si>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</si>
  <si>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</si>
  <si>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</si>
  <si>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</si>
  <si>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</si>
  <si>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</si>
  <si>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</si>
  <si>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</si>
  <si>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</si>
  <si>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</si>
  <si>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</si>
  <si>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</si>
  <si>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</si>
  <si>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</si>
  <si>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</si>
  <si>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</si>
  <si>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</si>
  <si>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</si>
  <si>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</si>
  <si>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</si>
  <si>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</si>
  <si>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</si>
  <si>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</si>
  <si>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</si>
  <si>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</si>
  <si>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</si>
  <si>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</si>
  <si>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</si>
  <si>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</si>
  <si>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</si>
  <si>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</si>
  <si>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</si>
  <si>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</si>
  <si>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</si>
  <si>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</si>
  <si>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</si>
  <si>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</si>
  <si>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</si>
  <si>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</si>
  <si>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</si>
  <si>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</si>
  <si>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</si>
  <si>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</si>
  <si>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</si>
  <si>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</si>
  <si>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</si>
  <si>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</si>
  <si>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</si>
  <si>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</si>
  <si>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</si>
  <si>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</si>
  <si>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</si>
  <si>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</si>
  <si>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</si>
  <si>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</si>
  <si>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</si>
  <si>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</si>
  <si>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</si>
  <si>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</si>
  <si>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</si>
  <si>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</si>
  <si>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</si>
  <si>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</si>
  <si>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</si>
  <si>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</si>
  <si>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</si>
  <si>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</si>
  <si>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</si>
  <si>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</si>
  <si>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</si>
  <si>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</si>
  <si>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</si>
  <si>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</si>
  <si>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</si>
  <si>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</si>
  <si>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</si>
  <si>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</si>
  <si>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</si>
  <si>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</si>
  <si>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</si>
  <si>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</si>
  <si>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</si>
  <si>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</si>
  <si>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</si>
  <si>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</si>
  <si>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</si>
  <si>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</si>
  <si>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</si>
  <si>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</si>
  <si>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</si>
  <si>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</si>
  <si>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</si>
  <si>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</si>
  <si>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</si>
  <si>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</si>
  <si>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</si>
  <si>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</si>
  <si>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</si>
  <si>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</si>
  <si>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</si>
  <si>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</si>
  <si>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</si>
  <si>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</si>
  <si>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</si>
  <si>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</si>
  <si>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</si>
  <si>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</si>
  <si>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</si>
  <si>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</si>
  <si>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</si>
  <si>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</si>
  <si>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</si>
  <si>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</si>
  <si>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</si>
  <si>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</si>
  <si>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</si>
  <si>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</si>
  <si>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</si>
  <si>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</si>
  <si>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</si>
  <si>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</si>
  <si>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</si>
  <si>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</si>
  <si>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</si>
  <si>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</si>
  <si>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</si>
  <si>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</si>
  <si>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</si>
  <si>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</si>
  <si>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</si>
  <si>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</si>
  <si>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</si>
  <si>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</si>
  <si>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</si>
  <si>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</si>
  <si>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</si>
  <si>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</si>
  <si>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</si>
  <si>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</si>
  <si>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</si>
  <si>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</si>
  <si>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</si>
  <si>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</si>
  <si>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</si>
  <si>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</si>
  <si>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</si>
  <si>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</si>
  <si>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</si>
  <si>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</si>
  <si>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</si>
  <si>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</si>
  <si>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</si>
  <si>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</si>
  <si>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</si>
  <si>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</si>
  <si>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</si>
  <si>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</si>
  <si>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</si>
  <si>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</si>
  <si>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</si>
  <si>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</si>
  <si>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</si>
  <si>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</si>
  <si>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</si>
  <si>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</si>
  <si>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</si>
  <si>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</si>
  <si>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</si>
  <si>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</si>
  <si>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</si>
  <si>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</si>
  <si>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</si>
  <si>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</si>
  <si>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</si>
  <si>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</si>
  <si>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</si>
  <si>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</si>
  <si>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</si>
  <si>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</si>
  <si>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</si>
  <si>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</si>
  <si>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</si>
  <si>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</si>
  <si>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</si>
  <si>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</si>
  <si>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</si>
  <si>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</si>
  <si>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</si>
  <si>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</si>
  <si>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</si>
  <si>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</si>
  <si>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</si>
  <si>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</si>
  <si>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</si>
  <si>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</si>
  <si>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</si>
  <si>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</si>
  <si>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</si>
  <si>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</si>
  <si>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</si>
  <si>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</si>
  <si>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</si>
  <si>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</si>
  <si>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</si>
  <si>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</si>
  <si>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</si>
  <si>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</si>
  <si>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</si>
  <si>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</si>
  <si>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</si>
  <si>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</si>
  <si>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</si>
  <si>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</si>
  <si>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</si>
  <si>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</si>
  <si>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</si>
  <si>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</si>
  <si>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</si>
  <si>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</si>
  <si>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</si>
  <si>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</si>
  <si>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</si>
  <si>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</si>
  <si>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</si>
  <si>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</si>
  <si>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</si>
  <si>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</si>
  <si>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</si>
  <si>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</si>
  <si>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</si>
  <si>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</si>
  <si>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</si>
  <si>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</si>
  <si>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</si>
  <si>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</si>
  <si>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</si>
  <si>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</si>
  <si>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</si>
  <si>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</si>
  <si>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</si>
  <si>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</si>
  <si>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</si>
  <si>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</si>
  <si>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</si>
  <si>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</si>
  <si>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</si>
  <si>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</si>
  <si>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</si>
  <si>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</si>
  <si>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</si>
  <si>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</si>
  <si>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</si>
  <si>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</si>
  <si>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</si>
  <si>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</si>
  <si>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</si>
  <si>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</si>
  <si>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</si>
  <si>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</si>
  <si>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</si>
  <si>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</si>
  <si>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</si>
  <si>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</si>
  <si>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</si>
  <si>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</si>
  <si>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</si>
  <si>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</si>
  <si>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</si>
  <si>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</si>
  <si>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</si>
  <si>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</si>
  <si>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</si>
  <si>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</si>
  <si>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</si>
  <si>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</si>
  <si>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</si>
  <si>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</si>
  <si>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</si>
  <si>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</si>
  <si>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</si>
  <si>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</si>
  <si>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</si>
  <si>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</si>
  <si>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</si>
  <si>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</si>
  <si>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</si>
  <si>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</si>
  <si>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</si>
  <si>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</si>
  <si>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</si>
  <si>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</si>
  <si>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</si>
  <si>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</si>
  <si>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</si>
  <si>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</si>
  <si>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</si>
  <si>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</si>
  <si>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</si>
  <si>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</si>
  <si>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</si>
  <si>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</si>
  <si>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</si>
  <si>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</si>
  <si>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</si>
  <si>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</si>
  <si>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</si>
  <si>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</si>
  <si>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</si>
  <si>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</si>
  <si>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</si>
  <si>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</si>
  <si>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</si>
  <si>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</si>
  <si>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</si>
  <si>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</si>
  <si>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</si>
  <si>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</si>
  <si>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</si>
  <si>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</si>
  <si>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</si>
  <si>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</si>
  <si>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</si>
  <si>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</si>
  <si>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</si>
  <si>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</si>
  <si>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</si>
  <si>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</si>
  <si>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</si>
  <si>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</si>
  <si>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</si>
  <si>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</si>
  <si>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</si>
  <si>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</si>
  <si>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</si>
  <si>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</si>
  <si>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</si>
  <si>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</si>
  <si>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</si>
  <si>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</si>
  <si>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</si>
  <si>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</si>
  <si>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</si>
  <si>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</si>
  <si>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</si>
  <si>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</si>
  <si>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</si>
  <si>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</si>
  <si>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</si>
  <si>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</si>
  <si>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</si>
  <si>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</si>
  <si>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</si>
  <si>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</si>
  <si>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</si>
  <si>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</si>
  <si>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</si>
  <si>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</si>
  <si>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</si>
  <si>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</si>
  <si>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</si>
  <si>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</si>
  <si>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</si>
  <si>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</si>
  <si>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</si>
  <si>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</si>
  <si>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</si>
  <si>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</si>
  <si>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</si>
  <si>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</si>
  <si>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</si>
  <si>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</si>
  <si>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</si>
  <si>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</si>
  <si>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</si>
  <si>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</si>
  <si>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</si>
  <si>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</si>
  <si>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</si>
  <si>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</si>
  <si>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</si>
  <si>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</si>
  <si>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</si>
  <si>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</si>
  <si>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</si>
  <si>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</si>
  <si>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</si>
  <si>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</si>
  <si>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</si>
  <si>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</si>
  <si>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</si>
  <si>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</si>
  <si>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</si>
  <si>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</si>
  <si>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</si>
  <si>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</si>
  <si>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</si>
  <si>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</si>
  <si>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</si>
  <si>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</si>
  <si>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</si>
  <si>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</si>
  <si>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</si>
  <si>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</si>
  <si>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</si>
  <si>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</si>
  <si>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</si>
  <si>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</si>
  <si>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</si>
  <si>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</si>
  <si>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</si>
  <si>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</si>
  <si>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</si>
  <si>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</si>
  <si>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</si>
  <si>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</si>
  <si>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</si>
  <si>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</si>
  <si>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</si>
  <si>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</si>
  <si>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</si>
  <si>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</si>
  <si>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</si>
  <si>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</si>
  <si>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</si>
  <si>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</si>
  <si>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</si>
  <si>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</si>
  <si>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</si>
  <si>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</si>
  <si>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</si>
  <si>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</si>
  <si>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</si>
  <si>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</si>
  <si>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</si>
  <si>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</si>
  <si>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</si>
  <si>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</si>
  <si>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</si>
  <si>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</si>
  <si>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</si>
  <si>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</si>
  <si>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</si>
  <si>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</si>
  <si>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</si>
  <si>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</si>
  <si>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</si>
  <si>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</si>
  <si>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</si>
  <si>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</si>
  <si>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</si>
  <si>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</si>
  <si>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</si>
  <si>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</si>
  <si>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</si>
  <si>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</si>
  <si>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</si>
  <si>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</si>
  <si>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</si>
  <si>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</si>
  <si>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</si>
  <si>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</si>
  <si>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</si>
  <si>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</si>
  <si>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</si>
  <si>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</si>
  <si>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</si>
  <si>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</si>
  <si>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</si>
  <si>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</si>
  <si>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</si>
  <si>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</si>
  <si>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</si>
  <si>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</si>
  <si>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</si>
  <si>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</si>
  <si>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</si>
  <si>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</si>
  <si>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</si>
  <si>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</si>
  <si>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</si>
  <si>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</si>
  <si>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</si>
  <si>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</si>
  <si>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</si>
  <si>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</si>
  <si>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</si>
  <si>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</si>
  <si>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</si>
  <si>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</si>
  <si>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</si>
  <si>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</si>
  <si>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</si>
  <si>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</si>
  <si>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</si>
  <si>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</si>
  <si>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</si>
  <si>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</si>
  <si>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</si>
  <si>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</si>
  <si>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</si>
  <si>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</si>
  <si>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</si>
  <si>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</si>
  <si>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</si>
  <si>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</si>
  <si>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</si>
  <si>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</si>
  <si>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</si>
  <si>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</si>
  <si>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</si>
  <si>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</si>
  <si>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</si>
  <si>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</si>
  <si>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</si>
  <si>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</si>
  <si>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</si>
  <si>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</si>
  <si>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</si>
  <si>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</si>
  <si>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</si>
  <si>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</si>
  <si>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</si>
  <si>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</si>
  <si>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</si>
  <si>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</si>
  <si>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</si>
  <si>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</si>
  <si>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</si>
  <si>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</si>
  <si>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</si>
  <si>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</si>
  <si>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</si>
  <si>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</si>
  <si>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</si>
  <si>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</si>
  <si>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</si>
  <si>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</si>
  <si>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</si>
  <si>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</si>
  <si>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</si>
  <si>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</si>
  <si>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</si>
  <si>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</si>
  <si>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</si>
  <si>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</si>
  <si>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</si>
  <si>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</si>
  <si>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</si>
  <si>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</si>
  <si>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</si>
  <si>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</si>
  <si>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</si>
  <si>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</si>
  <si>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</si>
  <si>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</si>
  <si>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</si>
  <si>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</si>
  <si>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</si>
  <si>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</si>
  <si>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</si>
  <si>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</si>
  <si>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</si>
  <si>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</si>
  <si>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</si>
  <si>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</si>
  <si>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</si>
  <si>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</si>
  <si>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</si>
  <si>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</si>
  <si>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</si>
  <si>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</si>
  <si>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</si>
  <si>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</si>
  <si>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</si>
  <si>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</si>
  <si>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</si>
  <si>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</si>
  <si>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</si>
  <si>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</si>
  <si>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</si>
  <si>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</si>
  <si>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</si>
  <si>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</si>
  <si>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</si>
  <si>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</si>
  <si>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</si>
  <si>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</si>
  <si>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</si>
  <si>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</si>
  <si>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</si>
  <si>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</si>
  <si>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</si>
  <si>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</si>
  <si>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</si>
  <si>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</si>
  <si>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</si>
  <si>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</si>
  <si>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</si>
  <si>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</si>
  <si>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</si>
  <si>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</si>
  <si>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</si>
  <si>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</si>
  <si>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</si>
  <si>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</si>
  <si>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</si>
  <si>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</si>
  <si>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</si>
  <si>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</si>
  <si>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</si>
  <si>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</si>
  <si>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</si>
  <si>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</si>
  <si>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</si>
  <si>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</si>
  <si>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</si>
  <si>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</si>
  <si>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</si>
  <si>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</si>
  <si>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</si>
  <si>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</si>
  <si>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</si>
  <si>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</si>
  <si>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</si>
  <si>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</si>
  <si>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</si>
  <si>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</si>
  <si>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</si>
  <si>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</si>
  <si>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</si>
  <si>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</si>
  <si>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</si>
  <si>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</si>
  <si>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</si>
  <si>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</si>
  <si>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</si>
  <si>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</si>
  <si>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</si>
  <si>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</si>
  <si>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</si>
  <si>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</si>
  <si>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</si>
  <si>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</si>
  <si>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</si>
  <si>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</si>
  <si>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</si>
  <si>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</si>
  <si>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</si>
  <si>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</si>
  <si>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</si>
  <si>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</si>
  <si>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</si>
  <si>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</si>
  <si>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</si>
  <si>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</si>
  <si>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</si>
  <si>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</si>
  <si>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</si>
  <si>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</si>
  <si>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</si>
  <si>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</si>
  <si>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</si>
  <si>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</si>
  <si>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</si>
  <si>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</si>
  <si>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</si>
  <si>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</si>
  <si>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</si>
  <si>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</si>
  <si>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</si>
  <si>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</si>
  <si>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</si>
  <si>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</si>
  <si>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</si>
  <si>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</si>
  <si>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</si>
  <si>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</si>
  <si>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</si>
  <si>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</si>
  <si>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</si>
  <si>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</si>
  <si>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</si>
  <si>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</si>
  <si>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</si>
  <si>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</si>
  <si>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</si>
  <si>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</si>
  <si>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</si>
  <si>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</si>
  <si>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</si>
  <si>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</si>
  <si>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</si>
  <si>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</si>
  <si>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</si>
  <si>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</si>
  <si>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</si>
  <si>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</si>
  <si>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</si>
  <si>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</si>
  <si>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</si>
  <si>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</si>
  <si>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</si>
  <si>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</si>
  <si>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</si>
  <si>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</si>
  <si>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</si>
  <si>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</si>
  <si>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</si>
  <si>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</si>
  <si>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</si>
  <si>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</si>
  <si>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</si>
  <si>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</si>
  <si>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</si>
  <si>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</si>
  <si>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</si>
  <si>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</si>
  <si>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</si>
  <si>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</si>
  <si>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</si>
  <si>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</si>
  <si>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</si>
  <si>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</si>
  <si>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</si>
  <si>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</si>
  <si>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</si>
  <si>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</si>
  <si>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</si>
  <si>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</si>
  <si>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</si>
  <si>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</si>
  <si>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</si>
  <si>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</si>
  <si>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</si>
  <si>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</si>
  <si>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</si>
  <si>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</si>
  <si>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</si>
  <si>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</si>
  <si>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</si>
  <si>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</si>
  <si>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</si>
  <si>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</si>
  <si>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</si>
  <si>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</si>
  <si>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</si>
  <si>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</si>
  <si>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</si>
  <si>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</si>
  <si>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</si>
  <si>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</si>
  <si>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</si>
  <si>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</si>
  <si>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</si>
  <si>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</si>
  <si>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</si>
  <si>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</si>
  <si>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</si>
  <si>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</si>
  <si>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</si>
  <si>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</si>
  <si>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</si>
  <si>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</si>
  <si>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</si>
  <si>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</si>
  <si>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</si>
  <si>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</si>
  <si>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</si>
  <si>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</si>
  <si>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</si>
  <si>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</si>
  <si>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</si>
  <si>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</si>
  <si>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</si>
  <si>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</si>
  <si>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</si>
  <si>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</si>
  <si>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</si>
  <si>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</si>
  <si>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</si>
  <si>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</si>
  <si>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</si>
  <si>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</si>
  <si>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</si>
  <si>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</si>
  <si>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</si>
  <si>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</si>
  <si>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</si>
  <si>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</si>
  <si>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</si>
  <si>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</si>
  <si>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</si>
  <si>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</si>
  <si>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</si>
  <si>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</si>
  <si>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</si>
  <si>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</si>
  <si>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</si>
  <si>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</si>
  <si>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</si>
  <si>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</si>
  <si>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</si>
  <si>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</si>
  <si>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</si>
  <si>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</si>
  <si>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</si>
  <si>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</si>
  <si>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</si>
  <si>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</si>
  <si>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</si>
  <si>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</si>
  <si>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</si>
  <si>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</si>
  <si>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</si>
  <si>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</si>
  <si>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</si>
  <si>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</si>
  <si>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</si>
  <si>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</si>
  <si>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</si>
  <si>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</si>
  <si>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</si>
  <si>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</si>
  <si>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</si>
  <si>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</si>
  <si>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</si>
  <si>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</si>
  <si>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</si>
  <si>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</si>
  <si>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</si>
  <si>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</si>
  <si>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</si>
  <si>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</si>
  <si>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</si>
  <si>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</si>
  <si>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</si>
  <si>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</si>
  <si>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</si>
  <si>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</si>
  <si>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</si>
  <si>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</si>
  <si>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</si>
  <si>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</si>
  <si>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</si>
  <si>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</si>
  <si>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</si>
  <si>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</si>
  <si>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</si>
  <si>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</si>
  <si>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</si>
  <si>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</si>
  <si>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</si>
  <si>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</si>
  <si>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</si>
  <si>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</si>
  <si>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</si>
  <si>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</si>
  <si>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</si>
  <si>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</si>
  <si>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</si>
  <si>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</si>
  <si>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</si>
  <si>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</si>
  <si>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</si>
  <si>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</si>
  <si>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</si>
  <si>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</si>
  <si>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</si>
  <si>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</si>
  <si>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</si>
  <si>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</si>
  <si>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</si>
  <si>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</si>
  <si>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</si>
  <si>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</si>
  <si>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</si>
  <si>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</si>
  <si>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</si>
  <si>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</si>
  <si>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</si>
  <si>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</si>
  <si>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</si>
  <si>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</si>
  <si>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</si>
  <si>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</si>
  <si>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</si>
  <si>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</si>
  <si>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</si>
  <si>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</si>
  <si>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</si>
  <si>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</si>
  <si>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</si>
  <si>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</si>
  <si>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</si>
  <si>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</si>
  <si>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</si>
  <si>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</si>
  <si>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</si>
  <si>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</si>
  <si>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</si>
  <si>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</si>
  <si>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</si>
  <si>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</si>
  <si>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</si>
  <si>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</si>
  <si>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</si>
  <si>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</si>
  <si>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</si>
  <si>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</si>
  <si>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</si>
  <si>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</si>
  <si>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</si>
  <si>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</si>
  <si>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</si>
  <si>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</si>
  <si>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</si>
  <si>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</si>
  <si>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</si>
  <si>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</si>
  <si>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</si>
  <si>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</si>
  <si>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</si>
  <si>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</si>
  <si>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</si>
  <si>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</si>
  <si>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</si>
  <si>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</si>
  <si>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</si>
  <si>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</si>
  <si>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</si>
  <si>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</si>
  <si>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</si>
  <si>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</si>
  <si>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</si>
  <si>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</si>
  <si>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</si>
  <si>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</si>
  <si>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</si>
  <si>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</si>
  <si>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</si>
  <si>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</si>
  <si>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</si>
  <si>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</si>
  <si>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</si>
  <si>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</si>
  <si>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</si>
  <si>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</si>
  <si>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</si>
  <si>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</si>
  <si>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</si>
  <si>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</si>
  <si>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</si>
  <si>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</si>
  <si>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</si>
  <si>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</si>
  <si>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</si>
  <si>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</si>
  <si>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</si>
  <si>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</si>
  <si>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</si>
  <si>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</si>
  <si>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</si>
  <si>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</si>
  <si>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</si>
  <si>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</si>
  <si>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</si>
  <si>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</si>
  <si>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</si>
  <si>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</si>
  <si>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</si>
  <si>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</si>
  <si>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</si>
  <si>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</si>
  <si>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</si>
  <si>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</si>
  <si>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</si>
  <si>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</si>
  <si>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</si>
  <si>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</si>
  <si>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</si>
  <si>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</si>
  <si>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</si>
  <si>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</si>
  <si>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</si>
  <si>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</si>
  <si>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</si>
  <si>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</si>
  <si>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</si>
  <si>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</si>
  <si>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</si>
  <si>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</si>
  <si>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</si>
  <si>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</si>
  <si>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</si>
  <si>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</si>
  <si>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</si>
  <si>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</si>
  <si>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</si>
  <si>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</si>
  <si>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</si>
  <si>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</si>
  <si>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</si>
  <si>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</si>
  <si>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</si>
  <si>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</si>
  <si>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</si>
  <si>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</si>
  <si>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</si>
  <si>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</si>
  <si>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</si>
  <si>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</si>
  <si>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</si>
  <si>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</si>
  <si>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</si>
  <si>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</si>
  <si>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</si>
  <si>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</si>
  <si>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</si>
  <si>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</si>
  <si>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</si>
  <si>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</si>
  <si>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</si>
  <si>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</si>
  <si>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</si>
  <si>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</si>
  <si>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</si>
  <si>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</si>
  <si>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</si>
  <si>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</si>
  <si>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</si>
  <si>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</si>
  <si>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</si>
  <si>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</si>
  <si>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</si>
  <si>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</si>
  <si>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</si>
  <si>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</si>
  <si>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</si>
  <si>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</si>
  <si>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</si>
  <si>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</si>
  <si>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</si>
  <si>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</si>
  <si>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</si>
  <si>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</si>
  <si>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</si>
  <si>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</si>
  <si>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</si>
  <si>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</si>
  <si>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</si>
  <si>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</si>
  <si>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</si>
  <si>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</si>
  <si>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</si>
  <si>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</si>
  <si>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</si>
  <si>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</si>
  <si>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</si>
  <si>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</si>
  <si>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</si>
  <si>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</si>
  <si>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</si>
  <si>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</si>
  <si>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</si>
  <si>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</si>
  <si>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</si>
  <si>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</si>
  <si>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</si>
  <si>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</si>
  <si>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</si>
  <si>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</si>
  <si>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</si>
  <si>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</si>
  <si>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</si>
  <si>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</si>
  <si>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</si>
  <si>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</si>
  <si>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</si>
  <si>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</si>
  <si>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</si>
  <si>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</si>
  <si>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</si>
  <si>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</si>
  <si>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</si>
  <si>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</si>
  <si>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</si>
  <si>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</si>
  <si>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</si>
  <si>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</si>
  <si>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</si>
  <si>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</si>
  <si>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</si>
  <si>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</si>
  <si>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</si>
  <si>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</si>
  <si>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</si>
  <si>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</si>
  <si>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</si>
  <si>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</si>
  <si>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</si>
  <si>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</si>
  <si>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</si>
  <si>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</si>
  <si>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</si>
  <si>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</si>
  <si>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</si>
  <si>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</si>
  <si>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</si>
  <si>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</si>
  <si>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</si>
  <si>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</si>
  <si>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</si>
  <si>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</si>
  <si>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</si>
  <si>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</si>
  <si>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</si>
  <si>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</si>
  <si>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</si>
  <si>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</si>
  <si>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</si>
  <si>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</si>
  <si>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</si>
  <si>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</si>
  <si>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</si>
  <si>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</si>
  <si>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</si>
  <si>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</si>
  <si>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</si>
  <si>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</si>
  <si>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</si>
  <si>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</si>
  <si>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</si>
  <si>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</si>
  <si>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</si>
  <si>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</si>
  <si>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</si>
  <si>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</si>
  <si>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</si>
  <si>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</si>
  <si>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</si>
  <si>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</si>
  <si>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</si>
  <si>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</si>
  <si>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</si>
  <si>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</si>
  <si>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</si>
  <si>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</si>
  <si>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</si>
  <si>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</si>
  <si>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</si>
  <si>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</si>
  <si>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</si>
  <si>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</si>
  <si>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</si>
  <si>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</si>
  <si>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</si>
  <si>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</si>
  <si>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</si>
  <si>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</si>
  <si>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</si>
  <si>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</si>
  <si>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</si>
  <si>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</si>
  <si>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</si>
  <si>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</si>
  <si>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</si>
  <si>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</si>
  <si>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</si>
  <si>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</si>
  <si>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</si>
  <si>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</si>
  <si>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</si>
  <si>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</si>
  <si>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</si>
  <si>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</si>
  <si>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</si>
  <si>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</si>
  <si>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</si>
  <si>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</si>
  <si>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</si>
  <si>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</si>
  <si>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</si>
  <si>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</si>
  <si>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</si>
  <si>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</si>
  <si>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</si>
  <si>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</si>
  <si>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</si>
  <si>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</si>
  <si>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</si>
  <si>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</si>
  <si>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</si>
  <si>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</si>
  <si>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</si>
  <si>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</si>
  <si>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</si>
  <si>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</si>
  <si>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</si>
  <si>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</si>
  <si>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</si>
  <si>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</si>
  <si>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</si>
  <si>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</si>
  <si>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</si>
  <si>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</si>
  <si>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</si>
  <si>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</si>
  <si>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</si>
  <si>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</si>
  <si>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</si>
  <si>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</si>
  <si>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</si>
  <si>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</si>
  <si>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</si>
  <si>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</si>
  <si>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</si>
  <si>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</si>
  <si>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</si>
  <si>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</si>
  <si>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</si>
  <si>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</si>
  <si>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</si>
  <si>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</si>
  <si>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</si>
  <si>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</si>
  <si>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</si>
  <si>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</si>
  <si>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</si>
  <si>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</si>
  <si>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</si>
  <si>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</si>
  <si>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</si>
  <si>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</si>
  <si>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</si>
  <si>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</si>
  <si>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</si>
  <si>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</si>
  <si>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</si>
  <si>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</si>
  <si>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</si>
  <si>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</si>
  <si>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</si>
  <si>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</si>
  <si>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</si>
  <si>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</si>
  <si>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</si>
  <si>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</si>
  <si>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</si>
  <si>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</si>
  <si>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</si>
  <si>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</si>
  <si>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</si>
  <si>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</si>
  <si>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</si>
  <si>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</si>
  <si>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</si>
  <si>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</si>
  <si>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</si>
  <si>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</si>
  <si>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</si>
  <si>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</si>
  <si>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</si>
  <si>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</si>
  <si>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</si>
  <si>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</si>
  <si>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</si>
  <si>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</si>
  <si>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</si>
  <si>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</si>
  <si>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</si>
  <si>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</si>
  <si>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</si>
  <si>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</si>
  <si>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</si>
  <si>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</si>
  <si>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</si>
  <si>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</si>
  <si>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</si>
  <si>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</si>
  <si>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</si>
  <si>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</si>
  <si>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</si>
  <si>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</si>
  <si>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</si>
  <si>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</si>
  <si>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</si>
  <si>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</si>
  <si>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</si>
  <si>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</si>
  <si>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</si>
  <si>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</si>
  <si>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</si>
  <si>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</si>
  <si>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</si>
  <si>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</si>
  <si>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</si>
  <si>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</si>
  <si>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</si>
  <si>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</si>
  <si>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</si>
  <si>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</si>
  <si>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</si>
  <si>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</si>
  <si>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</si>
  <si>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</si>
  <si>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</si>
  <si>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</si>
  <si>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</si>
  <si>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</si>
  <si>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</si>
  <si>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</si>
  <si>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</si>
  <si>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</si>
  <si>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</si>
  <si>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</si>
  <si>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</si>
  <si>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</si>
  <si>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</si>
  <si>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</si>
  <si>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</si>
  <si>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</si>
  <si>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</si>
  <si>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</si>
  <si>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</si>
  <si>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</si>
  <si>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</si>
  <si>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</si>
  <si>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</si>
  <si>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</si>
  <si>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</si>
  <si>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</si>
  <si>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</si>
  <si>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</si>
  <si>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</si>
  <si>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</si>
  <si>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</si>
  <si>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</si>
  <si>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</si>
  <si>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</si>
  <si>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</si>
  <si>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</si>
  <si>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</si>
  <si>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</si>
  <si>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</si>
  <si>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</si>
  <si>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</si>
  <si>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</si>
  <si>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</si>
  <si>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</si>
  <si>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</si>
  <si>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</si>
  <si>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</si>
  <si>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</si>
  <si>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</si>
  <si>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</si>
  <si>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</si>
  <si>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</si>
  <si>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</si>
  <si>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</si>
  <si>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</si>
  <si>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</si>
  <si>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</si>
  <si>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</si>
  <si>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</si>
  <si>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</si>
  <si>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</si>
  <si>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</si>
  <si>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</si>
  <si>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</si>
  <si>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</si>
  <si>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</si>
  <si>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</si>
  <si>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</si>
  <si>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</si>
  <si>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</si>
  <si>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</si>
  <si>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</si>
  <si>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</si>
  <si>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</si>
  <si>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</si>
  <si>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</si>
  <si>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</si>
  <si>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</si>
  <si>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</si>
  <si>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</si>
  <si>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</si>
  <si>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</si>
  <si>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</si>
  <si>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</si>
  <si>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</si>
  <si>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</si>
  <si>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</si>
  <si>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</si>
  <si>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</si>
  <si>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</si>
  <si>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</si>
  <si>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</si>
  <si>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</si>
  <si>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</si>
  <si>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</si>
  <si>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</si>
  <si>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</si>
  <si>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</si>
  <si>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</si>
  <si>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</si>
  <si>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</si>
  <si>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</si>
  <si>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</si>
  <si>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</si>
  <si>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</si>
  <si>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</si>
  <si>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</si>
  <si>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</si>
  <si>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</si>
  <si>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</si>
  <si>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</si>
  <si>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</si>
  <si>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</si>
  <si>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</si>
  <si>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</si>
  <si>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</si>
  <si>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</si>
  <si>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</si>
  <si>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</si>
  <si>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</si>
  <si>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</si>
  <si>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</si>
  <si>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</si>
  <si>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</si>
  <si>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</si>
  <si>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</si>
  <si>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</si>
  <si>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</si>
  <si>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</si>
  <si>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</si>
  <si>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</si>
  <si>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</si>
  <si>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</si>
  <si>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</si>
  <si>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</si>
  <si>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</si>
  <si>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</si>
  <si>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</si>
  <si>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</si>
  <si>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</si>
  <si>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</si>
  <si>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</si>
  <si>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</si>
  <si>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</si>
  <si>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</si>
  <si>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</si>
  <si>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</si>
  <si>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</si>
  <si>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</si>
  <si>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</si>
  <si>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</si>
  <si>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</si>
  <si>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</si>
  <si>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</si>
  <si>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</si>
  <si>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</si>
  <si>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</si>
  <si>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</si>
  <si>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</si>
  <si>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</si>
  <si>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</si>
  <si>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</si>
  <si>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</si>
  <si>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</si>
  <si>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</si>
  <si>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</si>
  <si>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</si>
  <si>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</si>
  <si>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</si>
  <si>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</si>
  <si>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</si>
  <si>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</si>
  <si>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</si>
  <si>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</si>
  <si>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</si>
  <si>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</si>
  <si>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</si>
  <si>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</si>
  <si>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</si>
  <si>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</si>
  <si>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</si>
  <si>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</si>
  <si>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</si>
  <si>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</si>
  <si>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</si>
  <si>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</si>
  <si>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</si>
  <si>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</si>
  <si>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</si>
  <si>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</si>
  <si>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</si>
  <si>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</si>
  <si>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</si>
  <si>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</si>
  <si>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</si>
  <si>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</si>
  <si>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</si>
  <si>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</si>
  <si>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</si>
  <si>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</si>
  <si>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</si>
  <si>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</si>
  <si>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</si>
  <si>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</si>
  <si>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</si>
  <si>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</si>
  <si>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</si>
  <si>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</si>
  <si>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</si>
  <si>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</si>
  <si>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</si>
  <si>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</si>
  <si>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</si>
  <si>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</si>
  <si>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</si>
  <si>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</si>
  <si>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</si>
  <si>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</si>
  <si>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</si>
  <si>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</si>
  <si>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</si>
  <si>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</si>
  <si>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</si>
  <si>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</si>
  <si>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</si>
  <si>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</si>
  <si>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</si>
  <si>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</si>
  <si>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</si>
  <si>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</si>
  <si>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</si>
  <si>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</si>
  <si>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</si>
  <si>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</si>
  <si>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</si>
  <si>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</si>
  <si>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</si>
  <si>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</si>
  <si>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</si>
  <si>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</si>
  <si>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</si>
  <si>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</si>
  <si>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</si>
  <si>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</si>
  <si>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</si>
  <si>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</si>
  <si>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</si>
  <si>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</si>
  <si>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</si>
  <si>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</si>
  <si>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</si>
  <si>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</si>
  <si>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</si>
  <si>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</si>
  <si>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</si>
  <si>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</si>
  <si>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</si>
  <si>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</si>
  <si>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</si>
  <si>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</si>
  <si>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</si>
  <si>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</si>
  <si>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</si>
  <si>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</si>
  <si>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</si>
  <si>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</si>
  <si>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</si>
  <si>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</si>
  <si>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</si>
  <si>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</si>
  <si>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</si>
  <si>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</si>
  <si>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</si>
  <si>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</si>
  <si>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</si>
  <si>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</si>
  <si>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</si>
  <si>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</si>
  <si>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</si>
  <si>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</si>
  <si>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</si>
  <si>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</si>
  <si>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</si>
  <si>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</si>
  <si>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</si>
  <si>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</si>
  <si>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</si>
  <si>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</si>
  <si>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</si>
  <si>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</si>
  <si>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</si>
  <si>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</si>
  <si>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</si>
  <si>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</si>
  <si>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</si>
  <si>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</si>
  <si>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</si>
  <si>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</si>
  <si>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</si>
  <si>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</si>
  <si>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</si>
  <si>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</si>
  <si>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</si>
  <si>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</si>
  <si>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</si>
  <si>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</si>
  <si>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</si>
  <si>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</si>
  <si>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</si>
  <si>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</si>
  <si>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</si>
  <si>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</si>
  <si>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</si>
  <si>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</si>
  <si>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</si>
  <si>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</si>
  <si>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</si>
  <si>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</si>
  <si>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</si>
  <si>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</si>
  <si>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</si>
  <si>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</si>
  <si>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</si>
  <si>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</si>
  <si>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</si>
  <si>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</si>
  <si>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</si>
  <si>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</si>
  <si>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</si>
  <si>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</si>
  <si>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</si>
  <si>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</si>
  <si>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</si>
  <si>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</si>
  <si>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</si>
  <si>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</si>
  <si>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</si>
  <si>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</si>
  <si>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</si>
  <si>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</si>
  <si>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</si>
  <si>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</si>
  <si>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</si>
  <si>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</si>
  <si>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</si>
  <si>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</si>
  <si>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</si>
  <si>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</si>
  <si>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</si>
  <si>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</si>
  <si>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</si>
  <si>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</si>
  <si>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</si>
  <si>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</si>
  <si>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</si>
  <si>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</si>
  <si>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</si>
  <si>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</si>
  <si>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</si>
  <si>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</si>
  <si>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</si>
  <si>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</si>
  <si>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</si>
  <si>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</si>
  <si>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</si>
  <si>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</si>
  <si>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</si>
  <si>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</si>
  <si>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</si>
  <si>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</si>
  <si>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</si>
  <si>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</si>
  <si>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</si>
  <si>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</si>
  <si>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</si>
  <si>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</si>
  <si>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</si>
  <si>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</si>
  <si>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</si>
  <si>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</si>
  <si>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</si>
  <si>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</si>
  <si>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</si>
  <si>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</si>
  <si>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</si>
  <si>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</si>
  <si>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</si>
  <si>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</si>
  <si>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</si>
  <si>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</si>
  <si>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</si>
  <si>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</si>
  <si>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</si>
  <si>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</si>
  <si>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</si>
  <si>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</si>
  <si>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</si>
  <si>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</si>
  <si>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</si>
  <si>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</si>
  <si>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</si>
  <si>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</si>
  <si>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</si>
  <si>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</si>
  <si>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</si>
  <si>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</si>
  <si>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</si>
  <si>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</si>
  <si>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</si>
  <si>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</si>
  <si>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</si>
  <si>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</si>
  <si>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</si>
  <si>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</si>
  <si>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</si>
  <si>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</si>
  <si>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</si>
  <si>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</si>
  <si>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</si>
  <si>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</si>
  <si>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</si>
  <si>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</si>
  <si>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</si>
  <si>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</si>
  <si>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</si>
  <si>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</si>
  <si>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</si>
  <si>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</si>
  <si>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</si>
  <si>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</si>
  <si>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</si>
  <si>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</si>
  <si>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</si>
  <si>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</si>
  <si>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</si>
  <si>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</si>
  <si>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</si>
  <si>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</si>
  <si>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</si>
  <si>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</si>
  <si>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</si>
  <si>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</si>
  <si>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</si>
  <si>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</si>
  <si>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</si>
  <si>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</si>
  <si>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</si>
  <si>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</si>
  <si>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</si>
  <si>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</si>
  <si>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</si>
  <si>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</si>
  <si>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</si>
  <si>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</si>
  <si>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</si>
  <si>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</si>
  <si>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</si>
  <si>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</si>
  <si>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</si>
  <si>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</si>
  <si>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</si>
  <si>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</si>
  <si>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</si>
  <si>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</si>
  <si>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</si>
  <si>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</si>
  <si>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</si>
  <si>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</si>
  <si>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</si>
  <si>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</si>
  <si>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</si>
  <si>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</si>
  <si>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</si>
  <si>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</si>
  <si>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</si>
  <si>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</si>
  <si>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</si>
  <si>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</si>
  <si>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</si>
  <si>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</si>
  <si>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</si>
  <si>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</si>
  <si>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</si>
  <si>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</si>
  <si>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</si>
  <si>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</si>
  <si>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</si>
  <si>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</si>
  <si>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</si>
  <si>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</si>
  <si>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</si>
  <si>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</si>
  <si>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</si>
  <si>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</si>
  <si>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</si>
  <si>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</si>
  <si>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</si>
  <si>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</si>
  <si>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</si>
  <si>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</si>
  <si>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</si>
  <si>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</si>
  <si>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</si>
  <si>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</si>
  <si>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</si>
  <si>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</si>
  <si>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</si>
  <si>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</si>
  <si>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</si>
  <si>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</si>
  <si>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</si>
  <si>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</si>
  <si>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</si>
  <si>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</si>
  <si>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</si>
  <si>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</si>
  <si>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</si>
  <si>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</si>
  <si>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</si>
  <si>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</si>
  <si>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</si>
  <si>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</si>
  <si>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</si>
  <si>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</si>
  <si>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</si>
  <si>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</si>
  <si>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</si>
  <si>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</si>
  <si>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</si>
  <si>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</si>
  <si>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</si>
  <si>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</si>
  <si>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</si>
  <si>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</si>
  <si>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</si>
  <si>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</si>
  <si>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</si>
  <si>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</si>
  <si>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</si>
  <si>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</si>
  <si>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</si>
  <si>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</si>
  <si>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</si>
  <si>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</si>
  <si>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</si>
  <si>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</si>
  <si>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</si>
  <si>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</si>
  <si>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</si>
  <si>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</si>
  <si>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</si>
  <si>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</si>
  <si>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</si>
  <si>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</si>
  <si>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</si>
  <si>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</si>
  <si>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</si>
  <si>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</si>
  <si>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</si>
  <si>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</si>
  <si>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</si>
  <si>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</si>
  <si>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</si>
  <si>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</si>
  <si>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</si>
  <si>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</si>
  <si>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</si>
  <si>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</si>
  <si>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</si>
  <si>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</si>
  <si>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</si>
  <si>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</si>
  <si>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</si>
  <si>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</si>
  <si>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</si>
  <si>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</si>
  <si>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</si>
  <si>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</si>
  <si>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</si>
  <si>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</si>
  <si>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</si>
  <si>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</si>
  <si>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</si>
  <si>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</si>
  <si>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</si>
  <si>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</si>
  <si>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</si>
  <si>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</si>
  <si>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</si>
  <si>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</si>
  <si>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</si>
  <si>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</si>
  <si>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</si>
  <si>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</si>
  <si>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</si>
  <si>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</si>
  <si>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</si>
  <si>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</si>
  <si>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</si>
  <si>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</si>
  <si>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</si>
  <si>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</si>
  <si>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</si>
  <si>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</si>
  <si>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</si>
  <si>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</si>
  <si>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</si>
  <si>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</si>
  <si>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</si>
  <si>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</si>
  <si>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</si>
  <si>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</si>
  <si>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</si>
  <si>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</si>
  <si>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</si>
  <si>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</si>
  <si>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</si>
  <si>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</si>
  <si>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</si>
  <si>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</si>
  <si>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</si>
  <si>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</si>
  <si>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</si>
  <si>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</si>
  <si>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</si>
  <si>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</si>
  <si>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</si>
  <si>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</si>
  <si>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</si>
  <si>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</si>
  <si>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</si>
  <si>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</si>
  <si>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</si>
  <si>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</si>
  <si>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</si>
  <si>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</si>
  <si>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</si>
  <si>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</si>
  <si>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</si>
  <si>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</si>
  <si>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</si>
  <si>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</si>
  <si>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</si>
  <si>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</si>
  <si>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</si>
  <si>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</si>
  <si>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</si>
  <si>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</si>
  <si>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</si>
  <si>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</si>
  <si>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</si>
  <si>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</si>
  <si>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</si>
  <si>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</si>
  <si>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</si>
  <si>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</si>
  <si>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</si>
  <si>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</si>
  <si>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</si>
  <si>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</si>
  <si>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</si>
  <si>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</si>
  <si>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</si>
  <si>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</si>
  <si>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</si>
  <si>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</si>
  <si>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</si>
  <si>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</si>
  <si>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</si>
  <si>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</si>
  <si>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</si>
  <si>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</si>
  <si>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</si>
  <si>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</si>
  <si>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</si>
  <si>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</si>
  <si>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</si>
  <si>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</si>
  <si>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</si>
  <si>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</si>
  <si>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</si>
  <si>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</si>
  <si>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</si>
  <si>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</si>
  <si>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</si>
  <si>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</si>
  <si>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</si>
  <si>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</si>
  <si>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</si>
  <si>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</si>
  <si>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</si>
  <si>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</si>
  <si>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</si>
  <si>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</si>
  <si>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</si>
  <si>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</si>
  <si>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</si>
  <si>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</si>
  <si>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</si>
  <si>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</si>
  <si>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</si>
  <si>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</si>
  <si>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</si>
  <si>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</si>
  <si>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</si>
  <si>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</si>
  <si>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</si>
  <si>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</si>
  <si>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</si>
  <si>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</si>
  <si>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</si>
  <si>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</si>
  <si>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</si>
  <si>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</si>
  <si>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</si>
  <si>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</si>
  <si>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</si>
  <si>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</si>
  <si>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</si>
  <si>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</si>
  <si>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</si>
  <si>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</si>
  <si>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</si>
  <si>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</si>
  <si>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</si>
  <si>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</si>
  <si>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</si>
  <si>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</si>
  <si>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</si>
  <si>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</si>
  <si>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</si>
  <si>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</si>
  <si>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</si>
  <si>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</si>
  <si>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</si>
  <si>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</si>
  <si>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</si>
  <si>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</si>
  <si>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</si>
  <si>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</si>
  <si>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</si>
  <si>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</si>
  <si>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</si>
  <si>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</si>
  <si>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</si>
  <si>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</si>
  <si>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</si>
  <si>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</si>
  <si>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</si>
  <si>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</si>
  <si>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</si>
  <si>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</si>
  <si>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</si>
  <si>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</si>
  <si>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</si>
  <si>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</si>
  <si>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</si>
  <si>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</si>
  <si>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</si>
  <si>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</si>
  <si>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</si>
  <si>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</si>
  <si>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</si>
  <si>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</si>
  <si>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</si>
  <si>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</si>
  <si>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</si>
  <si>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</si>
  <si>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</si>
  <si>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</si>
  <si>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</si>
  <si>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</si>
  <si>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</si>
  <si>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</si>
  <si>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</si>
  <si>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</si>
  <si>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</si>
  <si>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</si>
  <si>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</si>
  <si>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</si>
  <si>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</si>
  <si>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</si>
  <si>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</si>
  <si>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</si>
  <si>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</si>
  <si>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</si>
  <si>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</si>
  <si>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</si>
  <si>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</si>
  <si>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</si>
  <si>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</si>
  <si>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</si>
  <si>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</si>
  <si>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</si>
  <si>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</si>
  <si>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</si>
  <si>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</si>
  <si>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</si>
  <si>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</si>
  <si>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</si>
  <si>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</si>
  <si>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</si>
  <si>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</si>
  <si>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</si>
  <si>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</si>
  <si>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</si>
  <si>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</si>
  <si>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</si>
  <si>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</si>
  <si>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</si>
  <si>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</si>
  <si>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</si>
  <si>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</si>
  <si>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</si>
  <si>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</si>
  <si>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</si>
  <si>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</si>
  <si>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</si>
  <si>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</si>
  <si>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</si>
  <si>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</si>
  <si>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</si>
  <si>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</si>
  <si>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</si>
  <si>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</si>
  <si>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</si>
  <si>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</si>
  <si>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</si>
  <si>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</si>
  <si>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</si>
  <si>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</si>
  <si>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</si>
  <si>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</si>
  <si>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</si>
  <si>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</si>
  <si>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</si>
  <si>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</si>
  <si>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</si>
  <si>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</si>
  <si>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</si>
  <si>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</si>
  <si>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</si>
  <si>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</si>
  <si>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</si>
  <si>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</si>
  <si>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</si>
  <si>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</si>
  <si>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</si>
  <si>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</si>
  <si>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</si>
  <si>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</si>
  <si>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</si>
  <si>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</si>
  <si>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</si>
  <si>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</si>
  <si>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</si>
  <si>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</si>
  <si>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</si>
  <si>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</si>
  <si>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</si>
  <si>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</si>
  <si>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</si>
  <si>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</si>
  <si>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</si>
  <si>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</si>
  <si>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</si>
  <si>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</si>
  <si>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</si>
  <si>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</si>
  <si>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</si>
  <si>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</si>
  <si>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</si>
  <si>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</si>
  <si>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</si>
  <si>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</si>
  <si>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</si>
  <si>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</si>
  <si>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</si>
  <si>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</si>
  <si>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</si>
  <si>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</si>
  <si>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</si>
  <si>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</si>
  <si>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</si>
  <si>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</si>
  <si>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</si>
  <si>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</si>
  <si>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</si>
  <si>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</si>
  <si>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</si>
  <si>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</si>
  <si>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</si>
  <si>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</si>
  <si>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</si>
  <si>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</si>
  <si>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</si>
  <si>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</si>
  <si>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</si>
  <si>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</si>
  <si>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</si>
  <si>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</si>
  <si>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</si>
  <si>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</si>
  <si>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</si>
  <si>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</si>
  <si>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</si>
  <si>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</si>
  <si>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</si>
  <si>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</si>
  <si>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</si>
  <si>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</si>
  <si>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</si>
  <si>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</si>
  <si>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</si>
  <si>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</si>
  <si>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</si>
  <si>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</si>
  <si>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</si>
  <si>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</si>
  <si>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</si>
  <si>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</si>
  <si>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</si>
  <si>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</si>
  <si>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</si>
  <si>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</si>
  <si>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</si>
  <si>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</si>
  <si>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</si>
  <si>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</si>
  <si>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</si>
  <si>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</si>
  <si>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</si>
  <si>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</si>
  <si>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</si>
  <si>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</si>
  <si>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</si>
  <si>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</si>
  <si>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</si>
  <si>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</si>
  <si>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</si>
  <si>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</si>
  <si>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</si>
  <si>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</si>
  <si>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</si>
  <si>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</si>
  <si>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</si>
  <si>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</si>
  <si>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</si>
  <si>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</si>
  <si>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</si>
  <si>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</si>
  <si>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</si>
  <si>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</si>
  <si>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</si>
  <si>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</si>
  <si>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</si>
  <si>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</si>
  <si>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</si>
  <si>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</si>
  <si>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</si>
  <si>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</si>
  <si>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</si>
  <si>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</si>
  <si>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</si>
  <si>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</si>
  <si>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</si>
  <si>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</si>
  <si>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</si>
  <si>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</si>
  <si>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</si>
  <si>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</si>
  <si>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</si>
  <si>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</si>
  <si>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</si>
  <si>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</si>
  <si>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</si>
  <si>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</si>
  <si>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</si>
  <si>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</si>
  <si>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</si>
  <si>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</si>
  <si>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</si>
  <si>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</si>
  <si>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</si>
  <si>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</si>
  <si>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</si>
  <si>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</si>
  <si>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</si>
  <si>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</si>
  <si>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</si>
  <si>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</si>
  <si>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</si>
  <si>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</si>
  <si>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</si>
  <si>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</si>
  <si>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</si>
  <si>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</si>
  <si>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</si>
  <si>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</si>
  <si>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</si>
  <si>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</si>
  <si>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</si>
  <si>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</si>
  <si>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</si>
  <si>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</si>
  <si>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</si>
  <si>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</si>
  <si>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</si>
  <si>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</si>
  <si>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</si>
  <si>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</si>
  <si>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</si>
  <si>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</si>
  <si>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</si>
  <si>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</si>
  <si>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</si>
  <si>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</si>
  <si>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</si>
  <si>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</si>
  <si>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</si>
  <si>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</si>
  <si>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</si>
  <si>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</si>
  <si>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</si>
  <si>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</si>
  <si>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</si>
  <si>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</si>
  <si>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</si>
  <si>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</si>
  <si>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</si>
  <si>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</si>
  <si>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</si>
  <si>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</si>
  <si>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</si>
  <si>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</si>
  <si>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</si>
  <si>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</si>
  <si>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</si>
  <si>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</si>
  <si>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</si>
  <si>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</si>
  <si>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</si>
  <si>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</si>
  <si>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</si>
  <si>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</si>
  <si>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</si>
  <si>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</si>
  <si>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</si>
  <si>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</si>
  <si>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</si>
  <si>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</si>
  <si>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</si>
  <si>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</si>
  <si>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</si>
  <si>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</si>
  <si>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</si>
  <si>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</si>
  <si>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</si>
  <si>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</si>
  <si>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</si>
  <si>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</si>
  <si>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</si>
  <si>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</si>
  <si>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</si>
  <si>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</si>
  <si>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</si>
  <si>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</si>
  <si>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</si>
  <si>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</si>
  <si>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</si>
  <si>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</si>
  <si>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</si>
  <si>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</si>
  <si>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</si>
  <si>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</si>
  <si>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</si>
  <si>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</si>
  <si>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</si>
  <si>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</si>
  <si>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</si>
  <si>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</si>
  <si>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</si>
  <si>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</si>
  <si>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</si>
  <si>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</si>
  <si>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</si>
  <si>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</si>
  <si>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</si>
  <si>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</si>
  <si>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</si>
  <si>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</si>
  <si>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</si>
  <si>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</si>
  <si>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</si>
  <si>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</si>
  <si>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</si>
  <si>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</si>
  <si>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</si>
  <si>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</si>
  <si>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</si>
  <si>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</si>
  <si>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</si>
  <si>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</si>
  <si>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</si>
  <si>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</si>
  <si>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</si>
  <si>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</si>
  <si>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</si>
  <si>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</si>
  <si>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</si>
  <si>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</si>
  <si>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</si>
  <si>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</si>
  <si>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</si>
  <si>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</si>
  <si>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</si>
  <si>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</si>
  <si>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</si>
  <si>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</si>
  <si>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</si>
  <si>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</si>
  <si>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</si>
  <si>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</si>
  <si>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</si>
  <si>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</si>
  <si>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</si>
  <si>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</si>
  <si>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</si>
  <si>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</si>
  <si>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</si>
  <si>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</si>
  <si>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</si>
  <si>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</si>
  <si>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</si>
  <si>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</si>
  <si>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</si>
  <si>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</si>
  <si>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</si>
  <si>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</si>
  <si>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</si>
  <si>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</si>
  <si>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</si>
  <si>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</si>
  <si>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</si>
  <si>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</si>
  <si>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</si>
  <si>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</si>
  <si>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</si>
  <si>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</si>
  <si>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</si>
  <si>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</si>
  <si>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</si>
  <si>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</si>
  <si>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</si>
  <si>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</si>
  <si>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</si>
  <si>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</si>
  <si>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</si>
  <si>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</si>
  <si>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</si>
  <si>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</si>
  <si>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</si>
  <si>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</si>
  <si>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</si>
  <si>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</si>
  <si>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</si>
  <si>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</si>
  <si>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</si>
  <si>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</si>
  <si>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</si>
  <si>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</si>
  <si>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</si>
  <si>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</si>
  <si>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</si>
  <si>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</si>
  <si>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</si>
  <si>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</si>
  <si>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</si>
  <si>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</si>
  <si>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</si>
  <si>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</si>
  <si>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</si>
  <si>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</si>
  <si>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</si>
  <si>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</si>
  <si>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</si>
  <si>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</si>
  <si>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</si>
  <si>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</si>
  <si>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</si>
  <si>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</si>
  <si>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</si>
  <si>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</si>
  <si>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</si>
  <si>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</si>
  <si>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</si>
  <si>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</si>
  <si>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</si>
  <si>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</si>
  <si>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</si>
  <si>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</si>
  <si>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</si>
  <si>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</si>
  <si>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</si>
  <si>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</si>
  <si>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</si>
  <si>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</si>
  <si>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</si>
  <si>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</si>
  <si>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</si>
  <si>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</si>
  <si>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</si>
  <si>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</si>
  <si>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</si>
  <si>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</si>
  <si>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</si>
  <si>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</si>
  <si>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</si>
  <si>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</si>
  <si>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</si>
  <si>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</si>
  <si>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</si>
  <si>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</si>
  <si>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</si>
  <si>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</si>
  <si>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</si>
  <si>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</si>
  <si>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</si>
  <si>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</si>
  <si>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</si>
  <si>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</si>
  <si>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</si>
  <si>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</si>
  <si>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</si>
  <si>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</si>
  <si>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</si>
  <si>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</si>
  <si>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</si>
  <si>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</si>
  <si>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</si>
  <si>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</si>
  <si>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</si>
  <si>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</si>
  <si>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</si>
  <si>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</si>
  <si>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</si>
  <si>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</si>
  <si>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</si>
  <si>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</si>
  <si>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</si>
  <si>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</si>
  <si>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</si>
  <si>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</si>
  <si>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</si>
  <si>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</si>
  <si>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</si>
  <si>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</si>
  <si>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</si>
  <si>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</si>
  <si>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</si>
  <si>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</si>
  <si>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</si>
  <si>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</si>
  <si>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</si>
  <si>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</si>
  <si>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</si>
  <si>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</si>
  <si>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</si>
  <si>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</si>
  <si>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</si>
  <si>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</si>
  <si>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</si>
  <si>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</si>
  <si>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</si>
  <si>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</si>
  <si>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</si>
  <si>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</si>
  <si>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</si>
  <si>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</si>
  <si>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</si>
  <si>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</si>
  <si>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</si>
  <si>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</si>
  <si>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</si>
  <si>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</si>
  <si>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</si>
  <si>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</si>
  <si>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</si>
  <si>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</si>
  <si>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</si>
  <si>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</si>
  <si>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</si>
  <si>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</si>
  <si>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</si>
  <si>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</si>
  <si>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</si>
  <si>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</si>
  <si>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</si>
  <si>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</si>
  <si>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</si>
  <si>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</si>
  <si>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</si>
  <si>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</si>
  <si>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</si>
  <si>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</si>
  <si>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</si>
  <si>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</si>
  <si>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</si>
  <si>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</si>
  <si>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</si>
  <si>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</si>
  <si>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</si>
  <si>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</si>
  <si>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</si>
  <si>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</si>
  <si>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</si>
  <si>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</si>
  <si>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</si>
  <si>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</si>
  <si>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</si>
  <si>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</si>
  <si>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</si>
  <si>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</si>
  <si>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</si>
  <si>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</si>
  <si>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</si>
  <si>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</si>
  <si>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</si>
  <si>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</si>
  <si>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</si>
  <si>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</si>
  <si>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</si>
  <si>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</si>
  <si>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</si>
  <si>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</si>
  <si>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</si>
  <si>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</si>
  <si>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</si>
  <si>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</si>
  <si>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</si>
  <si>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</si>
  <si>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</si>
  <si>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</si>
  <si>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</si>
  <si>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</si>
  <si>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</si>
  <si>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</si>
  <si>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</si>
  <si>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</si>
  <si>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</si>
  <si>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</si>
  <si>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</si>
  <si>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</si>
  <si>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</si>
  <si>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</si>
  <si>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</si>
  <si>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</si>
  <si>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</si>
  <si>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</si>
  <si>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</si>
  <si>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</si>
  <si>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</si>
  <si>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</si>
  <si>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</si>
  <si>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</si>
  <si>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</si>
  <si>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</si>
  <si>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</si>
  <si>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</si>
  <si>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</si>
  <si>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</si>
  <si>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</si>
  <si>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</si>
  <si>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</si>
  <si>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</si>
  <si>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</si>
  <si>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</si>
  <si>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</si>
  <si>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</si>
  <si>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</si>
  <si>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</si>
  <si>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</si>
  <si>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</si>
  <si>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</si>
  <si>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</si>
  <si>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</si>
  <si>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</si>
  <si>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</si>
  <si>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</si>
  <si>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</si>
  <si>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</si>
  <si>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</si>
  <si>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</si>
  <si>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</si>
  <si>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</si>
  <si>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</si>
  <si>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</si>
  <si>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</si>
  <si>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</si>
  <si>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</si>
  <si>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</si>
  <si>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</si>
  <si>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</si>
  <si>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</si>
  <si>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</si>
  <si>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</si>
  <si>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</si>
  <si>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</si>
  <si>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</si>
  <si>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</si>
  <si>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</si>
  <si>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</si>
  <si>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</si>
  <si>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</si>
  <si>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</si>
  <si>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</si>
  <si>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</si>
  <si>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</si>
  <si>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</si>
  <si>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</si>
  <si>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</si>
  <si>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</si>
  <si>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</si>
  <si>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</si>
  <si>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</si>
  <si>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</si>
  <si>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</si>
  <si>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</si>
  <si>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</si>
  <si>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</si>
  <si>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</si>
  <si>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</si>
  <si>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</si>
  <si>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</si>
  <si>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</si>
  <si>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</si>
  <si>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</si>
  <si>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</si>
  <si>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</si>
  <si>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</si>
  <si>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</si>
  <si>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</si>
  <si>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</si>
  <si>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</si>
  <si>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</si>
  <si>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</si>
  <si>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</si>
  <si>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</si>
  <si>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</si>
  <si>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</si>
  <si>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</si>
  <si>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</si>
  <si>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</si>
  <si>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</si>
  <si>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</si>
  <si>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</si>
  <si>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</si>
  <si>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</si>
  <si>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</si>
  <si>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</si>
  <si>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</si>
  <si>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</si>
  <si>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</si>
  <si>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</si>
  <si>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</si>
  <si>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</si>
  <si>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</si>
  <si>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</si>
  <si>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</si>
  <si>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</si>
  <si>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</si>
  <si>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</si>
  <si>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</si>
  <si>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</si>
  <si>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</si>
  <si>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</si>
  <si>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</si>
  <si>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</si>
  <si>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</si>
  <si>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</si>
  <si>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</si>
  <si>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</si>
  <si>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</si>
  <si>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</si>
  <si>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</si>
  <si>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</si>
  <si>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</si>
  <si>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</si>
  <si>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</si>
  <si>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</si>
  <si>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</si>
  <si>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</si>
  <si>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</si>
  <si>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</si>
  <si>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</si>
  <si>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</si>
  <si>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</si>
  <si>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</si>
  <si>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</si>
  <si>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</si>
  <si>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</si>
  <si>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</si>
  <si>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</si>
  <si>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</si>
  <si>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</si>
  <si>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</si>
  <si>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</si>
  <si>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</si>
  <si>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</si>
  <si>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</si>
  <si>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</si>
  <si>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</si>
  <si>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</si>
  <si>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</si>
  <si>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</si>
  <si>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</si>
  <si>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</si>
  <si>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</si>
  <si>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</si>
  <si>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</si>
  <si>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</si>
  <si>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</si>
  <si>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</si>
  <si>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</si>
  <si>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</si>
  <si>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</si>
  <si>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</si>
  <si>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</si>
  <si>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</si>
  <si>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</si>
  <si>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</si>
  <si>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</si>
  <si>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</si>
  <si>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</si>
  <si>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</si>
  <si>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</si>
  <si>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</si>
  <si>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</si>
  <si>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</si>
  <si>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</si>
  <si>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</si>
  <si>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</si>
  <si>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</si>
  <si>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</si>
  <si>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</si>
  <si>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</si>
  <si>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</si>
  <si>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</si>
  <si>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</si>
  <si>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</si>
  <si>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</si>
  <si>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</si>
  <si>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</si>
  <si>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</si>
  <si>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</si>
  <si>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</si>
  <si>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</si>
  <si>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</si>
  <si>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</si>
  <si>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</si>
  <si>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</si>
  <si>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</si>
  <si>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</si>
  <si>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</si>
  <si>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</si>
  <si>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</si>
  <si>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</si>
  <si>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</si>
  <si>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</si>
  <si>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</si>
  <si>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</si>
  <si>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</si>
  <si>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</si>
  <si>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</si>
  <si>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</si>
  <si>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</si>
  <si>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</si>
  <si>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</si>
  <si>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</si>
  <si>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</si>
  <si>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</si>
  <si>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</si>
  <si>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</si>
  <si>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</si>
  <si>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</si>
  <si>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</si>
  <si>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</si>
  <si>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</si>
  <si>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</si>
  <si>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</si>
  <si>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</si>
  <si>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</si>
  <si>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</si>
  <si>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</si>
  <si>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</si>
  <si>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</si>
  <si>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</si>
  <si>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</si>
  <si>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</si>
  <si>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</si>
  <si>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</si>
  <si>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</si>
  <si>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</si>
  <si>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</si>
  <si>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</si>
  <si>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</si>
  <si>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</si>
  <si>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</si>
  <si>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</si>
  <si>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</si>
  <si>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</si>
  <si>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</si>
  <si>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</si>
  <si>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</si>
  <si>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</si>
  <si>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</si>
  <si>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</si>
  <si>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</si>
  <si>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</si>
  <si>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</si>
  <si>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</si>
  <si>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</si>
  <si>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</si>
  <si>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</si>
  <si>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</si>
  <si>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</si>
  <si>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</si>
  <si>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</si>
  <si>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</si>
  <si>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</si>
  <si>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</si>
  <si>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</si>
  <si>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</si>
  <si>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</si>
  <si>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</si>
  <si>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</si>
  <si>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</si>
  <si>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</si>
  <si>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</si>
  <si>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</si>
  <si>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</si>
  <si>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</si>
  <si>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</si>
  <si>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</si>
  <si>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</si>
  <si>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</si>
  <si>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</si>
  <si>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</si>
  <si>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</si>
  <si>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</si>
  <si>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</si>
  <si>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</si>
  <si>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</si>
  <si>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</si>
  <si>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</si>
  <si>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</si>
  <si>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</si>
  <si>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</si>
  <si>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</si>
  <si>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</si>
  <si>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</si>
  <si>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</si>
  <si>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</si>
  <si>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</si>
  <si>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</si>
  <si>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</si>
  <si>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</si>
  <si>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</si>
  <si>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</si>
  <si>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</si>
  <si>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</si>
  <si>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</si>
  <si>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</si>
  <si>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</si>
  <si>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</si>
  <si>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</si>
  <si>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</si>
  <si>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</si>
  <si>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</si>
  <si>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</si>
  <si>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</si>
  <si>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</si>
  <si>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</si>
  <si>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</si>
  <si>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</si>
  <si>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</si>
  <si>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</si>
  <si>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</si>
  <si>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</si>
  <si>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</si>
  <si>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</si>
  <si>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</si>
  <si>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</si>
  <si>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</si>
  <si>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</si>
  <si>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</si>
  <si>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</si>
  <si>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</si>
  <si>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</si>
  <si>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</si>
  <si>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</si>
  <si>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</si>
  <si>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</si>
  <si>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</si>
  <si>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</si>
  <si>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</si>
  <si>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</si>
  <si>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</si>
  <si>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</si>
  <si>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</si>
  <si>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</si>
  <si>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</si>
  <si>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</si>
  <si>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</si>
  <si>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</si>
  <si>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</si>
  <si>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</si>
  <si>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</si>
  <si>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</si>
  <si>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</si>
  <si>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</si>
  <si>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</si>
  <si>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</si>
  <si>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</si>
  <si>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</si>
  <si>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</si>
  <si>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</si>
  <si>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</si>
  <si>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</si>
  <si>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</si>
  <si>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</si>
  <si>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</si>
  <si>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</si>
  <si>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</si>
  <si>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</si>
  <si>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</si>
  <si>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</si>
  <si>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</si>
  <si>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</si>
  <si>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</si>
  <si>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</si>
  <si>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</si>
  <si>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</si>
  <si>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</si>
  <si>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</si>
  <si>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</si>
  <si>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</si>
  <si>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</si>
  <si>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</si>
  <si>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</si>
  <si>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</si>
  <si>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</si>
  <si>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</si>
  <si>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</si>
  <si>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</si>
  <si>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</si>
  <si>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</si>
  <si>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</si>
  <si>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</si>
  <si>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</si>
  <si>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</si>
  <si>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</si>
  <si>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</si>
  <si>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</si>
  <si>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</si>
  <si>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</si>
  <si>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</si>
  <si>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</si>
  <si>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</si>
  <si>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</si>
  <si>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</si>
  <si>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</si>
  <si>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</si>
  <si>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</si>
  <si>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</si>
  <si>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</si>
  <si>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</si>
  <si>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</si>
  <si>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</si>
  <si>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</si>
  <si>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</si>
  <si>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</si>
  <si>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</si>
  <si>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</si>
  <si>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</si>
  <si>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</si>
  <si>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</si>
  <si>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</si>
  <si>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</si>
  <si>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</si>
  <si>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</si>
  <si>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</si>
  <si>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</si>
  <si>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</si>
  <si>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</si>
  <si>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</si>
  <si>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</si>
  <si>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</si>
  <si>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</si>
  <si>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</si>
  <si>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</si>
  <si>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</si>
  <si>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</si>
  <si>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</si>
  <si>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</si>
  <si>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</si>
  <si>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</si>
  <si>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</si>
  <si>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</si>
  <si>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</si>
  <si>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</si>
  <si>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</si>
  <si>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</si>
  <si>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</si>
  <si>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</si>
  <si>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</si>
  <si>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</si>
  <si>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</si>
  <si>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</si>
  <si>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</si>
  <si>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</si>
  <si>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</si>
  <si>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</si>
  <si>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</si>
  <si>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</si>
  <si>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</si>
  <si>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</si>
  <si>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</si>
  <si>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</si>
  <si>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</si>
  <si>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</si>
  <si>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</si>
  <si>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</si>
  <si>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</si>
  <si>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</si>
  <si>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</si>
  <si>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</si>
  <si>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</si>
  <si>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</si>
  <si>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</si>
  <si>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</si>
  <si>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</si>
  <si>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</si>
  <si>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</si>
  <si>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</si>
  <si>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</si>
  <si>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</si>
  <si>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</si>
  <si>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</si>
  <si>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</si>
  <si>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</si>
  <si>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</si>
  <si>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</si>
  <si>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</si>
  <si>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</si>
  <si>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</si>
  <si>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</si>
  <si>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</si>
  <si>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</si>
  <si>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</si>
  <si>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</si>
  <si>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</si>
  <si>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</si>
  <si>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</si>
  <si>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</si>
  <si>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</si>
  <si>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</si>
  <si>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</si>
  <si>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</si>
  <si>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</si>
  <si>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</si>
  <si>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</si>
  <si>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</si>
  <si>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</si>
  <si>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</si>
  <si>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</si>
  <si>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</si>
  <si>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</si>
  <si>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</si>
  <si>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</si>
  <si>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</si>
  <si>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</si>
  <si>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</si>
  <si>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</si>
  <si>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</si>
  <si>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</si>
  <si>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</si>
  <si>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</si>
  <si>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</si>
  <si>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</si>
  <si>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</si>
  <si>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</si>
  <si>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</si>
  <si>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</si>
  <si>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</si>
  <si>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</si>
  <si>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</si>
  <si>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</si>
  <si>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</si>
  <si>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</si>
  <si>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</si>
  <si>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</si>
  <si>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</si>
  <si>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</si>
  <si>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</si>
  <si>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</si>
  <si>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</si>
  <si>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</si>
  <si>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</si>
  <si>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</si>
  <si>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</si>
  <si>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</si>
  <si>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</si>
  <si>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</si>
  <si>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</si>
  <si>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</si>
  <si>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</si>
  <si>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</si>
  <si>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</si>
  <si>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</si>
  <si>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</si>
  <si>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</si>
  <si>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</si>
  <si>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</si>
  <si>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</si>
  <si>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</si>
  <si>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</si>
  <si>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</si>
  <si>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</si>
  <si>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</si>
  <si>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</si>
  <si>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</si>
  <si>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</si>
  <si>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</si>
  <si>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</si>
  <si>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</si>
  <si>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</si>
  <si>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</si>
  <si>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</si>
  <si>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</si>
  <si>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</si>
  <si>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</si>
  <si>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</si>
  <si>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</si>
  <si>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</si>
  <si>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</si>
  <si>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</si>
  <si>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</si>
  <si>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</si>
  <si>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</si>
  <si>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</si>
  <si>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</si>
  <si>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</si>
  <si>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</si>
  <si>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</si>
  <si>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</si>
  <si>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</si>
  <si>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</si>
  <si>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</si>
  <si>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</si>
  <si>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</si>
  <si>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</si>
  <si>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</si>
  <si>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</si>
  <si>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</si>
  <si>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</si>
  <si>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</si>
  <si>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</si>
  <si>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</si>
  <si>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</si>
  <si>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</si>
  <si>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</si>
  <si>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</si>
  <si>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</si>
  <si>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</si>
  <si>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</si>
  <si>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</si>
  <si>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</si>
  <si>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</si>
  <si>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</si>
  <si>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</si>
  <si>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</si>
  <si>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</si>
  <si>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</si>
  <si>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</si>
  <si>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</si>
  <si>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</si>
  <si>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</si>
  <si>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</si>
  <si>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</si>
  <si>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</si>
  <si>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</si>
  <si>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</si>
  <si>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</si>
  <si>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</si>
  <si>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</si>
  <si>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</si>
  <si>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</si>
  <si>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</si>
  <si>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</si>
  <si>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</si>
  <si>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</si>
  <si>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</si>
  <si>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</si>
  <si>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</si>
  <si>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</si>
  <si>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</si>
  <si>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</si>
  <si>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</si>
  <si>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</si>
  <si>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</si>
  <si>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</si>
  <si>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</si>
  <si>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</si>
  <si>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</si>
  <si>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</si>
  <si>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</si>
  <si>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</si>
  <si>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</si>
  <si>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</si>
  <si>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</si>
  <si>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</si>
  <si>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</si>
  <si>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</si>
  <si>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</si>
  <si>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</si>
  <si>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</si>
  <si>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</si>
  <si>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</si>
  <si>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</si>
  <si>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</si>
  <si>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</si>
  <si>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</si>
  <si>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</si>
  <si>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</si>
  <si>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</si>
  <si>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</si>
  <si>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</si>
  <si>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</si>
  <si>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</si>
  <si>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</si>
  <si>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</si>
  <si>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</si>
  <si>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</si>
  <si>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</si>
  <si>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</si>
  <si>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</si>
  <si>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</si>
  <si>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</si>
  <si>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</si>
  <si>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</si>
  <si>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</si>
  <si>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</si>
  <si>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</si>
  <si>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</si>
  <si>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</si>
  <si>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</si>
  <si>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</si>
  <si>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</si>
  <si>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</si>
  <si>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</si>
  <si>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</si>
  <si>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</si>
  <si>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</si>
  <si>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</si>
  <si>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</si>
  <si>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</si>
  <si>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</si>
  <si>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</si>
  <si>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</si>
  <si>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</si>
  <si>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</si>
  <si>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</si>
  <si>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</si>
  <si>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</si>
  <si>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</si>
  <si>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</si>
  <si>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</si>
  <si>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</si>
  <si>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</si>
  <si>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</si>
  <si>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</si>
  <si>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</si>
  <si>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</si>
  <si>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</si>
  <si>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</si>
  <si>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</si>
  <si>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</si>
  <si>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</si>
  <si>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</si>
  <si>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</si>
  <si>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</si>
  <si>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</si>
  <si>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</si>
  <si>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</si>
  <si>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</si>
  <si>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</si>
  <si>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</si>
  <si>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</si>
  <si>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</si>
  <si>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</si>
  <si>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</si>
  <si>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</si>
  <si>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</si>
  <si>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</si>
  <si>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</si>
  <si>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</si>
  <si>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</si>
  <si>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</si>
  <si>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</si>
  <si>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</si>
  <si>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</si>
  <si>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</si>
  <si>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</si>
  <si>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</si>
  <si>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</si>
  <si>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</si>
  <si>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</si>
  <si>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</si>
  <si>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</si>
  <si>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</si>
  <si>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</si>
  <si>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</si>
  <si>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</si>
  <si>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</si>
  <si>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</si>
  <si>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</si>
  <si>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</si>
  <si>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</si>
  <si>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</si>
  <si>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</si>
  <si>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</si>
  <si>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</si>
  <si>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</si>
  <si>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</si>
  <si>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</si>
  <si>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</si>
  <si>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</si>
  <si>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</si>
  <si>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</si>
  <si>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</si>
  <si>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</si>
  <si>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</si>
  <si>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</si>
  <si>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</si>
  <si>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</si>
  <si>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</si>
  <si>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</si>
  <si>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</si>
  <si>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</si>
  <si>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</si>
  <si>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</si>
  <si>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</si>
  <si>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</si>
  <si>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</si>
  <si>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</si>
  <si>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</si>
  <si>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</si>
  <si>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</si>
  <si>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</si>
  <si>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</si>
  <si>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</si>
  <si>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</si>
  <si>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</si>
  <si>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</si>
  <si>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</si>
  <si>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</si>
  <si>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</si>
  <si>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</si>
  <si>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</si>
  <si>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</si>
  <si>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</si>
  <si>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</si>
  <si>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</si>
  <si>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</si>
  <si>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</si>
  <si>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</si>
  <si>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</si>
  <si>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</si>
  <si>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</si>
  <si>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</si>
  <si>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</si>
  <si>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</si>
  <si>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</si>
  <si>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</si>
  <si>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</si>
  <si>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</si>
  <si>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</si>
  <si>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</si>
  <si>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</si>
  <si>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</si>
  <si>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</si>
  <si>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</si>
  <si>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</si>
  <si>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</si>
  <si>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</si>
  <si>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</si>
  <si>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</si>
  <si>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</si>
  <si>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</si>
  <si>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</si>
  <si>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</si>
  <si>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</si>
  <si>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</si>
  <si>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</si>
  <si>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</si>
  <si>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</si>
  <si>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</si>
  <si>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</si>
  <si>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</si>
  <si>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</si>
  <si>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</si>
  <si>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</si>
  <si>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</si>
  <si>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</si>
  <si>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</si>
  <si>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</si>
  <si>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</si>
  <si>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</si>
  <si>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</si>
  <si>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</si>
  <si>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</si>
  <si>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</si>
  <si>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</si>
  <si>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</si>
  <si>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</si>
  <si>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</si>
  <si>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</si>
  <si>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</si>
  <si>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</si>
  <si>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</si>
  <si>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</si>
  <si>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</si>
  <si>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</si>
  <si>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</si>
  <si>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</si>
  <si>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</si>
  <si>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</si>
  <si>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</si>
  <si>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</si>
  <si>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</si>
  <si>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</si>
  <si>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</si>
  <si>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</si>
  <si>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</si>
  <si>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</si>
  <si>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</si>
  <si>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</si>
  <si>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</si>
  <si>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</si>
  <si>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</si>
  <si>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</si>
  <si>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</si>
  <si>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</si>
  <si>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</si>
  <si>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</si>
  <si>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</si>
  <si>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</si>
  <si>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</si>
  <si>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</si>
  <si>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</si>
  <si>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</si>
  <si>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</si>
  <si>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</si>
  <si>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</si>
  <si>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</si>
  <si>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</si>
  <si>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</si>
  <si>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</si>
  <si>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</si>
  <si>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</si>
  <si>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</si>
  <si>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</si>
  <si>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</si>
  <si>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</si>
  <si>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</si>
  <si>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</si>
  <si>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</si>
  <si>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</si>
  <si>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</si>
  <si>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</si>
  <si>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</si>
  <si>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</si>
  <si>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</si>
  <si>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</si>
  <si>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</si>
  <si>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</si>
  <si>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</si>
  <si>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</si>
  <si>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</si>
  <si>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</si>
  <si>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</si>
  <si>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</si>
  <si>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</si>
  <si>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</si>
  <si>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</si>
  <si>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</si>
  <si>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</si>
  <si>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</si>
  <si>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</si>
  <si>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</si>
  <si>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</si>
  <si>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</si>
  <si>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</si>
  <si>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</si>
  <si>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</si>
  <si>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</si>
  <si>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</si>
  <si>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</si>
  <si>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</si>
  <si>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</si>
  <si>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</si>
  <si>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</si>
  <si>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</si>
  <si>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</si>
  <si>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</si>
  <si>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</si>
  <si>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</si>
  <si>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</si>
  <si>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</si>
  <si>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</si>
  <si>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</si>
  <si>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</si>
  <si>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</si>
  <si>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</si>
  <si>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</si>
  <si>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</si>
  <si>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</si>
  <si>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</si>
  <si>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</si>
  <si>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</si>
  <si>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</si>
  <si>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</si>
  <si>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</si>
  <si>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</si>
  <si>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</si>
  <si>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</si>
  <si>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</si>
  <si>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</si>
  <si>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</si>
  <si>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</si>
  <si>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</si>
  <si>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</si>
  <si>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</si>
  <si>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</si>
  <si>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</si>
  <si>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</si>
  <si>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</si>
  <si>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</si>
  <si>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</si>
  <si>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</si>
  <si>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</si>
  <si>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</si>
  <si>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</si>
  <si>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</si>
  <si>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</si>
  <si>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</si>
  <si>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</si>
  <si>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</si>
  <si>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</si>
  <si>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</si>
  <si>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</si>
  <si>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</si>
  <si>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</si>
  <si>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</si>
  <si>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</si>
  <si>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</si>
  <si>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</si>
  <si>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</si>
  <si>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</si>
  <si>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</si>
  <si>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</si>
  <si>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</si>
  <si>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</si>
  <si>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</si>
  <si>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</si>
  <si>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</si>
  <si>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</si>
  <si>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</si>
  <si>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</si>
  <si>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</si>
  <si>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</si>
  <si>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</si>
  <si>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</si>
  <si>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</si>
  <si>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</si>
  <si>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</si>
  <si>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</si>
  <si>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</si>
  <si>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</si>
  <si>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</si>
  <si>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</si>
  <si>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</si>
  <si>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</si>
  <si>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</si>
  <si>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</si>
  <si>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</si>
  <si>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</si>
  <si>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</si>
  <si>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</si>
  <si>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</si>
  <si>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</si>
  <si>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</si>
  <si>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</si>
  <si>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</si>
  <si>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</si>
  <si>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</si>
  <si>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</si>
  <si>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</si>
  <si>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</si>
  <si>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</si>
  <si>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</si>
  <si>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</si>
  <si>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</si>
  <si>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</si>
  <si>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</si>
  <si>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</si>
  <si>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</si>
  <si>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</si>
  <si>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</si>
  <si>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</si>
  <si>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</si>
  <si>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</si>
  <si>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</si>
  <si>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</si>
  <si>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</si>
  <si>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</si>
  <si>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</si>
  <si>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</si>
  <si>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</si>
  <si>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</si>
  <si>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</si>
  <si>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</si>
  <si>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</si>
  <si>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</si>
  <si>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</si>
  <si>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</si>
  <si>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</si>
  <si>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</si>
  <si>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</si>
  <si>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</si>
  <si>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</si>
  <si>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</si>
  <si>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</si>
  <si>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</si>
  <si>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</si>
  <si>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</si>
  <si>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</si>
  <si>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</si>
  <si>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</si>
  <si>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</si>
  <si>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</si>
  <si>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</si>
  <si>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</si>
  <si>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</si>
  <si>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</si>
  <si>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</si>
  <si>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</si>
  <si>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</si>
  <si>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</si>
  <si>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</si>
  <si>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</si>
  <si>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</si>
  <si>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</si>
  <si>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</si>
  <si>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</si>
  <si>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</si>
  <si>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</si>
  <si>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</si>
  <si>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</si>
  <si>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</si>
  <si>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</si>
  <si>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</si>
  <si>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</si>
  <si>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</si>
  <si>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</si>
  <si>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</si>
  <si>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</si>
  <si>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</si>
  <si>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</si>
  <si>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</si>
  <si>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</si>
  <si>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</si>
  <si>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</si>
  <si>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</si>
  <si>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</si>
  <si>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</si>
  <si>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</si>
  <si>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</si>
  <si>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</si>
  <si>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</si>
  <si>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</si>
  <si>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</si>
  <si>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</si>
  <si>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</si>
  <si>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</si>
  <si>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</si>
  <si>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</si>
  <si>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</si>
  <si>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</si>
  <si>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</si>
  <si>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</si>
  <si>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</si>
  <si>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</si>
  <si>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</si>
  <si>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</si>
  <si>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</si>
  <si>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</si>
  <si>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</si>
  <si>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</si>
  <si>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</si>
  <si>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</si>
  <si>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</si>
  <si>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</si>
  <si>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</si>
  <si>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</si>
  <si>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</si>
  <si>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</si>
  <si>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</si>
  <si>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</si>
  <si>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</si>
  <si>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</si>
  <si>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</si>
  <si>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</si>
  <si>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</si>
  <si>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</si>
  <si>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</si>
  <si>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</si>
  <si>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</si>
  <si>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</si>
  <si>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</si>
  <si>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</si>
  <si>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</si>
  <si>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</si>
  <si>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</si>
  <si>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</si>
  <si>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</si>
  <si>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</si>
  <si>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</si>
  <si>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</si>
  <si>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</si>
  <si>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</si>
  <si>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</si>
  <si>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</si>
  <si>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</si>
  <si>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</si>
  <si>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</si>
  <si>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</si>
  <si>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</si>
  <si>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</si>
  <si>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</si>
  <si>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</si>
  <si>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</si>
  <si>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</si>
  <si>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</si>
  <si>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</si>
  <si>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</si>
  <si>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</si>
  <si>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</si>
  <si>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</si>
  <si>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</si>
  <si>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</si>
  <si>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</si>
  <si>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</si>
  <si>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</si>
  <si>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</si>
  <si>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</si>
  <si>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</si>
  <si>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</si>
  <si>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</si>
  <si>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</si>
  <si>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</si>
  <si>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</si>
  <si>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</si>
  <si>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</si>
  <si>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</si>
  <si>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</si>
  <si>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</si>
  <si>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</si>
  <si>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</si>
  <si>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</si>
  <si>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</si>
  <si>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</si>
  <si>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</si>
  <si>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</si>
  <si>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</si>
  <si>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</si>
  <si>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</si>
  <si>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</si>
  <si>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</si>
  <si>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</si>
  <si>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</si>
  <si>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</si>
  <si>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</si>
  <si>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</si>
  <si>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</si>
  <si>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</si>
  <si>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</si>
  <si>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</si>
  <si>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</si>
  <si>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</si>
  <si>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</si>
  <si>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</si>
  <si>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</si>
  <si>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</si>
  <si>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</si>
  <si>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</si>
  <si>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</si>
  <si>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</si>
  <si>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</si>
  <si>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</si>
  <si>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</si>
  <si>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</si>
  <si>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</si>
  <si>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</si>
  <si>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</si>
  <si>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</si>
  <si>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</si>
  <si>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</si>
  <si>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</si>
  <si>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</si>
  <si>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</si>
  <si>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</si>
  <si>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</si>
  <si>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</si>
  <si>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</si>
  <si>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</si>
  <si>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</si>
  <si>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</si>
  <si>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</si>
  <si>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</si>
  <si>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</si>
  <si>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</si>
  <si>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</si>
  <si>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</si>
  <si>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</si>
  <si>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</si>
  <si>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</si>
  <si>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</si>
  <si>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</si>
  <si>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</si>
  <si>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</si>
  <si>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</si>
  <si>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</si>
  <si>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</si>
  <si>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</si>
  <si>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</si>
  <si>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</si>
  <si>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</si>
  <si>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</si>
  <si>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</si>
  <si>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</si>
  <si>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</si>
  <si>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</si>
  <si>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</si>
  <si>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</si>
  <si>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</si>
  <si>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</si>
  <si>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</si>
  <si>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</si>
  <si>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</si>
  <si>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</si>
  <si>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</si>
  <si>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</si>
  <si>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</si>
  <si>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</si>
  <si>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</si>
  <si>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</si>
  <si>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</si>
  <si>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</si>
  <si>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</si>
  <si>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</si>
  <si>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</si>
  <si>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</si>
  <si>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</si>
  <si>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</si>
  <si>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</si>
  <si>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</si>
  <si>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</si>
  <si>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</si>
  <si>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</si>
  <si>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</si>
  <si>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</si>
  <si>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</si>
  <si>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</si>
  <si>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</si>
  <si>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</si>
  <si>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</si>
  <si>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</si>
  <si>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</si>
  <si>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</si>
  <si>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</si>
  <si>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</si>
  <si>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</si>
  <si>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</si>
  <si>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</si>
  <si>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</si>
  <si>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</si>
  <si>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</si>
  <si>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</si>
  <si>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</si>
  <si>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</si>
  <si>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</si>
  <si>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</si>
  <si>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</si>
  <si>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</si>
  <si>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</si>
  <si>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</si>
  <si>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</si>
  <si>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</si>
  <si>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</si>
  <si>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</si>
  <si>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</si>
  <si>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</si>
  <si>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</si>
  <si>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</si>
  <si>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</si>
  <si>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</si>
  <si>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</si>
  <si>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</si>
  <si>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</si>
  <si>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</si>
  <si>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</si>
  <si>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</si>
  <si>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</si>
  <si>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</si>
  <si>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</si>
  <si>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</si>
  <si>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</si>
  <si>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</si>
  <si>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</si>
  <si>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</si>
  <si>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</si>
  <si>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</si>
  <si>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</si>
  <si>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</si>
  <si>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</si>
  <si>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</si>
  <si>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</si>
  <si>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</si>
  <si>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</si>
  <si>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</si>
  <si>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</si>
  <si>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</si>
  <si>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</si>
  <si>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</si>
  <si>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</si>
  <si>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</si>
  <si>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</si>
  <si>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</si>
  <si>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</si>
  <si>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</si>
  <si>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</si>
  <si>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</si>
  <si>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</si>
  <si>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</si>
  <si>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</si>
  <si>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</si>
  <si>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</si>
  <si>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</si>
  <si>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</si>
  <si>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</si>
  <si>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</si>
  <si>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</si>
  <si>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</si>
  <si>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</si>
  <si>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</si>
  <si>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</si>
  <si>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</si>
  <si>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</si>
  <si>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</si>
  <si>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</si>
  <si>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</si>
  <si>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</si>
  <si>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</si>
  <si>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</si>
  <si>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</si>
  <si>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</si>
  <si>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</si>
  <si>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</si>
  <si>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</si>
  <si>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</si>
  <si>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</si>
  <si>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</si>
  <si>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</si>
  <si>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</si>
  <si>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</si>
  <si>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</si>
  <si>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</si>
  <si>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</si>
  <si>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</si>
  <si>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</si>
  <si>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</si>
  <si>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</si>
  <si>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</si>
  <si>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</si>
  <si>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</si>
  <si>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</si>
  <si>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</si>
  <si>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</si>
  <si>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</si>
  <si>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</si>
  <si>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</si>
  <si>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</si>
  <si>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</si>
  <si>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</si>
  <si>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</si>
  <si>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</si>
  <si>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</si>
  <si>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</si>
  <si>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</si>
  <si>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</si>
  <si>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</si>
  <si>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</si>
  <si>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</si>
  <si>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</si>
  <si>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</si>
  <si>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</si>
  <si>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</si>
  <si>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</si>
  <si>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</si>
  <si>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</si>
  <si>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</si>
  <si>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</si>
  <si>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</si>
  <si>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</si>
  <si>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</si>
  <si>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</si>
  <si>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</si>
  <si>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</si>
  <si>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</si>
  <si>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</si>
  <si>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</si>
  <si>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</si>
  <si>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</si>
  <si>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</si>
  <si>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</si>
  <si>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</si>
  <si>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</si>
  <si>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</si>
  <si>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</si>
  <si>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</si>
  <si>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</si>
  <si>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</si>
  <si>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</si>
  <si>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</si>
  <si>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</si>
  <si>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</si>
  <si>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</si>
  <si>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</si>
  <si>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</si>
  <si>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</si>
  <si>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</si>
  <si>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</si>
  <si>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</si>
  <si>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</si>
  <si>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</si>
  <si>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</si>
  <si>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</si>
  <si>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</si>
  <si>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</si>
  <si>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</si>
  <si>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</si>
  <si>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</si>
  <si>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</si>
  <si>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</si>
  <si>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</si>
  <si>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</si>
  <si>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</si>
  <si>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</si>
  <si>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</si>
  <si>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</si>
  <si>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</si>
  <si>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</si>
  <si>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</si>
  <si>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</si>
  <si>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</si>
  <si>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</si>
  <si>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</si>
  <si>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</si>
  <si>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</si>
  <si>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</si>
  <si>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</si>
  <si>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</si>
  <si>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</si>
  <si>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</si>
  <si>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</si>
  <si>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</si>
  <si>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</si>
  <si>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</si>
  <si>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</si>
  <si>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</si>
  <si>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</si>
  <si>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</si>
  <si>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</si>
  <si>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</si>
  <si>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</si>
  <si>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</si>
  <si>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</si>
  <si>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</si>
  <si>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</si>
  <si>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</si>
  <si>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</si>
  <si>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</si>
  <si>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</si>
  <si>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</si>
  <si>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</si>
  <si>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</si>
  <si>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</si>
  <si>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</si>
  <si>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</si>
  <si>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</si>
  <si>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</si>
  <si>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</si>
  <si>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</si>
  <si>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</si>
  <si>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</si>
  <si>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</si>
  <si>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</si>
  <si>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</si>
  <si>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</si>
  <si>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</si>
  <si>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</si>
  <si>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</si>
  <si>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</si>
  <si>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</si>
  <si>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</si>
  <si>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</si>
  <si>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</si>
  <si>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</si>
  <si>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</si>
  <si>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</si>
  <si>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</si>
  <si>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</si>
  <si>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</si>
  <si>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</si>
  <si>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</si>
  <si>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</si>
  <si>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</si>
  <si>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</si>
  <si>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</si>
  <si>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</si>
  <si>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</si>
  <si>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</si>
  <si>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</si>
  <si>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</si>
  <si>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</si>
  <si>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</si>
  <si>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</si>
  <si>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</si>
  <si>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</si>
  <si>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</si>
  <si>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</si>
  <si>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</si>
  <si>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</si>
  <si>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</si>
  <si>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</si>
  <si>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</si>
  <si>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</si>
  <si>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</si>
  <si>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</si>
  <si>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</si>
  <si>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</si>
  <si>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</si>
  <si>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</si>
  <si>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</si>
  <si>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</si>
  <si>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</si>
  <si>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</si>
  <si>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</si>
  <si>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</si>
  <si>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</si>
  <si>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</si>
  <si>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</si>
  <si>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</si>
  <si>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</si>
  <si>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</si>
  <si>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</si>
  <si>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</si>
  <si>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</si>
  <si>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</si>
  <si>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</si>
  <si>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</si>
  <si>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</si>
  <si>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</si>
  <si>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</si>
  <si>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</si>
  <si>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</si>
  <si>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</si>
  <si>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</si>
  <si>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</si>
  <si>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</si>
  <si>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</si>
  <si>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</si>
  <si>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</si>
  <si>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</si>
  <si>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</si>
  <si>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</si>
  <si>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</si>
  <si>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</si>
  <si>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</si>
  <si>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</si>
  <si>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</si>
  <si>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</si>
  <si>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</si>
  <si>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</si>
  <si>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</si>
  <si>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</si>
  <si>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</si>
  <si>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</si>
  <si>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</si>
  <si>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</si>
  <si>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</si>
  <si>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</si>
  <si>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</si>
  <si>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</si>
  <si>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</si>
  <si>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</si>
  <si>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</si>
  <si>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</si>
  <si>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</si>
  <si>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</si>
  <si>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</si>
  <si>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</si>
  <si>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</si>
  <si>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</si>
  <si>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</si>
  <si>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</si>
  <si>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</si>
  <si>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</si>
  <si>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</si>
  <si>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</si>
  <si>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</si>
  <si>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</si>
  <si>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</si>
  <si>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</si>
  <si>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</si>
  <si>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</si>
  <si>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</si>
  <si>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</si>
  <si>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</si>
  <si>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</si>
  <si>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</si>
  <si>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</si>
  <si>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</si>
  <si>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</si>
  <si>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</si>
  <si>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</si>
  <si>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</si>
  <si>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</si>
  <si>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</si>
  <si>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</si>
  <si>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</si>
  <si>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</si>
  <si>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</si>
  <si>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</si>
  <si>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</si>
  <si>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</si>
  <si>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</si>
  <si>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</si>
  <si>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</si>
  <si>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</si>
  <si>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</si>
  <si>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</si>
  <si>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</si>
  <si>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</si>
  <si>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</si>
  <si>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</si>
  <si>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</si>
  <si>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</si>
  <si>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</si>
  <si>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</si>
  <si>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</si>
  <si>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</si>
  <si>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</si>
  <si>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</si>
  <si>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</si>
  <si>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</si>
  <si>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</si>
  <si>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</si>
  <si>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</si>
  <si>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</si>
  <si>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</si>
  <si>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</si>
  <si>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</si>
  <si>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</si>
  <si>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</si>
  <si>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</si>
  <si>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</si>
  <si>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</si>
  <si>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</si>
  <si>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</si>
  <si>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</si>
  <si>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</si>
  <si>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</si>
  <si>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</si>
  <si>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</si>
  <si>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</si>
  <si>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</si>
  <si>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</si>
  <si>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</si>
  <si>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</si>
  <si>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</si>
  <si>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</si>
  <si>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</si>
  <si>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</si>
  <si>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</si>
  <si>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</si>
  <si>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</si>
  <si>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</si>
  <si>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</si>
  <si>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</si>
  <si>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</si>
  <si>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</si>
  <si>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</si>
  <si>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</si>
  <si>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</si>
  <si>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</si>
  <si>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</si>
  <si>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</si>
  <si>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</si>
  <si>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</si>
  <si>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</si>
  <si>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</si>
  <si>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</si>
  <si>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</si>
  <si>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</si>
  <si>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</si>
  <si>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</si>
  <si>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</si>
  <si>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</si>
  <si>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</si>
  <si>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</si>
  <si>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</si>
  <si>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</si>
  <si>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</si>
  <si>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</si>
  <si>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</si>
  <si>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</si>
  <si>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</si>
  <si>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</si>
  <si>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</si>
  <si>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</si>
  <si>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</si>
  <si>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</si>
  <si>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</si>
  <si>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</si>
  <si>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</si>
  <si>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</si>
  <si>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</si>
  <si>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</si>
  <si>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</si>
  <si>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</si>
  <si>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</si>
  <si>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</si>
  <si>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</si>
  <si>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</si>
  <si>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</si>
  <si>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</si>
  <si>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</si>
  <si>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</si>
  <si>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</si>
  <si>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</si>
  <si>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</si>
  <si>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</si>
  <si>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</si>
  <si>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</si>
  <si>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</si>
  <si>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</si>
  <si>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</si>
  <si>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</si>
  <si>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</si>
  <si>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</si>
  <si>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</si>
  <si>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</si>
  <si>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</si>
  <si>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</si>
  <si>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</si>
  <si>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</si>
  <si>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</si>
  <si>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</si>
  <si>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</si>
  <si>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</si>
  <si>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</si>
  <si>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</si>
  <si>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</si>
  <si>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</si>
  <si>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</si>
  <si>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</si>
  <si>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</si>
  <si>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</si>
  <si>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</si>
  <si>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</si>
  <si>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</si>
  <si>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</si>
  <si>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</si>
  <si>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</si>
  <si>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</si>
  <si>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</si>
  <si>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</si>
  <si>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</si>
  <si>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</si>
  <si>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</si>
  <si>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</si>
  <si>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</si>
  <si>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</si>
  <si>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</si>
  <si>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</si>
  <si>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</si>
  <si>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</si>
  <si>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</si>
  <si>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</si>
  <si>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</si>
  <si>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</si>
  <si>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</si>
  <si>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</si>
  <si>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</si>
  <si>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</si>
  <si>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</si>
  <si>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</si>
  <si>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</si>
  <si>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</si>
  <si>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</si>
  <si>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</si>
  <si>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</si>
  <si>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</si>
  <si>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</si>
  <si>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</si>
  <si>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</si>
  <si>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</si>
  <si>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</si>
  <si>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</si>
  <si>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</si>
  <si>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</si>
  <si>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</si>
  <si>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</si>
  <si>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</si>
  <si>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</si>
  <si>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</si>
  <si>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</si>
  <si>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</si>
  <si>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</si>
  <si>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</si>
  <si>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</si>
  <si>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</si>
  <si>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</si>
  <si>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</si>
  <si>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</si>
  <si>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</si>
  <si>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</si>
  <si>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</si>
  <si>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</si>
  <si>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</si>
  <si>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</si>
  <si>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</si>
  <si>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</si>
  <si>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</si>
  <si>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</si>
  <si>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</si>
  <si>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</si>
  <si>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</si>
  <si>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</si>
  <si>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</si>
  <si>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</si>
  <si>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</si>
  <si>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</si>
  <si>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</si>
  <si>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</si>
  <si>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</si>
  <si>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</si>
  <si>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</si>
  <si>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</si>
  <si>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</si>
  <si>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</si>
  <si>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</si>
  <si>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</si>
  <si>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</si>
  <si>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</si>
  <si>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</si>
  <si>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</si>
  <si>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</si>
  <si>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</si>
  <si>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</si>
  <si>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</si>
  <si>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</si>
  <si>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</si>
  <si>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</si>
  <si>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</si>
  <si>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</si>
  <si>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</si>
  <si>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</si>
  <si>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</si>
  <si>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</si>
  <si>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</si>
  <si>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</si>
  <si>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</si>
  <si>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</si>
  <si>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</si>
  <si>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</si>
  <si>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</si>
  <si>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</si>
  <si>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</si>
  <si>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</si>
  <si>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</si>
  <si>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</si>
  <si>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</si>
  <si>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</si>
  <si>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</si>
  <si>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</si>
  <si>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</si>
  <si>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</si>
  <si>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</si>
  <si>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</si>
  <si>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</si>
  <si>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</si>
  <si>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</si>
  <si>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</si>
  <si>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</si>
  <si>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</si>
  <si>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</si>
  <si>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</si>
  <si>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</si>
  <si>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</si>
  <si>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</si>
  <si>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</si>
  <si>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</si>
  <si>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</si>
  <si>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</si>
  <si>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</si>
  <si>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</si>
  <si>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</si>
  <si>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</si>
  <si>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</si>
  <si>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</si>
  <si>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</si>
  <si>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</si>
  <si>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</si>
  <si>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</si>
  <si>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</si>
  <si>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</si>
  <si>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</si>
  <si>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</si>
  <si>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</si>
  <si>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</si>
  <si>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</si>
  <si>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</si>
  <si>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</si>
  <si>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</si>
  <si>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</si>
  <si>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</si>
  <si>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</si>
  <si>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</si>
  <si>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</si>
  <si>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</si>
  <si>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</si>
  <si>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</si>
  <si>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</si>
  <si>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</si>
  <si>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</si>
  <si>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</si>
  <si>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</si>
  <si>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</si>
  <si>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</si>
  <si>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</si>
  <si>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</si>
  <si>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</si>
  <si>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</si>
  <si>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</si>
  <si>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</si>
  <si>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</si>
  <si>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</si>
  <si>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</si>
  <si>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</si>
  <si>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</si>
  <si>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</si>
  <si>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</si>
  <si>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</si>
  <si>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</si>
  <si>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</si>
  <si>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</si>
  <si>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</si>
  <si>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</si>
  <si>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</si>
  <si>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</si>
  <si>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</si>
  <si>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</si>
  <si>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</si>
  <si>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</si>
  <si>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</si>
  <si>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</si>
  <si>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</si>
  <si>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</si>
  <si>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</si>
  <si>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</si>
  <si>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</si>
  <si>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</si>
  <si>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</si>
  <si>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</si>
  <si>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</si>
  <si>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</si>
  <si>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</si>
  <si>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</si>
  <si>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</si>
  <si>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</si>
  <si>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</si>
  <si>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</si>
  <si>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</si>
  <si>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</si>
  <si>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</si>
  <si>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</si>
  <si>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</si>
  <si>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</si>
  <si>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</si>
  <si>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</si>
  <si>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</si>
  <si>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</si>
  <si>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</si>
  <si>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</si>
  <si>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</si>
  <si>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</si>
  <si>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</si>
  <si>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</si>
  <si>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</si>
  <si>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</si>
  <si>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</si>
  <si>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</si>
  <si>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</si>
  <si>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</si>
  <si>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</si>
  <si>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</si>
  <si>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</si>
  <si>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</si>
  <si>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</si>
  <si>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</si>
  <si>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</si>
  <si>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</si>
  <si>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</si>
  <si>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</si>
  <si>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</si>
  <si>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</si>
  <si>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</si>
  <si>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</si>
  <si>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</si>
  <si>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</si>
  <si>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</si>
  <si>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</si>
  <si>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</si>
  <si>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</si>
  <si>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</si>
  <si>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</si>
  <si>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</si>
  <si>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</si>
  <si>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</si>
  <si>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</si>
  <si>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</si>
  <si>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</si>
  <si>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</si>
  <si>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</si>
  <si>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</si>
  <si>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</si>
  <si>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</si>
  <si>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</si>
  <si>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</si>
  <si>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</si>
  <si>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</si>
  <si>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</si>
  <si>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</si>
  <si>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</si>
  <si>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</si>
  <si>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</si>
  <si>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</si>
  <si>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</si>
  <si>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</si>
  <si>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</si>
  <si>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</si>
  <si>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</si>
  <si>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</si>
  <si>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</si>
  <si>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</si>
  <si>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</si>
  <si>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</si>
  <si>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</si>
  <si>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</si>
  <si>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</si>
  <si>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</si>
  <si>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</si>
  <si>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</si>
  <si>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</si>
  <si>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</si>
  <si>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</si>
  <si>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</si>
  <si>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</si>
  <si>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</si>
  <si>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</si>
  <si>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</si>
  <si>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</si>
  <si>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</si>
  <si>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</si>
  <si>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</si>
  <si>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</si>
  <si>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</si>
  <si>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</si>
  <si>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</si>
  <si>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</si>
  <si>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</si>
  <si>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</si>
  <si>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</si>
  <si>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</si>
  <si>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</si>
  <si>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</si>
  <si>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</si>
  <si>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</si>
  <si>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</si>
  <si>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</si>
  <si>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</si>
  <si>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</si>
  <si>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</si>
  <si>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</si>
  <si>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</si>
  <si>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</si>
  <si>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</si>
  <si>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</si>
  <si>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</si>
  <si>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</si>
  <si>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</si>
  <si>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</si>
  <si>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</si>
  <si>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</si>
  <si>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</si>
  <si>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</si>
  <si>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</si>
  <si>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</si>
  <si>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</si>
  <si>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</si>
  <si>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</si>
  <si>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</si>
  <si>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</si>
  <si>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</si>
  <si>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</si>
  <si>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</si>
  <si>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</si>
  <si>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</si>
  <si>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</si>
  <si>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</si>
  <si>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</si>
  <si>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</si>
  <si>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</si>
  <si>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</si>
  <si>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</si>
  <si>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</si>
  <si>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</si>
  <si>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</si>
  <si>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</si>
  <si>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</si>
  <si>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</si>
  <si>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</si>
  <si>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</si>
  <si>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</si>
  <si>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</si>
  <si>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</si>
  <si>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</si>
  <si>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</si>
  <si>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</si>
  <si>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</si>
  <si>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</si>
  <si>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</si>
  <si>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</si>
  <si>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</si>
  <si>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</si>
  <si>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</si>
  <si>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</si>
  <si>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</si>
  <si>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</si>
  <si>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</si>
  <si>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</si>
  <si>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</si>
  <si>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</si>
  <si>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</si>
  <si>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</si>
  <si>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</si>
  <si>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</si>
  <si>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</si>
  <si>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</si>
  <si>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</si>
  <si>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</si>
  <si>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</si>
  <si>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</si>
  <si>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</si>
  <si>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</si>
  <si>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</si>
  <si>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</si>
  <si>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</si>
  <si>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</si>
  <si>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</si>
  <si>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</si>
  <si>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</si>
  <si>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</si>
  <si>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</si>
  <si>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</si>
  <si>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</si>
  <si>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</si>
  <si>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</si>
  <si>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</si>
  <si>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</si>
  <si>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</si>
  <si>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</si>
  <si>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</si>
  <si>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</si>
  <si>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</si>
  <si>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</si>
  <si>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</si>
  <si>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</si>
  <si>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</si>
  <si>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</si>
  <si>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</si>
  <si>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</si>
  <si>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</si>
  <si>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</si>
  <si>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</si>
  <si>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</si>
  <si>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</si>
  <si>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</si>
  <si>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</si>
  <si>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</si>
  <si>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</si>
  <si>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</si>
  <si>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</si>
  <si>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</si>
  <si>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</si>
  <si>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</si>
  <si>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</si>
  <si>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</si>
  <si>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</si>
  <si>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</si>
  <si>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</si>
  <si>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</si>
  <si>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</si>
  <si>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</si>
  <si>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</si>
  <si>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</si>
  <si>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</si>
  <si>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</si>
  <si>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</si>
  <si>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</si>
  <si>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</si>
  <si>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</si>
  <si>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</si>
  <si>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</si>
  <si>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</si>
  <si>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</si>
  <si>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</si>
  <si>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</si>
  <si>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</si>
  <si>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</si>
  <si>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</si>
  <si>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</si>
  <si>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</si>
  <si>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</si>
  <si>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</si>
  <si>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</si>
  <si>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</si>
  <si>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</si>
  <si>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</si>
  <si>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</si>
  <si>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</si>
  <si>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</si>
  <si>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</si>
  <si>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</si>
  <si>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</si>
  <si>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</si>
  <si>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</si>
  <si>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</si>
  <si>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</si>
  <si>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</si>
  <si>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</si>
  <si>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</si>
  <si>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</si>
  <si>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</si>
  <si>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</si>
  <si>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</si>
  <si>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</si>
  <si>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</si>
  <si>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</si>
  <si>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</si>
  <si>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</si>
  <si>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</si>
  <si>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</si>
  <si>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</si>
  <si>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</si>
  <si>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</si>
  <si>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</si>
  <si>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</si>
  <si>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</si>
  <si>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</si>
  <si>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</si>
  <si>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</si>
  <si>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</si>
  <si>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</si>
  <si>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</si>
  <si>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</si>
  <si>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</si>
  <si>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</si>
  <si>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</si>
  <si>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</si>
  <si>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</si>
  <si>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</si>
  <si>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</si>
  <si>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</si>
  <si>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</si>
  <si>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</si>
  <si>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</si>
  <si>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</si>
  <si>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</si>
  <si>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</si>
  <si>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</si>
  <si>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</si>
  <si>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</si>
  <si>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</si>
  <si>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</si>
  <si>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</si>
  <si>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</si>
  <si>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</si>
  <si>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</si>
  <si>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</si>
  <si>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</si>
  <si>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</si>
  <si>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</si>
  <si>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</si>
  <si>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</si>
  <si>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</si>
  <si>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</si>
  <si>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</si>
  <si>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</si>
  <si>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</si>
  <si>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</si>
  <si>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</si>
  <si>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</si>
  <si>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</si>
  <si>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</si>
  <si>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</si>
  <si>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</si>
  <si>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</si>
  <si>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</si>
  <si>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</si>
  <si>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</si>
  <si>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</si>
  <si>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</si>
  <si>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</si>
  <si>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</si>
  <si>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</si>
  <si>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</si>
  <si>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</si>
  <si>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</si>
  <si>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</si>
  <si>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</si>
  <si>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</si>
  <si>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</si>
  <si>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</si>
  <si>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</si>
  <si>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</si>
  <si>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</si>
  <si>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</si>
  <si>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</si>
  <si>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</si>
  <si>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</si>
  <si>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</si>
  <si>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</si>
  <si>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</si>
  <si>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</si>
  <si>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</si>
  <si>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</si>
  <si>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</si>
  <si>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</si>
  <si>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</si>
  <si>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</si>
  <si>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</si>
  <si>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</si>
  <si>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</si>
  <si>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</si>
  <si>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</si>
  <si>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</si>
  <si>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</si>
  <si>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</si>
  <si>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</si>
  <si>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</si>
  <si>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</si>
  <si>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</si>
  <si>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</si>
  <si>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</si>
  <si>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</si>
  <si>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</si>
  <si>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</si>
  <si>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</si>
  <si>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</si>
  <si>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</si>
  <si>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</si>
  <si>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</si>
  <si>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</si>
  <si>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</si>
  <si>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</si>
  <si>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</si>
  <si>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</si>
  <si>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</si>
  <si>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</si>
  <si>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</si>
  <si>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</si>
  <si>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</si>
  <si>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</si>
  <si>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</si>
  <si>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</si>
  <si>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</si>
  <si>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</si>
  <si>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</si>
  <si>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</si>
  <si>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</si>
  <si>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</si>
  <si>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</si>
  <si>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</si>
  <si>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</si>
  <si>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</si>
  <si>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</si>
  <si>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</si>
  <si>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</si>
  <si>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</si>
  <si>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</si>
  <si>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</si>
  <si>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</si>
  <si>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</si>
  <si>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</si>
  <si>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</si>
  <si>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</si>
  <si>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</si>
  <si>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</si>
  <si>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</si>
  <si>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</si>
  <si>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</si>
  <si>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</si>
  <si>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</si>
  <si>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</si>
  <si>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</si>
  <si>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</si>
  <si>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</si>
  <si>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</si>
  <si>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</si>
  <si>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</si>
  <si>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</si>
  <si>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</si>
  <si>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</si>
  <si>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</si>
  <si>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</si>
  <si>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</si>
  <si>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</si>
  <si>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</si>
  <si>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</si>
  <si>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</si>
  <si>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</si>
  <si>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</si>
  <si>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</si>
  <si>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</si>
  <si>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</si>
  <si>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</si>
  <si>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</si>
  <si>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</si>
  <si>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</si>
  <si>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</si>
  <si>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</si>
  <si>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</si>
  <si>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</si>
  <si>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</si>
  <si>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</si>
  <si>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</si>
  <si>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</si>
  <si>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</si>
  <si>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</si>
  <si>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</si>
  <si>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</si>
  <si>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</si>
  <si>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</si>
  <si>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</si>
  <si>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</si>
  <si>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</si>
  <si>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</si>
  <si>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</si>
  <si>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</si>
  <si>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</si>
  <si>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</si>
  <si>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</si>
  <si>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</si>
  <si>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</si>
  <si>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</si>
  <si>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</si>
  <si>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</si>
  <si>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</si>
  <si>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</si>
  <si>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</si>
  <si>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</si>
  <si>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</si>
  <si>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</si>
  <si>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</si>
  <si>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</si>
  <si>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</si>
  <si>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</si>
  <si>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</si>
  <si>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</si>
  <si>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</si>
  <si>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</si>
  <si>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</si>
  <si>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</si>
  <si>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</si>
  <si>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</si>
  <si>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</si>
  <si>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</si>
  <si>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</si>
  <si>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</si>
  <si>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</si>
  <si>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</si>
  <si>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</si>
  <si>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</si>
  <si>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</si>
  <si>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</si>
  <si>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</si>
  <si>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</si>
  <si>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</si>
  <si>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</si>
  <si>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</si>
  <si>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</si>
  <si>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</si>
  <si>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</si>
  <si>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</si>
  <si>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</si>
  <si>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</si>
  <si>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</si>
  <si>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</si>
  <si>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</si>
  <si>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</si>
  <si>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</si>
  <si>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</si>
  <si>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</si>
  <si>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</si>
  <si>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</si>
  <si>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</si>
  <si>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</si>
  <si>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</si>
  <si>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</si>
  <si>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</si>
  <si>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</si>
  <si>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</si>
  <si>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</si>
  <si>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</si>
  <si>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</si>
  <si>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</si>
  <si>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</si>
  <si>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</si>
  <si>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</si>
  <si>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</si>
  <si>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</si>
  <si>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</si>
  <si>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</si>
  <si>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</si>
  <si>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</si>
  <si>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</si>
  <si>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</si>
  <si>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</si>
  <si>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</si>
  <si>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</si>
  <si>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</si>
  <si>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</si>
  <si>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</si>
  <si>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</si>
  <si>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</si>
  <si>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</si>
  <si>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</si>
  <si>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</si>
  <si>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</si>
  <si>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</si>
  <si>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</si>
  <si>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</si>
  <si>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</si>
  <si>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</si>
  <si>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</si>
  <si>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</si>
  <si>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</si>
  <si>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</si>
  <si>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</si>
  <si>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</si>
  <si>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</si>
  <si>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</si>
  <si>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</si>
  <si>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</si>
  <si>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</si>
  <si>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</si>
  <si>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</si>
  <si>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</si>
  <si>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</si>
  <si>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</si>
  <si>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</si>
  <si>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</si>
  <si>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</si>
  <si>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</si>
  <si>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</si>
  <si>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</si>
  <si>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</si>
  <si>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</si>
  <si>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</si>
  <si>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</si>
  <si>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</si>
  <si>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</si>
  <si>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</si>
  <si>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</si>
  <si>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</si>
  <si>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</si>
  <si>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</si>
  <si>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</si>
  <si>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</si>
  <si>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</si>
  <si>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</si>
  <si>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</si>
  <si>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</si>
  <si>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</si>
  <si>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</si>
  <si>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</si>
  <si>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</si>
  <si>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</si>
  <si>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</si>
  <si>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</si>
  <si>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</si>
  <si>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</si>
  <si>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</si>
  <si>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</si>
  <si>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</si>
  <si>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</si>
  <si>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</si>
  <si>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</si>
  <si>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</si>
  <si>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</si>
  <si>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</si>
  <si>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</si>
  <si>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</si>
  <si>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</si>
  <si>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</si>
  <si>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</si>
  <si>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</si>
  <si>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</si>
  <si>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</si>
  <si>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</si>
  <si>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</si>
  <si>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</si>
  <si>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</si>
  <si>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</si>
  <si>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</si>
  <si>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</si>
  <si>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</si>
  <si>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</si>
  <si>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</si>
  <si>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</si>
  <si>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</si>
  <si>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</si>
  <si>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</si>
  <si>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</si>
  <si>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</si>
  <si>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</si>
  <si>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</si>
  <si>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</si>
  <si>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</si>
  <si>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</si>
  <si>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</si>
  <si>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</si>
  <si>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</si>
  <si>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</si>
  <si>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</si>
  <si>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</si>
  <si>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</si>
  <si>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</si>
  <si>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</si>
  <si>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</si>
  <si>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</si>
  <si>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</si>
  <si>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</si>
  <si>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</si>
  <si>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</si>
  <si>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</si>
  <si>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</si>
  <si>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</si>
  <si>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</si>
  <si>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</si>
  <si>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</si>
  <si>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</si>
  <si>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</si>
  <si>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</si>
  <si>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</si>
  <si>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</si>
  <si>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</si>
  <si>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</si>
  <si>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</si>
  <si>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</si>
  <si>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</si>
  <si>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</si>
  <si>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</si>
  <si>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</si>
  <si>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</si>
  <si>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</si>
  <si>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</si>
  <si>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</si>
  <si>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</si>
  <si>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</si>
  <si>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</si>
  <si>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</si>
  <si>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</si>
  <si>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</si>
  <si>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</si>
  <si>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</si>
  <si>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</si>
  <si>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</si>
  <si>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</si>
  <si>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</si>
  <si>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</si>
  <si>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</si>
  <si>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</si>
  <si>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</si>
  <si>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</si>
  <si>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</si>
  <si>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</si>
  <si>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</si>
  <si>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</si>
  <si>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</si>
  <si>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</si>
  <si>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</si>
  <si>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</si>
  <si>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</si>
  <si>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</si>
  <si>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</si>
  <si>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</si>
  <si>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</si>
  <si>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</si>
  <si>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</si>
  <si>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</si>
  <si>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</si>
  <si>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</si>
  <si>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</si>
  <si>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</si>
  <si>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</si>
  <si>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</si>
  <si>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</si>
  <si>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</si>
  <si>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</si>
  <si>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</si>
  <si>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</si>
  <si>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</si>
  <si>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</si>
  <si>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</si>
  <si>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</si>
  <si>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</si>
  <si>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</si>
  <si>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</si>
  <si>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</si>
  <si>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</si>
  <si>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</si>
  <si>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</si>
  <si>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</si>
  <si>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</si>
  <si>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</si>
  <si>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</si>
  <si>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</si>
  <si>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</si>
  <si>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</si>
  <si>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</si>
  <si>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</si>
  <si>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</si>
  <si>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</si>
  <si>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</si>
  <si>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</si>
  <si>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</si>
  <si>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</si>
  <si>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</si>
  <si>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</si>
  <si>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</si>
  <si>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</si>
  <si>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</si>
  <si>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</si>
  <si>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</si>
  <si>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</si>
  <si>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</si>
  <si>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</si>
  <si>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</si>
  <si>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</si>
  <si>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</si>
  <si>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</si>
  <si>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</si>
  <si>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</si>
  <si>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</si>
  <si>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</si>
  <si>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</si>
  <si>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</si>
  <si>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</si>
  <si>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</si>
  <si>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</si>
  <si>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</si>
  <si>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</si>
  <si>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</si>
  <si>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</si>
  <si>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</si>
  <si>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</si>
  <si>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</si>
  <si>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</si>
  <si>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</si>
  <si>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</si>
  <si>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</si>
  <si>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</si>
  <si>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</si>
  <si>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</si>
  <si>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</si>
  <si>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</si>
  <si>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</si>
  <si>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</si>
  <si>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</si>
  <si>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</si>
  <si>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</si>
  <si>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</si>
  <si>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</si>
  <si>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</si>
  <si>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</si>
  <si>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</si>
  <si>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</si>
  <si>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</si>
  <si>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</si>
  <si>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</si>
  <si>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</si>
  <si>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</si>
  <si>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</si>
  <si>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</si>
  <si>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</si>
  <si>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</si>
  <si>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</si>
  <si>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</si>
  <si>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</si>
  <si>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</si>
  <si>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</si>
  <si>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</si>
  <si>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</si>
  <si>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</si>
  <si>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</si>
  <si>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</si>
  <si>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</si>
  <si>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</si>
  <si>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</si>
  <si>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</si>
  <si>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</si>
  <si>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</si>
  <si>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</si>
  <si>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</si>
  <si>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</si>
  <si>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</si>
  <si>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</si>
  <si>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</si>
  <si>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</si>
  <si>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</si>
  <si>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</si>
  <si>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</si>
  <si>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</si>
  <si>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</si>
  <si>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</si>
  <si>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</si>
  <si>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</si>
  <si>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</si>
  <si>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</si>
  <si>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</si>
  <si>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</si>
  <si>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</si>
  <si>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</si>
  <si>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</si>
  <si>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</si>
  <si>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</si>
  <si>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</si>
  <si>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</si>
  <si>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</si>
  <si>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</si>
  <si>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</si>
  <si>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</si>
  <si>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</si>
  <si>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</si>
  <si>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</si>
  <si>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</si>
  <si>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</si>
  <si>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</si>
  <si>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</si>
  <si>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</si>
  <si>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</si>
  <si>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</si>
  <si>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</si>
  <si>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</si>
  <si>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</si>
  <si>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</si>
  <si>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</si>
  <si>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</si>
  <si>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</si>
  <si>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</si>
  <si>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</si>
  <si>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</si>
  <si>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</si>
  <si>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</si>
  <si>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</si>
  <si>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</si>
  <si>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</si>
  <si>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</si>
  <si>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</si>
  <si>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</si>
  <si>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</si>
  <si>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</si>
  <si>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</si>
  <si>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</si>
  <si>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</si>
  <si>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</si>
  <si>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</si>
  <si>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</si>
  <si>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</si>
  <si>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</si>
  <si>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</si>
  <si>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</si>
  <si>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</si>
  <si>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</si>
  <si>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</si>
  <si>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</si>
  <si>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</si>
  <si>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</si>
  <si>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</si>
  <si>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</si>
  <si>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</si>
  <si>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</si>
  <si>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</si>
  <si>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</si>
  <si>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</si>
  <si>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</si>
  <si>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</si>
  <si>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</si>
  <si>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</si>
  <si>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</si>
  <si>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</si>
  <si>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</si>
  <si>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</si>
  <si>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</si>
  <si>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</si>
  <si>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</si>
  <si>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</si>
  <si>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</si>
  <si>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</si>
  <si>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</si>
  <si>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</si>
  <si>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</si>
  <si>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</si>
  <si>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</si>
  <si>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</si>
  <si>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</si>
  <si>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</si>
  <si>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</si>
  <si>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</si>
  <si>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</si>
  <si>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</si>
  <si>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</si>
  <si>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</si>
  <si>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</si>
  <si>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</si>
  <si>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</si>
  <si>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</si>
  <si>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</si>
  <si>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</si>
  <si>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</si>
  <si>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</si>
  <si>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</si>
  <si>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</si>
  <si>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</si>
  <si>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</si>
  <si>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</si>
  <si>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</si>
  <si>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</si>
  <si>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</si>
  <si>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</si>
  <si>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</si>
  <si>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</si>
  <si>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</si>
  <si>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</si>
  <si>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</si>
  <si>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</si>
  <si>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</si>
  <si>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</si>
  <si>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</si>
  <si>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</si>
  <si>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</si>
  <si>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</si>
  <si>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</si>
  <si>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</si>
  <si>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</si>
  <si>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</si>
  <si>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</si>
  <si>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</si>
  <si>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</si>
  <si>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</si>
  <si>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</si>
  <si>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</si>
  <si>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</si>
  <si>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</si>
  <si>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</si>
  <si>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</si>
  <si>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</si>
  <si>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</si>
  <si>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</si>
  <si>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</si>
  <si>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</si>
  <si>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</si>
  <si>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</si>
  <si>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</si>
  <si>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</si>
  <si>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</si>
  <si>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</si>
  <si>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</si>
  <si>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</si>
  <si>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</si>
  <si>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</si>
  <si>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</si>
  <si>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</si>
  <si>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</si>
  <si>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</si>
  <si>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</si>
  <si>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</si>
  <si>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</si>
  <si>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</si>
  <si>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</si>
  <si>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</si>
  <si>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</si>
  <si>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</si>
  <si>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</si>
  <si>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</si>
  <si>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</si>
  <si>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</si>
  <si>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</si>
  <si>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</si>
  <si>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</si>
  <si>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</si>
  <si>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</si>
  <si>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</si>
  <si>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</si>
  <si>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</si>
  <si>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</si>
  <si>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</si>
  <si>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</si>
  <si>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</si>
  <si>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</si>
  <si>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</si>
  <si>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</si>
  <si>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</si>
  <si>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</si>
  <si>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</si>
  <si>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</si>
  <si>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</si>
  <si>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</si>
  <si>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</si>
  <si>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</si>
  <si>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</si>
  <si>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</si>
  <si>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</si>
  <si>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</si>
  <si>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</si>
  <si>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</si>
  <si>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</si>
  <si>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</si>
  <si>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</si>
  <si>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</si>
  <si>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</si>
  <si>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</si>
  <si>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</si>
  <si>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</si>
  <si>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</si>
  <si>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</si>
  <si>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</si>
  <si>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</si>
  <si>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</si>
  <si>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</si>
  <si>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</si>
  <si>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</si>
  <si>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</si>
  <si>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</si>
  <si>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</si>
  <si>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</si>
  <si>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</si>
  <si>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</si>
  <si>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</si>
  <si>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</si>
  <si>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</si>
  <si>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</si>
  <si>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</si>
  <si>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</si>
  <si>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</si>
  <si>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</si>
  <si>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</si>
  <si>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</si>
  <si>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</si>
  <si>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</si>
  <si>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</si>
  <si>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</si>
  <si>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</si>
  <si>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</si>
  <si>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</si>
  <si>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</si>
  <si>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</si>
  <si>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</si>
  <si>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</si>
  <si>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</si>
  <si>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</si>
  <si>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</si>
  <si>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</si>
  <si>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</si>
  <si>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</si>
  <si>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</si>
  <si>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</si>
  <si>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</si>
  <si>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</si>
  <si>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</si>
  <si>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</si>
  <si>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</si>
  <si>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</si>
  <si>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</si>
  <si>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</si>
  <si>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</si>
  <si>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</si>
  <si>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</si>
  <si>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</si>
  <si>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</si>
  <si>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</si>
  <si>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</si>
  <si>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</si>
  <si>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</si>
  <si>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</si>
  <si>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</si>
  <si>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</si>
  <si>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</si>
  <si>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</si>
  <si>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</si>
  <si>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</si>
  <si>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</si>
  <si>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</si>
  <si>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</si>
  <si>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</si>
  <si>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</si>
  <si>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</si>
  <si>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</si>
  <si>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</si>
  <si>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</si>
  <si>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</si>
  <si>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</si>
  <si>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</si>
  <si>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</si>
  <si>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</si>
  <si>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</si>
  <si>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</si>
  <si>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</si>
  <si>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</si>
  <si>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</si>
  <si>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</si>
  <si>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</si>
  <si>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</si>
  <si>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</si>
  <si>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</si>
  <si>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</si>
  <si>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</si>
  <si>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</si>
  <si>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</si>
  <si>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</si>
  <si>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</si>
  <si>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</si>
  <si>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</si>
  <si>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</si>
  <si>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</si>
  <si>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</si>
  <si>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</si>
  <si>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</si>
  <si>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</si>
  <si>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</si>
  <si>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</si>
  <si>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</si>
  <si>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</si>
  <si>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</si>
  <si>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</si>
  <si>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</si>
  <si>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</si>
  <si>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</si>
  <si>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</si>
  <si>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</si>
  <si>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</si>
  <si>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</si>
  <si>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</si>
  <si>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</si>
  <si>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</si>
  <si>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</si>
  <si>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</si>
  <si>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</si>
  <si>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</si>
  <si>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</si>
  <si>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</si>
  <si>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</si>
  <si>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</si>
  <si>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</si>
  <si>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</si>
  <si>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</si>
  <si>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</si>
  <si>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</si>
  <si>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</si>
  <si>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</si>
  <si>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</si>
  <si>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</si>
  <si>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</si>
  <si>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</si>
  <si>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</si>
  <si>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</si>
  <si>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</si>
  <si>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</si>
  <si>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</si>
  <si>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</si>
  <si>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</si>
  <si>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</si>
  <si>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</si>
  <si>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</si>
  <si>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</si>
  <si>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</si>
  <si>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</si>
  <si>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</si>
  <si>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</si>
  <si>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</si>
  <si>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</si>
  <si>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</si>
  <si>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</si>
  <si>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</si>
  <si>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</si>
  <si>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</si>
  <si>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</si>
  <si>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</si>
  <si>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</si>
  <si>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</si>
  <si>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</si>
  <si>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</si>
  <si>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</si>
  <si>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</si>
  <si>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</si>
  <si>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</si>
  <si>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</si>
  <si>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</si>
  <si>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</si>
  <si>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</si>
  <si>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</si>
  <si>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</si>
  <si>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</si>
  <si>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</si>
  <si>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</si>
  <si>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</si>
  <si>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</si>
  <si>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</si>
  <si>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</si>
  <si>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</si>
  <si>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</si>
  <si>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</si>
  <si>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</si>
  <si>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</si>
  <si>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</si>
  <si>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</si>
  <si>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</si>
  <si>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</si>
  <si>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</si>
  <si>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</si>
  <si>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</si>
  <si>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</si>
  <si>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</si>
  <si>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</si>
  <si>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</si>
  <si>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</si>
  <si>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</si>
  <si>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</si>
  <si>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</si>
  <si>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</si>
  <si>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</si>
  <si>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</si>
  <si>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</si>
  <si>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</si>
  <si>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</si>
  <si>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</si>
  <si>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</si>
  <si>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</si>
  <si>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</si>
  <si>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</si>
  <si>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</si>
  <si>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</si>
  <si>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</si>
  <si>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</si>
  <si>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</si>
  <si>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</si>
  <si>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</si>
  <si>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</si>
  <si>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</si>
  <si>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</si>
  <si>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</si>
  <si>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</si>
  <si>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</si>
  <si>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</si>
  <si>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</si>
  <si>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</si>
  <si>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</si>
  <si>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</si>
  <si>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</si>
  <si>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</si>
  <si>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</si>
  <si>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</si>
  <si>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</si>
  <si>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</si>
  <si>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</si>
  <si>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</si>
  <si>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</si>
  <si>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</si>
  <si>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</si>
  <si>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</si>
  <si>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</si>
  <si>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</si>
  <si>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</si>
  <si>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</si>
  <si>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</si>
  <si>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</si>
  <si>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</si>
  <si>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</si>
  <si>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</si>
  <si>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</si>
  <si>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</si>
  <si>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</si>
  <si>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</si>
  <si>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</si>
  <si>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</si>
  <si>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</si>
  <si>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</si>
  <si>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</si>
  <si>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</si>
  <si>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</si>
  <si>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</si>
  <si>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</si>
  <si>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</si>
  <si>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</si>
  <si>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</si>
  <si>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</si>
  <si>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</si>
  <si>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</si>
  <si>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</si>
  <si>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</si>
  <si>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</si>
  <si>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</si>
  <si>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</si>
  <si>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</si>
  <si>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</si>
  <si>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</si>
  <si>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</si>
  <si>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</si>
  <si>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</si>
  <si>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</si>
  <si>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</si>
  <si>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</si>
  <si>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</si>
  <si>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</si>
  <si>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</si>
  <si>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</si>
  <si>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</si>
  <si>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</si>
  <si>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</si>
  <si>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</si>
  <si>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</si>
  <si>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</si>
  <si>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</si>
  <si>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</si>
  <si>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</si>
  <si>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</si>
  <si>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</si>
  <si>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</si>
  <si>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</si>
  <si>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</si>
  <si>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</si>
  <si>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</si>
  <si>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</si>
  <si>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</si>
  <si>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</si>
  <si>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</si>
  <si>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</si>
  <si>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</si>
  <si>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</si>
  <si>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</si>
  <si>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</si>
  <si>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</si>
  <si>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</si>
  <si>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</si>
  <si>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</si>
  <si>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</si>
  <si>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</si>
  <si>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</si>
  <si>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</si>
  <si>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</si>
  <si>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</si>
  <si>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</si>
  <si>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</si>
  <si>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</si>
  <si>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</si>
  <si>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</si>
  <si>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</si>
  <si>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</si>
  <si>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</si>
  <si>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</si>
  <si>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</si>
  <si>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</si>
  <si>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</si>
  <si>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</si>
  <si>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</si>
  <si>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</si>
  <si>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</si>
  <si>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</si>
  <si>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</si>
  <si>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</si>
  <si>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</si>
  <si>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</si>
  <si>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</si>
  <si>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</si>
  <si>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</si>
  <si>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</si>
  <si>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</si>
  <si>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</si>
  <si>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</si>
  <si>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</si>
  <si>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</si>
  <si>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</si>
  <si>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</si>
  <si>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</si>
  <si>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</si>
  <si>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</si>
  <si>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</si>
  <si>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</si>
  <si>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</si>
  <si>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</si>
  <si>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</si>
  <si>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</si>
  <si>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</si>
  <si>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</si>
  <si>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</si>
  <si>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</si>
  <si>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</si>
  <si>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</si>
  <si>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</si>
  <si>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</si>
  <si>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</si>
  <si>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</si>
  <si>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</si>
  <si>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</si>
  <si>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</si>
  <si>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</si>
  <si>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</si>
  <si>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</si>
  <si>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</si>
  <si>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</si>
  <si>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</si>
  <si>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</si>
  <si>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</si>
  <si>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</si>
  <si>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</si>
  <si>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</si>
  <si>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</si>
  <si>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</si>
  <si>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</si>
  <si>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</si>
  <si>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</si>
  <si>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</si>
  <si>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</si>
  <si>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</si>
  <si>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</si>
  <si>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</si>
  <si>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</si>
  <si>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</si>
  <si>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</si>
  <si>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</si>
  <si>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</si>
  <si>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</si>
  <si>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</si>
  <si>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</si>
  <si>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</si>
  <si>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</si>
  <si>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</si>
  <si>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</si>
  <si>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</si>
  <si>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</si>
  <si>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</si>
  <si>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</si>
  <si>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</si>
  <si>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</si>
  <si>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</si>
  <si>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</si>
  <si>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</si>
  <si>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</si>
  <si>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</si>
  <si>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</si>
  <si>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</si>
  <si>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</si>
  <si>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</si>
  <si>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</si>
  <si>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</si>
  <si>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</si>
  <si>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</si>
  <si>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</si>
  <si>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</si>
  <si>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</si>
  <si>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</si>
  <si>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</si>
  <si>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</si>
  <si>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</si>
  <si>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</si>
  <si>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</si>
  <si>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</si>
  <si>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</si>
  <si>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</si>
  <si>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</si>
  <si>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</si>
  <si>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</si>
  <si>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</si>
  <si>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</si>
  <si>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</si>
  <si>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</si>
  <si>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</si>
  <si>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</si>
  <si>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</si>
  <si>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</si>
  <si>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</si>
  <si>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</si>
  <si>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</si>
  <si>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</si>
  <si>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</si>
  <si>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</si>
  <si>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</si>
  <si>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</si>
  <si>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</si>
  <si>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</si>
  <si>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</si>
  <si>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</si>
  <si>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</si>
  <si>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</si>
  <si>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</si>
  <si>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</si>
  <si>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</si>
  <si>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</si>
  <si>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</si>
  <si>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</si>
  <si>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</si>
  <si>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</si>
  <si>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</si>
  <si>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</si>
  <si>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</si>
  <si>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</si>
  <si>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</si>
  <si>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</si>
  <si>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</si>
  <si>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</si>
  <si>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</si>
  <si>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</si>
  <si>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</si>
  <si>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</si>
  <si>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</si>
  <si>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</si>
  <si>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</si>
  <si>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</si>
  <si>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</si>
  <si>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</si>
  <si>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</si>
  <si>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</si>
  <si>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</si>
  <si>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</si>
  <si>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</si>
  <si>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</si>
  <si>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</si>
  <si>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</si>
  <si>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</si>
  <si>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</si>
  <si>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</si>
  <si>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</si>
  <si>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</si>
  <si>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</si>
  <si>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</si>
  <si>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</si>
  <si>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</si>
  <si>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</si>
  <si>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</si>
  <si>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</si>
  <si>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</si>
  <si>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</si>
  <si>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</si>
  <si>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</si>
  <si>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</si>
  <si>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</si>
  <si>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</si>
  <si>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</si>
  <si>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</si>
  <si>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</si>
  <si>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</si>
  <si>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</si>
  <si>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</si>
  <si>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</si>
  <si>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</si>
  <si>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</si>
  <si>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</si>
  <si>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</si>
  <si>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</si>
  <si>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</si>
  <si>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</si>
  <si>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</si>
  <si>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</si>
  <si>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</si>
  <si>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</si>
  <si>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</si>
  <si>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</si>
  <si>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</si>
  <si>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</si>
  <si>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</si>
  <si>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</si>
  <si>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</si>
  <si>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</si>
  <si>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</si>
  <si>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</si>
  <si>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</si>
  <si>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</si>
  <si>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</si>
  <si>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</si>
  <si>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</si>
  <si>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</si>
  <si>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</si>
  <si>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</si>
  <si>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</si>
  <si>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</si>
  <si>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</si>
  <si>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</si>
  <si>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</si>
  <si>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</si>
  <si>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</si>
  <si>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</si>
  <si>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</si>
  <si>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</si>
  <si>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</si>
  <si>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</si>
  <si>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</si>
  <si>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</si>
  <si>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</si>
  <si>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</si>
  <si>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</si>
  <si>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</si>
  <si>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</si>
  <si>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</si>
  <si>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</si>
  <si>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</si>
  <si>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</si>
  <si>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</si>
  <si>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</si>
  <si>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</si>
  <si>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</si>
  <si>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</si>
  <si>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</si>
  <si>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</si>
  <si>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</si>
  <si>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</si>
  <si>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</si>
  <si>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</si>
  <si>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</si>
  <si>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</si>
  <si>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</si>
  <si>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</si>
  <si>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</si>
  <si>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</si>
  <si>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</si>
  <si>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</si>
  <si>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</si>
  <si>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</si>
  <si>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</si>
  <si>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</si>
  <si>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</si>
  <si>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</si>
  <si>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</si>
  <si>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</si>
  <si>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</si>
  <si>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</si>
  <si>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</si>
  <si>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</si>
  <si>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</si>
  <si>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</si>
  <si>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</si>
  <si>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</si>
  <si>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</si>
  <si>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</si>
  <si>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</si>
  <si>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</si>
  <si>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</si>
  <si>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</si>
  <si>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</si>
  <si>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</si>
  <si>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</si>
  <si>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</si>
  <si>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</si>
  <si>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</si>
  <si>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</si>
  <si>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</si>
  <si>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</si>
  <si>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</si>
  <si>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</si>
  <si>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</si>
  <si>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</si>
  <si>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</si>
  <si>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</si>
  <si>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</si>
  <si>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</si>
  <si>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</si>
  <si>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</si>
  <si>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</si>
  <si>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</si>
  <si>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</si>
  <si>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</si>
  <si>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</si>
  <si>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</si>
  <si>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</si>
  <si>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</si>
  <si>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</si>
  <si>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</si>
  <si>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</si>
  <si>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</si>
  <si>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</si>
  <si>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</si>
  <si>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</si>
  <si>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</si>
  <si>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</si>
  <si>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</si>
  <si>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</si>
  <si>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</si>
  <si>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</si>
  <si>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</si>
  <si>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</si>
  <si>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</si>
  <si>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</si>
  <si>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</si>
  <si>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</si>
  <si>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</si>
  <si>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</si>
  <si>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</si>
  <si>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</si>
  <si>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</si>
  <si>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</si>
  <si>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</si>
  <si>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</si>
  <si>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</si>
  <si>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</si>
  <si>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</si>
  <si>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</si>
  <si>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</si>
  <si>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</si>
  <si>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</si>
  <si>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</si>
  <si>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</si>
  <si>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</si>
  <si>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</si>
  <si>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</si>
  <si>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</si>
  <si>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</si>
  <si>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</si>
  <si>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</si>
  <si>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</si>
  <si>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</si>
  <si>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</si>
  <si>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</si>
  <si>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</si>
  <si>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</si>
  <si>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</si>
  <si>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</si>
  <si>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</si>
  <si>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</si>
  <si>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</si>
  <si>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</si>
  <si>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</si>
  <si>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</si>
  <si>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</si>
  <si>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</si>
  <si>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</si>
  <si>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</si>
  <si>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</si>
  <si>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</si>
  <si>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</si>
  <si>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</si>
  <si>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</si>
  <si>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</si>
  <si>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</si>
  <si>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</si>
  <si>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</si>
  <si>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</si>
  <si>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</si>
  <si>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</si>
  <si>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</si>
  <si>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</si>
  <si>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</si>
  <si>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</si>
  <si>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</si>
  <si>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</si>
  <si>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</si>
  <si>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</si>
  <si>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</si>
  <si>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</si>
  <si>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</si>
  <si>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</si>
  <si>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</si>
  <si>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</si>
  <si>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</si>
  <si>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</si>
  <si>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</si>
  <si>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</si>
  <si>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</si>
  <si>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</si>
  <si>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</si>
  <si>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</si>
  <si>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</si>
  <si>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</si>
  <si>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</si>
  <si>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</si>
  <si>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</si>
  <si>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</si>
  <si>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</si>
  <si>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</si>
  <si>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</si>
  <si>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</si>
  <si>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</si>
  <si>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</si>
  <si>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</si>
  <si>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</si>
  <si>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</si>
  <si>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</si>
  <si>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</si>
  <si>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</si>
  <si>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</si>
  <si>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</si>
  <si>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</si>
  <si>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</si>
  <si>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</si>
  <si>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</si>
  <si>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</si>
  <si>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</si>
  <si>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</si>
  <si>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</si>
  <si>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</si>
  <si>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</si>
  <si>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</si>
  <si>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</si>
  <si>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</si>
  <si>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</si>
  <si>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</si>
  <si>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</si>
  <si>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</si>
  <si>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</si>
  <si>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</si>
  <si>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</si>
  <si>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</si>
  <si>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</si>
  <si>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</si>
  <si>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</si>
  <si>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</si>
  <si>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</si>
  <si>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</si>
  <si>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</si>
  <si>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</si>
  <si>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</si>
  <si>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</si>
  <si>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</si>
  <si>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</si>
  <si>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</si>
  <si>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</si>
  <si>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</si>
  <si>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</si>
  <si>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</si>
  <si>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</si>
  <si>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</si>
  <si>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</si>
  <si>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</si>
  <si>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</si>
  <si>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</si>
  <si>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</si>
  <si>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</si>
  <si>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</si>
  <si>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</si>
  <si>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</si>
  <si>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</si>
  <si>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</si>
  <si>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</si>
  <si>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</si>
  <si>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</si>
  <si>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</si>
  <si>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</si>
  <si>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</si>
  <si>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</si>
  <si>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</si>
  <si>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</si>
  <si>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</si>
  <si>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</si>
  <si>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</si>
  <si>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</si>
  <si>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</si>
  <si>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</si>
  <si>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</si>
  <si>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</si>
  <si>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</si>
  <si>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</si>
  <si>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</si>
  <si>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</si>
  <si>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</si>
  <si>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</si>
  <si>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</si>
  <si>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</si>
  <si>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</si>
  <si>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</si>
  <si>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</si>
  <si>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</si>
  <si>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</si>
  <si>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</si>
  <si>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</si>
  <si>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</si>
  <si>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</si>
  <si>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</si>
  <si>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</si>
  <si>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</si>
  <si>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</si>
  <si>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</si>
  <si>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</si>
  <si>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</si>
  <si>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</si>
  <si>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</si>
  <si>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</si>
  <si>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</si>
  <si>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</si>
  <si>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</si>
  <si>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</si>
  <si>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</si>
  <si>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</si>
  <si>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</si>
  <si>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</si>
  <si>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</si>
  <si>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</si>
  <si>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</si>
  <si>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</si>
  <si>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</si>
  <si>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</si>
  <si>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</si>
  <si>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</si>
  <si>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</si>
  <si>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</si>
  <si>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</si>
  <si>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</si>
  <si>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</si>
  <si>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</si>
  <si>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</si>
  <si>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</si>
  <si>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</si>
  <si>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</si>
  <si>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</si>
  <si>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</si>
  <si>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</si>
  <si>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</si>
  <si>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</si>
  <si>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</si>
  <si>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</si>
  <si>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</si>
  <si>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</si>
  <si>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</si>
  <si>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</si>
  <si>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</si>
  <si>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</si>
  <si>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</si>
  <si>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</si>
  <si>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</si>
  <si>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</si>
  <si>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</si>
  <si>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</si>
  <si>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</si>
  <si>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</si>
  <si>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</si>
  <si>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</si>
  <si>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</si>
  <si>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</si>
  <si>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</si>
  <si>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</si>
  <si>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</si>
  <si>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</si>
  <si>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</si>
  <si>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</si>
  <si>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</si>
  <si>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</si>
  <si>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</si>
  <si>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</si>
  <si>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</si>
  <si>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</si>
  <si>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</si>
  <si>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</si>
  <si>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</si>
  <si>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</si>
  <si>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</si>
  <si>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</si>
  <si>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</si>
  <si>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</si>
  <si>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</si>
  <si>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</si>
  <si>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</si>
  <si>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</si>
  <si>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</si>
  <si>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</si>
  <si>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</si>
  <si>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</si>
  <si>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</si>
  <si>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</si>
  <si>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</si>
  <si>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</si>
  <si>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</si>
  <si>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</si>
  <si>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</si>
  <si>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</si>
  <si>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</si>
  <si>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</si>
  <si>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</si>
  <si>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</si>
  <si>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</si>
  <si>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</si>
  <si>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</si>
  <si>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</si>
  <si>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</si>
  <si>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</si>
  <si>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</si>
  <si>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</si>
  <si>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</si>
  <si>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</si>
  <si>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</si>
  <si>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</si>
  <si>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</si>
  <si>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</si>
  <si>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</si>
  <si>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</si>
  <si>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</si>
  <si>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</si>
  <si>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</si>
  <si>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</si>
  <si>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</si>
  <si>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</si>
  <si>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</si>
  <si>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</si>
  <si>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</si>
  <si>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</si>
  <si>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</si>
  <si>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</si>
  <si>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</si>
  <si>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</si>
  <si>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</si>
  <si>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</si>
  <si>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</si>
  <si>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</si>
  <si>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</si>
  <si>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</si>
  <si>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</si>
  <si>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</si>
  <si>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</si>
  <si>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</si>
  <si>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</si>
  <si>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</si>
  <si>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</si>
  <si>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</si>
  <si>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</si>
  <si>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</si>
  <si>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</si>
  <si>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</si>
  <si>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</si>
  <si>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</si>
  <si>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</si>
  <si>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</si>
  <si>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</si>
  <si>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</si>
  <si>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</si>
  <si>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</si>
  <si>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</si>
  <si>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</si>
  <si>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</si>
  <si>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</si>
  <si>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</si>
  <si>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</si>
  <si>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</si>
  <si>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</si>
  <si>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</si>
  <si>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</si>
  <si>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</si>
  <si>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</si>
  <si>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</si>
  <si>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</si>
  <si>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</si>
  <si>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</si>
  <si>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</si>
  <si>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</si>
  <si>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</si>
  <si>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</si>
  <si>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</si>
  <si>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</si>
  <si>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</si>
  <si>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</si>
  <si>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</si>
  <si>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</si>
  <si>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</si>
  <si>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</si>
  <si>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</si>
  <si>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</si>
  <si>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</si>
  <si>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</si>
  <si>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</si>
  <si>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</si>
  <si>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</si>
  <si>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</si>
  <si>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</si>
  <si>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</si>
  <si>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</si>
  <si>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</si>
  <si>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</si>
  <si>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</si>
  <si>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</si>
  <si>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</si>
  <si>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</si>
  <si>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</si>
  <si>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</si>
  <si>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</si>
  <si>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</si>
  <si>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</si>
  <si>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</si>
  <si>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</si>
  <si>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</si>
  <si>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</si>
  <si>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</si>
  <si>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</si>
  <si>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</si>
  <si>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</si>
  <si>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</si>
  <si>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</si>
  <si>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</si>
  <si>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</si>
  <si>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</si>
  <si>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</si>
  <si>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</si>
  <si>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</si>
  <si>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</si>
  <si>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</si>
  <si>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</si>
  <si>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</si>
  <si>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</si>
  <si>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</si>
  <si>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</si>
  <si>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</si>
  <si>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</si>
  <si>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</si>
  <si>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</si>
  <si>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</si>
  <si>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</si>
  <si>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</si>
  <si>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</si>
  <si>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</si>
  <si>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</si>
  <si>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</si>
  <si>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</si>
  <si>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</si>
  <si>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</si>
  <si>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</si>
  <si>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</si>
  <si>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</si>
  <si>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</si>
  <si>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</si>
  <si>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</si>
  <si>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</si>
  <si>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</si>
  <si>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</si>
  <si>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</si>
  <si>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</si>
  <si>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</si>
  <si>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</si>
  <si>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</si>
  <si>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</si>
  <si>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</si>
  <si>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</si>
  <si>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</si>
  <si>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</si>
  <si>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</si>
  <si>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</si>
  <si>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</si>
  <si>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</si>
  <si>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</si>
  <si>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</si>
  <si>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</si>
  <si>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</si>
  <si>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</si>
  <si>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</si>
  <si>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</si>
  <si>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</si>
  <si>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</si>
  <si>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</si>
  <si>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</si>
  <si>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</si>
  <si>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</si>
  <si>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</si>
  <si>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</si>
  <si>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</si>
  <si>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</si>
  <si>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</si>
  <si>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</si>
  <si>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</si>
  <si>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</si>
  <si>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</si>
  <si>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</si>
  <si>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</si>
  <si>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</si>
  <si>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</si>
  <si>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</si>
  <si>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</si>
  <si>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</si>
  <si>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</si>
  <si>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</si>
  <si>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</si>
  <si>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</si>
  <si>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</si>
  <si>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</si>
  <si>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</si>
  <si>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</si>
  <si>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</si>
  <si>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</si>
  <si>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</si>
  <si>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</si>
  <si>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</si>
  <si>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</si>
  <si>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</si>
  <si>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</si>
  <si>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</si>
  <si>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</si>
  <si>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</si>
  <si>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</si>
  <si>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</si>
  <si>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</si>
  <si>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</si>
  <si>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</si>
  <si>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</si>
  <si>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</si>
  <si>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</si>
  <si>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</si>
  <si>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</si>
  <si>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</si>
  <si>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</si>
  <si>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</si>
  <si>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</si>
  <si>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</si>
  <si>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</si>
  <si>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</si>
  <si>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</si>
  <si>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</si>
  <si>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</si>
  <si>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</si>
  <si>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</si>
  <si>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</si>
  <si>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</si>
  <si>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</si>
  <si>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</si>
  <si>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</si>
  <si>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</si>
  <si>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</si>
  <si>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</si>
  <si>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</si>
  <si>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</si>
  <si>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</si>
  <si>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</si>
  <si>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</si>
  <si>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</si>
  <si>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</si>
  <si>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</si>
  <si>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</si>
  <si>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</si>
  <si>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</si>
  <si>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</si>
  <si>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</si>
  <si>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</si>
  <si>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</si>
  <si>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</si>
  <si>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</si>
  <si>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</si>
  <si>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</si>
  <si>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</si>
  <si>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</si>
  <si>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</si>
  <si>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</si>
  <si>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</si>
  <si>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</si>
  <si>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</si>
  <si>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</si>
  <si>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</si>
  <si>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</si>
  <si>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</si>
  <si>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</si>
  <si>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</si>
  <si>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</si>
  <si>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</si>
  <si>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</si>
  <si>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</si>
  <si>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</si>
  <si>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</si>
  <si>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</si>
  <si>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</si>
  <si>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</si>
  <si>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</si>
  <si>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</si>
  <si>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</si>
  <si>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</si>
  <si>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</si>
  <si>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</si>
  <si>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</si>
  <si>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</si>
  <si>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</si>
  <si>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</si>
  <si>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</si>
  <si>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</si>
  <si>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</si>
  <si>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</si>
  <si>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</si>
  <si>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</si>
  <si>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</si>
  <si>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</si>
  <si>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</si>
  <si>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</si>
  <si>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</si>
  <si>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</si>
  <si>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</si>
  <si>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</si>
  <si>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</si>
  <si>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</si>
  <si>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</si>
  <si>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</si>
  <si>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</si>
  <si>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</si>
  <si>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</si>
  <si>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</si>
  <si>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</si>
  <si>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</si>
  <si>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</si>
  <si>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</si>
  <si>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</si>
  <si>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</si>
  <si>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</si>
  <si>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</si>
  <si>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</si>
  <si>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</si>
  <si>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</si>
  <si>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</si>
  <si>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</si>
  <si>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</si>
  <si>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</si>
  <si>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</si>
  <si>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</si>
  <si>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</si>
  <si>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</si>
  <si>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</si>
  <si>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</si>
  <si>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</si>
  <si>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</si>
  <si>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</si>
  <si>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</si>
  <si>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</si>
  <si>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</si>
  <si>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</si>
  <si>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</si>
  <si>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</si>
  <si>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</si>
  <si>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</si>
  <si>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</si>
  <si>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</si>
  <si>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</si>
  <si>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</si>
  <si>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</si>
  <si>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</si>
  <si>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</si>
  <si>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</si>
  <si>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</si>
  <si>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</si>
  <si>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</si>
  <si>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</si>
  <si>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</si>
  <si>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</si>
  <si>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</si>
  <si>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</si>
  <si>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</si>
  <si>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</si>
  <si>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</si>
  <si>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</si>
  <si>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</si>
  <si>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</si>
  <si>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</si>
  <si>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</si>
  <si>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</si>
  <si>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</si>
  <si>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</si>
  <si>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</si>
  <si>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</si>
  <si>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</si>
  <si>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</si>
  <si>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</si>
  <si>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</si>
  <si>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</si>
  <si>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</si>
  <si>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</si>
  <si>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</si>
  <si>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</si>
  <si>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</si>
  <si>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</si>
  <si>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</si>
  <si>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</si>
  <si>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</si>
  <si>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</si>
  <si>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</si>
  <si>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</si>
  <si>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</si>
  <si>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</si>
  <si>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</si>
  <si>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</si>
  <si>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</si>
  <si>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</si>
  <si>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</si>
  <si>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</si>
  <si>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</si>
  <si>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</si>
  <si>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</si>
  <si>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</si>
  <si>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</si>
  <si>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</si>
  <si>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</si>
  <si>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</si>
  <si>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</si>
  <si>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</si>
  <si>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</si>
  <si>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</si>
  <si>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</si>
  <si>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</si>
  <si>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</si>
  <si>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</si>
  <si>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</si>
  <si>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</si>
  <si>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</si>
  <si>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</si>
  <si>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</si>
  <si>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</si>
  <si>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</si>
  <si>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</si>
  <si>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</si>
  <si>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</si>
  <si>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</si>
  <si>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</si>
  <si>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</si>
  <si>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</si>
  <si>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</si>
  <si>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</si>
  <si>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</si>
  <si>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</si>
  <si>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</si>
  <si>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</si>
  <si>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</si>
  <si>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</si>
  <si>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</si>
  <si>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</si>
  <si>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</si>
  <si>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</si>
  <si>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</si>
  <si>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</si>
  <si>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</si>
  <si>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</si>
  <si>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</si>
  <si>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</si>
  <si>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</si>
  <si>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</si>
  <si>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</si>
  <si>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</si>
  <si>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</si>
  <si>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</si>
  <si>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</si>
  <si>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</si>
  <si>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</si>
  <si>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</si>
  <si>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</si>
  <si>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</si>
  <si>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</si>
  <si>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</si>
  <si>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</si>
  <si>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</si>
  <si>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</si>
  <si>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</si>
  <si>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</si>
  <si>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</si>
  <si>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</si>
  <si>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</si>
  <si>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</si>
  <si>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</si>
  <si>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</si>
  <si>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</si>
  <si>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</si>
  <si>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</si>
  <si>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</si>
  <si>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</si>
  <si>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</si>
  <si>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</si>
  <si>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</si>
  <si>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</si>
  <si>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</si>
  <si>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</si>
  <si>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</si>
  <si>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</si>
  <si>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</si>
  <si>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</si>
  <si>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</si>
  <si>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</si>
  <si>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</si>
  <si>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</si>
  <si>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</si>
  <si>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</si>
  <si>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</si>
  <si>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</si>
  <si>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</si>
  <si>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</si>
  <si>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</si>
  <si>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</si>
  <si>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</si>
  <si>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</si>
  <si>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</si>
  <si>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</si>
  <si>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</si>
  <si>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</si>
  <si>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</si>
  <si>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</si>
  <si>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</si>
  <si>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</si>
  <si>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</si>
  <si>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</si>
  <si>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</si>
  <si>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</si>
  <si>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</si>
  <si>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</si>
  <si>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</si>
  <si>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</si>
  <si>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</si>
  <si>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</si>
  <si>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</si>
  <si>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</si>
  <si>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</si>
  <si>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</si>
  <si>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</si>
  <si>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</si>
  <si>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</si>
  <si>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</si>
  <si>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</si>
  <si>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</si>
  <si>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</si>
  <si>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</si>
  <si>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</si>
  <si>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</si>
  <si>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</si>
  <si>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</si>
  <si>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</si>
  <si>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</si>
  <si>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</si>
  <si>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</si>
  <si>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</si>
  <si>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</si>
  <si>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</si>
  <si>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</si>
  <si>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</si>
  <si>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</si>
  <si>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</si>
  <si>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</si>
  <si>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</si>
  <si>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</si>
  <si>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</si>
  <si>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</si>
  <si>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</si>
  <si>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</si>
  <si>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</si>
  <si>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</si>
  <si>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</si>
  <si>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</si>
  <si>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</si>
  <si>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</si>
  <si>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</si>
  <si>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</si>
  <si>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</si>
  <si>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</si>
  <si>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</si>
  <si>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</si>
  <si>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</si>
  <si>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</si>
  <si>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</si>
  <si>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</si>
  <si>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</si>
  <si>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</si>
  <si>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</si>
  <si>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</si>
  <si>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</si>
  <si>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</si>
  <si>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</si>
  <si>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</si>
  <si>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</si>
  <si>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</si>
  <si>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</si>
  <si>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</si>
  <si>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</si>
  <si>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</si>
  <si>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</si>
  <si>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</si>
  <si>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</si>
  <si>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</si>
  <si>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</si>
  <si>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</si>
  <si>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</si>
  <si>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</si>
  <si>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</si>
  <si>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</si>
  <si>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</si>
  <si>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</si>
  <si>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</si>
  <si>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</si>
  <si>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</si>
  <si>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</si>
  <si>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</si>
  <si>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</si>
  <si>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</si>
  <si>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</si>
  <si>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</si>
  <si>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</si>
  <si>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</si>
  <si>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</si>
  <si>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</si>
  <si>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</si>
  <si>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</si>
  <si>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</si>
  <si>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</si>
  <si>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</si>
  <si>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</si>
  <si>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</si>
  <si>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</si>
  <si>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</si>
  <si>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</si>
  <si>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</si>
  <si>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</si>
  <si>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</si>
  <si>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</si>
  <si>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</si>
  <si>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</si>
  <si>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</si>
  <si>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</si>
  <si>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</si>
  <si>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</si>
  <si>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</si>
  <si>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</si>
  <si>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</si>
  <si>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</si>
  <si>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</si>
  <si>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</si>
  <si>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</si>
  <si>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</si>
  <si>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</si>
  <si>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</si>
  <si>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</si>
  <si>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</si>
  <si>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</si>
  <si>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</si>
  <si>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</si>
  <si>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</si>
  <si>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</si>
  <si>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</si>
  <si>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</si>
  <si>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</si>
  <si>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</si>
  <si>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</si>
  <si>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</si>
  <si>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</si>
  <si>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</si>
  <si>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</si>
  <si>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</si>
  <si>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</si>
  <si>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</si>
  <si>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</si>
  <si>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</si>
  <si>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</si>
  <si>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</si>
  <si>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</si>
  <si>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</si>
  <si>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</si>
  <si>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</si>
  <si>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</si>
  <si>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</si>
  <si>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</si>
  <si>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</si>
  <si>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</si>
  <si>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</si>
  <si>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</si>
  <si>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</si>
  <si>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</si>
  <si>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</si>
  <si>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</si>
  <si>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</si>
  <si>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</si>
  <si>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</si>
  <si>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</si>
  <si>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</si>
  <si>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</si>
  <si>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</si>
  <si>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</si>
  <si>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</si>
  <si>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</si>
  <si>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</si>
  <si>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</si>
  <si>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</si>
  <si>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</si>
  <si>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</si>
  <si>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</si>
  <si>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</si>
  <si>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</si>
  <si>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</si>
  <si>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</si>
  <si>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</si>
  <si>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</si>
  <si>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</si>
  <si>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</si>
  <si>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</si>
  <si>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</si>
  <si>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</si>
  <si>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</si>
  <si>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</si>
  <si>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</si>
  <si>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</si>
  <si>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</si>
  <si>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</si>
  <si>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</si>
  <si>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</si>
  <si>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</si>
  <si>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</si>
  <si>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</si>
  <si>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</si>
  <si>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</si>
  <si>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</si>
  <si>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</si>
  <si>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</si>
  <si>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</si>
  <si>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</si>
  <si>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</si>
  <si>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</si>
  <si>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</si>
  <si>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</si>
  <si>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</si>
  <si>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</si>
  <si>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</si>
  <si>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</si>
  <si>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</si>
  <si>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</si>
  <si>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</si>
  <si>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</si>
  <si>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</si>
  <si>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</si>
  <si>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</si>
  <si>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</si>
  <si>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</si>
  <si>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</si>
  <si>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</si>
  <si>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</si>
  <si>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</si>
  <si>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</si>
  <si>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</si>
  <si>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</si>
  <si>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</si>
  <si>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</si>
  <si>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</si>
  <si>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</si>
  <si>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</si>
  <si>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</si>
  <si>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</si>
  <si>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</si>
  <si>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</si>
  <si>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</si>
  <si>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</si>
  <si>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</si>
  <si>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</si>
  <si>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</si>
  <si>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</si>
  <si>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</si>
  <si>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</si>
  <si>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</si>
  <si>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</si>
  <si>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</si>
  <si>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</si>
  <si>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</si>
  <si>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</si>
  <si>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</si>
  <si>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</si>
  <si>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</si>
  <si>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</si>
  <si>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</si>
  <si>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</si>
  <si>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</si>
  <si>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</si>
  <si>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</si>
  <si>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</si>
  <si>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</si>
  <si>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</si>
  <si>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</si>
  <si>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</si>
  <si>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</si>
  <si>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</si>
  <si>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</si>
  <si>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</si>
  <si>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</si>
  <si>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</si>
  <si>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</si>
  <si>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</si>
  <si>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</si>
  <si>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</si>
  <si>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</si>
  <si>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</si>
  <si>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</si>
  <si>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</si>
  <si>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</si>
  <si>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</si>
  <si>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</si>
  <si>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</si>
  <si>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</si>
  <si>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</si>
  <si>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</si>
  <si>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</si>
  <si>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</si>
  <si>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</si>
  <si>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</si>
  <si>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</si>
  <si>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</si>
  <si>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</si>
  <si>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</si>
  <si>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</si>
  <si>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</si>
  <si>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</si>
  <si>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</si>
  <si>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</si>
  <si>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</si>
  <si>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</si>
  <si>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</si>
  <si>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</si>
  <si>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</si>
  <si>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</si>
  <si>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</si>
  <si>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</si>
  <si>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</si>
  <si>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</si>
  <si>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</si>
  <si>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</si>
  <si>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</si>
  <si>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</si>
  <si>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</si>
  <si>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</si>
  <si>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</si>
  <si>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</si>
  <si>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</si>
  <si>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</si>
  <si>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</si>
  <si>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</si>
  <si>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</si>
  <si>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</si>
  <si>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</si>
  <si>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</si>
  <si>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</si>
  <si>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</si>
  <si>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</si>
  <si>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</si>
  <si>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</si>
  <si>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</si>
  <si>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</si>
  <si>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</si>
  <si>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</si>
  <si>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</si>
  <si>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</si>
  <si>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</si>
  <si>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</si>
  <si>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</si>
  <si>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</si>
  <si>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</si>
  <si>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</si>
  <si>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</si>
  <si>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</si>
  <si>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</si>
  <si>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</si>
  <si>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</si>
  <si>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</si>
  <si>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</si>
  <si>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</si>
  <si>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</si>
  <si>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</si>
  <si>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</si>
  <si>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</si>
  <si>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</si>
  <si>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</si>
  <si>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</si>
  <si>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</si>
  <si>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</si>
  <si>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</si>
  <si>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</si>
  <si>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</si>
  <si>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</si>
  <si>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</si>
  <si>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</si>
  <si>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</si>
  <si>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</si>
  <si>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</si>
  <si>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</si>
  <si>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</si>
  <si>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</si>
  <si>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</si>
  <si>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</si>
  <si>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</si>
  <si>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</si>
  <si>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</si>
  <si>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</si>
  <si>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</si>
  <si>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</si>
  <si>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</si>
  <si>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</si>
  <si>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</si>
  <si>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</si>
  <si>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</si>
  <si>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</si>
  <si>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</si>
  <si>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</si>
  <si>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</si>
  <si>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</si>
  <si>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</si>
  <si>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</si>
  <si>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</si>
  <si>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</si>
  <si>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</si>
  <si>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</si>
  <si>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</si>
  <si>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</si>
  <si>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</si>
  <si>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</si>
  <si>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</si>
  <si>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</si>
  <si>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</si>
  <si>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</si>
  <si>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</si>
  <si>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</si>
  <si>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</si>
  <si>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</si>
  <si>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</si>
  <si>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</si>
  <si>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</si>
  <si>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</si>
  <si>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</si>
  <si>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</si>
  <si>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</si>
  <si>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</si>
  <si>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</si>
  <si>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</si>
  <si>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</si>
  <si>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</si>
  <si>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</si>
  <si>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</si>
  <si>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</si>
  <si>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</si>
  <si>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</si>
  <si>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</si>
  <si>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</si>
  <si>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</si>
  <si>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</si>
  <si>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</si>
  <si>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</si>
  <si>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</si>
  <si>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</si>
  <si>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</si>
  <si>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</si>
  <si>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</si>
  <si>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</si>
  <si>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</si>
  <si>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</si>
  <si>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</si>
  <si>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</si>
  <si>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</si>
  <si>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</si>
  <si>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</si>
  <si>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</si>
  <si>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</si>
  <si>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</si>
  <si>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</si>
  <si>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</si>
  <si>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</si>
  <si>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</si>
  <si>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</si>
  <si>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</si>
  <si>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</si>
  <si>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</si>
  <si>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</si>
  <si>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</si>
  <si>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</si>
  <si>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</si>
  <si>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</si>
  <si>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</si>
  <si>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</si>
  <si>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</si>
  <si>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</si>
  <si>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</si>
  <si>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</si>
  <si>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</si>
  <si>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</si>
  <si>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</si>
  <si>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</si>
  <si>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</si>
  <si>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</si>
  <si>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</si>
  <si>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</si>
  <si>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</si>
  <si>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</si>
  <si>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</si>
  <si>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</si>
  <si>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</si>
  <si>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</si>
  <si>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</si>
  <si>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</si>
  <si>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</si>
  <si>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</si>
  <si>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</si>
  <si>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</si>
  <si>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</si>
  <si>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</si>
  <si>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</si>
  <si>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</si>
  <si>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</si>
  <si>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</si>
  <si>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</si>
  <si>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</si>
  <si>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</si>
  <si>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</si>
  <si>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</si>
  <si>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</si>
  <si>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</si>
  <si>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</si>
  <si>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</si>
  <si>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</si>
  <si>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</si>
  <si>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</si>
  <si>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</si>
  <si>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</si>
  <si>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</si>
  <si>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</si>
  <si>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</si>
  <si>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</si>
  <si>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</si>
  <si>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</si>
  <si>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</si>
  <si>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</si>
  <si>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</si>
  <si>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</si>
  <si>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</si>
  <si>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</si>
  <si>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</si>
  <si>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</si>
  <si>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</si>
  <si>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</si>
  <si>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</si>
  <si>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</si>
  <si>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</si>
  <si>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</si>
  <si>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</si>
  <si>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</si>
  <si>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</si>
  <si>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</si>
  <si>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</si>
  <si>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</si>
  <si>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</si>
  <si>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</si>
  <si>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</si>
  <si>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</si>
  <si>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</si>
  <si>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</si>
  <si>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</si>
  <si>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</si>
  <si>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</si>
  <si>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</si>
  <si>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</si>
  <si>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</si>
  <si>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</si>
  <si>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</si>
  <si>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</si>
  <si>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</si>
  <si>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</si>
  <si>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</si>
  <si>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</si>
  <si>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</si>
  <si>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</si>
  <si>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</si>
  <si>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</si>
  <si>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</si>
  <si>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</si>
  <si>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</si>
  <si>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</si>
  <si>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</si>
  <si>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</si>
  <si>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</si>
  <si>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</si>
  <si>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</si>
  <si>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</si>
  <si>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</si>
  <si>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</si>
  <si>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</si>
  <si>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</si>
  <si>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</si>
  <si>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</si>
  <si>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</si>
  <si>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</si>
  <si>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</si>
  <si>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</si>
  <si>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</si>
  <si>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</si>
  <si>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</si>
  <si>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</si>
  <si>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</si>
  <si>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</si>
  <si>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</si>
  <si>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</si>
  <si>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</si>
  <si>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</si>
  <si>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</si>
  <si>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</si>
  <si>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</si>
  <si>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</si>
  <si>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</si>
  <si>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</si>
  <si>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</si>
  <si>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</si>
  <si>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</si>
  <si>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</si>
  <si>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</si>
  <si>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</si>
  <si>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</si>
  <si>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</si>
  <si>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</si>
  <si>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</si>
  <si>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</si>
  <si>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</si>
  <si>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</si>
  <si>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</si>
  <si>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</si>
  <si>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</si>
  <si>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</si>
  <si>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</si>
  <si>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</si>
  <si>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</si>
  <si>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</si>
  <si>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</si>
  <si>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</si>
  <si>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</si>
  <si>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</si>
  <si>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</si>
  <si>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</si>
  <si>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</si>
  <si>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</si>
  <si>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</si>
  <si>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</si>
  <si>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</si>
  <si>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</si>
  <si>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</si>
  <si>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</si>
  <si>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</si>
  <si>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</si>
  <si>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</si>
  <si>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</si>
  <si>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</si>
  <si>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</si>
  <si>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</si>
  <si>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</si>
  <si>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</si>
  <si>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</si>
  <si>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</si>
  <si>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</si>
  <si>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</si>
  <si>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</si>
  <si>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</si>
  <si>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</si>
  <si>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</si>
  <si>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</si>
  <si>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</si>
  <si>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</si>
  <si>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</si>
  <si>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</si>
  <si>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</si>
  <si>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</si>
  <si>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</si>
  <si>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</si>
  <si>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</si>
  <si>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</si>
  <si>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</si>
  <si>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</si>
  <si>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</si>
  <si>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</si>
  <si>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</si>
  <si>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</si>
  <si>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</si>
  <si>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</si>
  <si>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</si>
  <si>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</si>
  <si>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</si>
  <si>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</si>
  <si>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</si>
  <si>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</si>
  <si>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</si>
  <si>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</si>
  <si>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</si>
  <si>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</si>
  <si>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</si>
  <si>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</si>
  <si>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</si>
  <si>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</si>
  <si>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</si>
  <si>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</si>
  <si>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</si>
  <si>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</si>
  <si>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</si>
  <si>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</si>
  <si>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</si>
  <si>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</si>
  <si>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</si>
  <si>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</si>
  <si>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</si>
  <si>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</si>
  <si>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</si>
  <si>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</si>
  <si>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</si>
  <si>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</si>
  <si>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</si>
  <si>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</si>
  <si>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</si>
  <si>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</si>
  <si>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</si>
  <si>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</si>
  <si>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</si>
  <si>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</si>
  <si>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</si>
  <si>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</si>
  <si>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</si>
  <si>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</si>
  <si>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</si>
  <si>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</si>
  <si>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</si>
  <si>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</si>
  <si>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</si>
  <si>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</si>
  <si>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</si>
  <si>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</si>
  <si>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</si>
  <si>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</si>
  <si>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</si>
  <si>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</si>
  <si>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</si>
  <si>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</si>
  <si>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</si>
  <si>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</si>
  <si>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</si>
  <si>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</si>
  <si>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</si>
  <si>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</si>
  <si>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</si>
  <si>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</si>
  <si>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</si>
  <si>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</si>
  <si>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</si>
  <si>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</si>
  <si>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</si>
  <si>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</si>
  <si>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</si>
  <si>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</si>
  <si>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</si>
  <si>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</si>
  <si>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</si>
  <si>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</si>
  <si>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</si>
  <si>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</si>
  <si>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</si>
  <si>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</si>
  <si>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</si>
  <si>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</si>
  <si>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</si>
  <si>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</si>
  <si>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</si>
  <si>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</si>
  <si>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</si>
  <si>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</si>
  <si>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</si>
  <si>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</si>
  <si>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</si>
  <si>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</si>
  <si>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</si>
  <si>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</si>
  <si>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</si>
  <si>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</si>
  <si>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</si>
  <si>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</si>
  <si>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</si>
  <si>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</si>
  <si>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</si>
  <si>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</si>
  <si>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</si>
  <si>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</si>
  <si>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</si>
  <si>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</si>
  <si>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</si>
  <si>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</si>
  <si>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</si>
  <si>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</si>
  <si>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</si>
  <si>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</si>
  <si>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</si>
  <si>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</si>
  <si>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</si>
  <si>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</si>
  <si>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</si>
  <si>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</si>
  <si>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</si>
  <si>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</si>
  <si>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</si>
  <si>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</si>
  <si>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</si>
  <si>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</si>
  <si>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</si>
  <si>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</si>
  <si>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</si>
  <si>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</si>
  <si>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</si>
  <si>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</si>
  <si>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</si>
  <si>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</si>
  <si>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</si>
  <si>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</si>
  <si>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</si>
  <si>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</si>
  <si>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</si>
  <si>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</si>
  <si>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</si>
  <si>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</si>
  <si>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</si>
  <si>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</si>
  <si>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</si>
  <si>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</si>
  <si>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</si>
  <si>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</si>
  <si>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</si>
  <si>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</si>
  <si>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</si>
  <si>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</si>
  <si>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</si>
  <si>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</si>
  <si>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</si>
  <si>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</si>
  <si>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</si>
  <si>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</si>
  <si>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</si>
  <si>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</si>
  <si>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</si>
  <si>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</si>
  <si>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</si>
  <si>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</si>
  <si>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</si>
  <si>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</si>
  <si>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</si>
  <si>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</si>
  <si>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</si>
  <si>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</si>
  <si>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</si>
  <si>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</si>
  <si>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</si>
  <si>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</si>
  <si>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</si>
  <si>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</si>
  <si>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</si>
  <si>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</si>
  <si>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</si>
  <si>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</si>
  <si>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</si>
  <si>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</si>
  <si>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</si>
  <si>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</si>
  <si>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</si>
  <si>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</si>
  <si>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</si>
  <si>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</si>
  <si>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</si>
  <si>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</si>
  <si>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</si>
  <si>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</si>
  <si>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</si>
  <si>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</si>
  <si>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</si>
  <si>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</si>
  <si>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</si>
  <si>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</si>
  <si>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</si>
  <si>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</si>
  <si>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</si>
  <si>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</si>
  <si>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</si>
  <si>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</si>
  <si>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</si>
  <si>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</si>
  <si>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</si>
  <si>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</si>
  <si>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</si>
  <si>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</si>
  <si>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</si>
  <si>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</si>
  <si>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</si>
  <si>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</si>
  <si>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</si>
  <si>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</si>
  <si>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</si>
  <si>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</si>
  <si>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</si>
  <si>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</si>
  <si>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</si>
  <si>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</si>
  <si>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</si>
  <si>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</si>
  <si>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</si>
  <si>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</si>
  <si>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</si>
  <si>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</si>
  <si>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</si>
  <si>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</si>
  <si>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</si>
  <si>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</si>
  <si>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</si>
  <si>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</si>
  <si>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</si>
  <si>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</si>
  <si>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</si>
  <si>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</si>
  <si>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</si>
  <si>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</si>
  <si>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</si>
  <si>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</si>
  <si>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</si>
  <si>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</si>
  <si>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</si>
  <si>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</si>
  <si>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</si>
  <si>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</si>
  <si>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</si>
  <si>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</si>
  <si>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</si>
  <si>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</si>
  <si>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</si>
  <si>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</si>
  <si>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</si>
  <si>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</si>
  <si>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</si>
  <si>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</si>
  <si>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</si>
  <si>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</si>
  <si>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</si>
  <si>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</si>
  <si>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</si>
  <si>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</si>
  <si>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</si>
  <si>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</si>
  <si>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</si>
  <si>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</si>
  <si>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</si>
  <si>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</si>
  <si>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</si>
  <si>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</si>
  <si>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</si>
  <si>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</si>
  <si>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</si>
  <si>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</si>
  <si>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</si>
  <si>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</si>
  <si>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</si>
  <si>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</si>
  <si>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</si>
  <si>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</si>
  <si>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</si>
  <si>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</si>
  <si>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</si>
  <si>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</si>
  <si>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</si>
  <si>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</si>
  <si>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</si>
  <si>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</si>
  <si>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</si>
  <si>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</si>
  <si>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</si>
  <si>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</si>
  <si>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</si>
  <si>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</si>
  <si>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</si>
  <si>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</si>
  <si>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</si>
  <si>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</si>
  <si>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</si>
  <si>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</si>
  <si>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</si>
  <si>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</si>
  <si>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</si>
  <si>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</si>
  <si>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</si>
  <si>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</si>
  <si>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</si>
  <si>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</si>
  <si>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</si>
  <si>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</si>
  <si>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</si>
  <si>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</si>
  <si>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</si>
  <si>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</si>
  <si>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</si>
  <si>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</si>
  <si>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</si>
  <si>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</si>
  <si>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</si>
  <si>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</si>
  <si>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</si>
  <si>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</si>
  <si>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</si>
  <si>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</si>
  <si>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</si>
  <si>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</si>
  <si>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</si>
  <si>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</si>
  <si>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</si>
  <si>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</si>
  <si>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</si>
  <si>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</si>
  <si>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</si>
  <si>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</si>
  <si>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</si>
  <si>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</si>
  <si>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</si>
  <si>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</si>
  <si>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</si>
  <si>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</si>
  <si>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</si>
  <si>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</si>
  <si>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</si>
  <si>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</si>
  <si>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</si>
  <si>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</si>
  <si>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</si>
  <si>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</si>
  <si>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</si>
  <si>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</si>
  <si>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</si>
  <si>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</si>
  <si>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</si>
  <si>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</si>
  <si>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</si>
  <si>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</si>
  <si>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</si>
  <si>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</si>
  <si>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</si>
  <si>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</si>
  <si>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</si>
  <si>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</si>
  <si>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</si>
  <si>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</si>
  <si>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</si>
  <si>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</si>
  <si>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</si>
  <si>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</si>
  <si>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</si>
  <si>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</si>
  <si>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</si>
  <si>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</si>
  <si>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</si>
  <si>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</si>
  <si>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</si>
  <si>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</si>
  <si>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</si>
  <si>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</si>
  <si>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</si>
  <si>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</si>
  <si>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</si>
  <si>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</si>
  <si>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</si>
  <si>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</si>
  <si>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</si>
  <si>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</si>
  <si>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</si>
  <si>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</si>
  <si>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</si>
  <si>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</si>
  <si>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</si>
  <si>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</si>
  <si>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</si>
  <si>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</si>
  <si>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</si>
  <si>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</si>
  <si>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</si>
  <si>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</si>
  <si>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</si>
  <si>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</si>
  <si>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</si>
  <si>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</si>
  <si>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</si>
  <si>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</si>
  <si>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</si>
  <si>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</si>
  <si>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</si>
  <si>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</si>
  <si>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</si>
  <si>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</si>
  <si>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</si>
  <si>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</si>
  <si>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</si>
  <si>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</si>
  <si>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</si>
  <si>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</si>
  <si>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</si>
  <si>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</si>
  <si>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</si>
  <si>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</si>
  <si>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</si>
  <si>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</si>
  <si>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</si>
  <si>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</si>
  <si>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</si>
  <si>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</si>
  <si>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</si>
  <si>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</si>
  <si>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</si>
  <si>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</si>
  <si>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</si>
  <si>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</si>
  <si>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</si>
  <si>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</si>
  <si>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</si>
  <si>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</si>
  <si>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</si>
  <si>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</si>
  <si>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</si>
  <si>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</si>
  <si>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</si>
  <si>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</si>
  <si>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</si>
  <si>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</si>
  <si>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</si>
  <si>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</si>
  <si>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</si>
  <si>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</si>
  <si>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</si>
  <si>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</si>
  <si>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</si>
  <si>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</si>
  <si>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</si>
  <si>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</si>
  <si>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</si>
  <si>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</si>
  <si>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</si>
  <si>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</si>
  <si>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</si>
  <si>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</si>
  <si>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</si>
  <si>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</si>
  <si>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</si>
  <si>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</si>
  <si>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</si>
  <si>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</si>
  <si>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</si>
  <si>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</si>
  <si>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</si>
  <si>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</si>
  <si>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</si>
  <si>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</si>
  <si>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</si>
  <si>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</si>
  <si>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</si>
  <si>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</si>
  <si>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</si>
  <si>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</si>
  <si>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</si>
  <si>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</si>
  <si>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</si>
  <si>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</si>
  <si>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</si>
  <si>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</si>
  <si>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</si>
  <si>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</si>
  <si>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</si>
  <si>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</si>
  <si>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</si>
  <si>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</si>
  <si>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</si>
  <si>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</si>
  <si>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</si>
  <si>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</si>
  <si>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</si>
  <si>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</si>
  <si>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</si>
  <si>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</si>
  <si>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</si>
  <si>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</si>
  <si>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</si>
  <si>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</si>
  <si>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</si>
  <si>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</si>
  <si>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</si>
  <si>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</si>
  <si>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</si>
  <si>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</si>
  <si>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</si>
  <si>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</si>
  <si>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</si>
  <si>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</si>
  <si>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</si>
  <si>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</si>
  <si>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</si>
  <si>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</si>
  <si>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</si>
  <si>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</si>
  <si>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</si>
  <si>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</si>
  <si>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</si>
  <si>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</si>
  <si>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</si>
  <si>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</si>
  <si>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</si>
  <si>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</si>
  <si>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</si>
  <si>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</si>
  <si>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</si>
  <si>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</si>
  <si>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</si>
  <si>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</si>
  <si>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</si>
  <si>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</si>
  <si>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</si>
  <si>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</si>
  <si>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</si>
  <si>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</si>
  <si>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</si>
  <si>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</si>
  <si>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</si>
  <si>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</si>
  <si>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</si>
  <si>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</si>
  <si>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</si>
  <si>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</si>
  <si>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</si>
  <si>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</si>
  <si>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</si>
  <si>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</si>
  <si>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</si>
  <si>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</si>
  <si>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</si>
  <si>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</si>
  <si>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</si>
  <si>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</si>
  <si>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</si>
  <si>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</si>
  <si>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</si>
  <si>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</si>
  <si>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</si>
  <si>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</si>
  <si>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</si>
  <si>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</si>
  <si>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</si>
  <si>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</si>
  <si>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</si>
  <si>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</si>
  <si>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</si>
  <si>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</si>
  <si>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</si>
  <si>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</si>
  <si>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</si>
  <si>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</si>
  <si>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</si>
  <si>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</si>
  <si>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</si>
  <si>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</si>
  <si>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</si>
  <si>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</si>
  <si>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</si>
  <si>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</si>
  <si>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</si>
  <si>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</si>
  <si>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</si>
  <si>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</si>
  <si>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</si>
  <si>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</si>
  <si>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</si>
  <si>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</si>
  <si>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</si>
  <si>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</si>
  <si>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</si>
  <si>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</si>
  <si>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</si>
  <si>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</si>
  <si>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</si>
  <si>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</si>
  <si>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</si>
  <si>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</si>
  <si>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</si>
  <si>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</si>
  <si>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</si>
  <si>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</si>
  <si>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</si>
  <si>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</si>
  <si>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</si>
  <si>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</si>
  <si>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</si>
  <si>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</si>
  <si>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</si>
  <si>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</si>
  <si>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</si>
  <si>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</si>
  <si>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</si>
  <si>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</si>
  <si>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</si>
  <si>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</si>
  <si>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</si>
  <si>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</si>
  <si>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</si>
  <si>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</si>
  <si>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</si>
  <si>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</si>
  <si>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</si>
  <si>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</si>
  <si>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</si>
  <si>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</si>
  <si>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</si>
  <si>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</si>
  <si>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</si>
  <si>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</si>
  <si>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</si>
  <si>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</si>
  <si>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</si>
  <si>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</si>
  <si>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</si>
  <si>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</si>
  <si>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</si>
  <si>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</si>
  <si>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</si>
  <si>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</si>
  <si>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</si>
  <si>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</si>
  <si>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</si>
  <si>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</si>
  <si>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</si>
  <si>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</si>
  <si>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</si>
  <si>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</si>
  <si>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</si>
  <si>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</si>
  <si>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</si>
  <si>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</si>
  <si>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</si>
  <si>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</si>
  <si>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</si>
  <si>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</si>
  <si>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</si>
  <si>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</si>
  <si>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</si>
  <si>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</si>
  <si>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</si>
  <si>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</si>
  <si>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</si>
  <si>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</si>
  <si>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</si>
  <si>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</si>
  <si>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</si>
  <si>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</si>
  <si>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</si>
  <si>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</si>
  <si>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</si>
  <si>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</si>
  <si>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</si>
  <si>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</si>
  <si>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</si>
  <si>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</si>
  <si>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</si>
  <si>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</si>
  <si>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</si>
  <si>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</si>
  <si>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</si>
  <si>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</si>
  <si>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</si>
  <si>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</si>
  <si>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</si>
  <si>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</si>
  <si>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</si>
  <si>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</si>
  <si>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</si>
  <si>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</si>
  <si>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</si>
  <si>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</si>
  <si>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</si>
  <si>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</si>
  <si>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</si>
  <si>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</si>
  <si>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</si>
  <si>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</si>
  <si>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</si>
  <si>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</si>
  <si>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</si>
  <si>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</si>
  <si>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</si>
  <si>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</si>
  <si>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</si>
  <si>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</si>
  <si>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</si>
  <si>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</si>
  <si>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</si>
  <si>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</si>
  <si>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</si>
  <si>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</si>
  <si>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</si>
  <si>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</si>
  <si>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</si>
  <si>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</si>
  <si>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</si>
  <si>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</si>
  <si>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</si>
  <si>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</si>
  <si>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</si>
  <si>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</si>
  <si>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</si>
  <si>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</si>
  <si>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</si>
  <si>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</si>
  <si>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</si>
  <si>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</si>
  <si>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</si>
  <si>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</si>
  <si>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</si>
  <si>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</si>
  <si>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</si>
  <si>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</si>
  <si>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</si>
  <si>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</si>
  <si>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</si>
  <si>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</si>
  <si>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</si>
  <si>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</si>
  <si>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</si>
  <si>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</si>
  <si>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</si>
  <si>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</si>
  <si>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</si>
  <si>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</si>
  <si>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</si>
  <si>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</si>
  <si>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</si>
  <si>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</si>
  <si>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</si>
  <si>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</si>
  <si>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</si>
  <si>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</si>
  <si>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</si>
  <si>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</si>
  <si>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</si>
  <si>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</si>
  <si>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</si>
  <si>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</si>
  <si>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</si>
  <si>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</si>
  <si>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</si>
  <si>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</si>
  <si>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</si>
  <si>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</si>
  <si>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</si>
  <si>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</si>
  <si>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</si>
  <si>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</si>
  <si>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</si>
  <si>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</si>
  <si>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</si>
  <si>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</si>
  <si>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</si>
  <si>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</si>
  <si>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</si>
  <si>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</si>
  <si>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</si>
  <si>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</si>
  <si>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</si>
  <si>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</si>
  <si>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</si>
  <si>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</si>
  <si>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</si>
  <si>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</si>
  <si>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</si>
  <si>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</si>
  <si>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</si>
  <si>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</si>
  <si>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</si>
  <si>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</si>
  <si>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</si>
  <si>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</si>
  <si>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</si>
  <si>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</si>
  <si>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</si>
  <si>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</si>
  <si>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</si>
  <si>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</si>
  <si>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</si>
  <si>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</si>
  <si>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</si>
  <si>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</si>
  <si>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</si>
  <si>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</si>
  <si>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</si>
  <si>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</si>
  <si>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</si>
  <si>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</si>
  <si>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</si>
  <si>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</si>
  <si>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</si>
  <si>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</si>
  <si>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</si>
  <si>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</si>
  <si>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</si>
  <si>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</si>
  <si>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</si>
  <si>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</si>
  <si>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</si>
  <si>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</si>
  <si>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</si>
  <si>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</si>
  <si>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</si>
  <si>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</si>
  <si>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</si>
  <si>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</si>
  <si>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</si>
  <si>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</si>
  <si>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</si>
  <si>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</si>
  <si>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</si>
  <si>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</si>
  <si>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</si>
  <si>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</si>
  <si>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</si>
  <si>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</si>
  <si>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</si>
  <si>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</si>
  <si>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</si>
  <si>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</si>
  <si>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</si>
  <si>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</si>
  <si>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</si>
  <si>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</si>
  <si>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</si>
  <si>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</si>
  <si>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</si>
  <si>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</si>
  <si>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</si>
  <si>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</si>
  <si>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</si>
  <si>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</si>
  <si>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</si>
  <si>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</si>
  <si>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</si>
  <si>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</si>
  <si>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</si>
  <si>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</si>
  <si>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</si>
  <si>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</si>
  <si>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</si>
  <si>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</si>
  <si>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</si>
  <si>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</si>
  <si>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</si>
  <si>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</si>
  <si>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</si>
  <si>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</si>
  <si>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</si>
  <si>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</si>
  <si>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</si>
  <si>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</si>
  <si>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</si>
  <si>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</si>
  <si>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</si>
  <si>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</si>
  <si>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</si>
  <si>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</si>
  <si>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</si>
  <si>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</si>
  <si>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</si>
  <si>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</si>
  <si>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</si>
  <si>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</si>
  <si>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</si>
  <si>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</si>
  <si>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</si>
  <si>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</si>
  <si>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</si>
  <si>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</si>
  <si>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</si>
  <si>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</si>
  <si>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</si>
  <si>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</si>
  <si>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</si>
  <si>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</si>
  <si>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</si>
  <si>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</si>
  <si>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</si>
  <si>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</si>
  <si>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</si>
  <si>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</si>
  <si>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</si>
  <si>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</si>
  <si>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</si>
  <si>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</si>
  <si>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</si>
  <si>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</si>
  <si>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</si>
  <si>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</si>
  <si>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</si>
  <si>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</si>
  <si>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</si>
  <si>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</si>
  <si>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</si>
  <si>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</si>
  <si>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</si>
  <si>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</si>
  <si>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</si>
  <si>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</si>
  <si>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</si>
  <si>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</si>
  <si>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</si>
  <si>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</si>
  <si>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</si>
  <si>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</si>
  <si>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</si>
  <si>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</si>
  <si>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</si>
  <si>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</si>
  <si>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</si>
  <si>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</si>
  <si>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</si>
  <si>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</si>
  <si>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</si>
  <si>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</si>
  <si>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</si>
  <si>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</si>
  <si>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</si>
  <si>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</si>
  <si>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</si>
  <si>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</si>
  <si>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</si>
  <si>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</si>
  <si>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</si>
  <si>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</si>
  <si>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</si>
  <si>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</si>
  <si>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</si>
  <si>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</si>
  <si>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</si>
  <si>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</si>
  <si>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</si>
  <si>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</si>
  <si>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</si>
  <si>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</si>
  <si>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</si>
  <si>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</si>
  <si>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</si>
  <si>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</si>
  <si>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</si>
  <si>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</si>
  <si>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</si>
  <si>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</si>
  <si>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</si>
  <si>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</si>
  <si>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</si>
  <si>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</si>
  <si>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</si>
  <si>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</si>
  <si>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</si>
  <si>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</si>
  <si>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</si>
  <si>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</si>
  <si>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</si>
  <si>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</si>
  <si>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</si>
  <si>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</si>
  <si>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</si>
  <si>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</si>
  <si>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</si>
  <si>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</si>
  <si>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</si>
  <si>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</si>
  <si>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</si>
  <si>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</si>
  <si>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</si>
  <si>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</si>
  <si>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</si>
  <si>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</si>
  <si>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</si>
  <si>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</si>
  <si>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</si>
  <si>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</si>
  <si>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</si>
  <si>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</si>
  <si>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</si>
  <si>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</si>
  <si>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</si>
  <si>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</si>
  <si>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</si>
  <si>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</si>
  <si>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</si>
  <si>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</si>
  <si>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</si>
  <si>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</si>
  <si>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</si>
  <si>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</si>
  <si>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</si>
  <si>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</si>
  <si>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</si>
  <si>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</si>
  <si>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</si>
  <si>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</si>
  <si>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</si>
  <si>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</si>
  <si>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</si>
  <si>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</si>
  <si>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</si>
  <si>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</si>
  <si>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</si>
  <si>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</si>
  <si>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</si>
  <si>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</si>
  <si>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</si>
  <si>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</si>
  <si>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</si>
  <si>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</si>
  <si>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</si>
  <si>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</si>
  <si>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</si>
  <si>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</si>
  <si>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</si>
  <si>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</si>
  <si>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</si>
  <si>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</si>
  <si>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</si>
  <si>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</si>
  <si>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</si>
  <si>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</si>
  <si>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</si>
  <si>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</si>
  <si>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</si>
  <si>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</si>
  <si>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</si>
  <si>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</si>
  <si>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</si>
  <si>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</si>
  <si>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</si>
  <si>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</si>
  <si>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</si>
  <si>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</si>
  <si>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</si>
  <si>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</si>
  <si>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</si>
  <si>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</si>
  <si>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</si>
  <si>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</si>
  <si>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</si>
  <si>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</si>
  <si>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</si>
  <si>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</si>
  <si>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</si>
  <si>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</si>
  <si>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</si>
  <si>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</si>
  <si>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</si>
  <si>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</si>
  <si>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</si>
  <si>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</si>
  <si>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</si>
  <si>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</si>
  <si>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</si>
  <si>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</si>
  <si>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</si>
  <si>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</si>
  <si>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</si>
  <si>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</si>
  <si>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</si>
  <si>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</si>
  <si>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</si>
  <si>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</si>
  <si>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</si>
  <si>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</si>
  <si>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</si>
  <si>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</si>
  <si>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</si>
  <si>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</si>
  <si>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</si>
  <si>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</si>
  <si>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</si>
  <si>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</si>
  <si>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</si>
  <si>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</si>
  <si>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</si>
  <si>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</si>
  <si>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</si>
  <si>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</si>
  <si>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</si>
  <si>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</si>
  <si>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</si>
  <si>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</si>
  <si>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</si>
  <si>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</si>
  <si>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</si>
  <si>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</si>
  <si>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</si>
  <si>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</si>
  <si>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</si>
  <si>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</si>
  <si>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</si>
  <si>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</si>
  <si>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</si>
  <si>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</si>
  <si>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</si>
  <si>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</si>
  <si>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</si>
  <si>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</si>
  <si>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</si>
  <si>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</si>
  <si>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</si>
  <si>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</si>
  <si>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</si>
  <si>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</si>
  <si>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</si>
  <si>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</si>
  <si>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</si>
  <si>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</si>
  <si>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</si>
  <si>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</si>
  <si>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</si>
  <si>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</si>
  <si>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</si>
  <si>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</si>
  <si>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</si>
  <si>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</si>
  <si>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</si>
  <si>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</si>
  <si>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</si>
  <si>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</si>
  <si>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</si>
  <si>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</si>
  <si>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</si>
  <si>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</si>
  <si>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</si>
  <si>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</si>
  <si>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</si>
  <si>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</si>
  <si>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</si>
  <si>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</si>
  <si>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</si>
  <si>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</si>
  <si>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</si>
  <si>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</si>
  <si>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</si>
  <si>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</si>
  <si>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</si>
  <si>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</si>
  <si>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</si>
  <si>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</si>
  <si>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</si>
  <si>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</si>
  <si>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</si>
  <si>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</si>
  <si>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</si>
  <si>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</si>
  <si>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</si>
  <si>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</si>
  <si>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</si>
  <si>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</si>
  <si>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</si>
  <si>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</si>
  <si>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</si>
  <si>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</si>
  <si>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</si>
  <si>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</si>
  <si>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</si>
  <si>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</si>
  <si>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</si>
  <si>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</si>
  <si>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</si>
  <si>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</si>
  <si>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</si>
  <si>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</si>
  <si>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</si>
  <si>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</si>
  <si>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</si>
  <si>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</si>
  <si>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</si>
  <si>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</si>
  <si>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</si>
  <si>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</si>
  <si>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</si>
  <si>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</si>
  <si>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</si>
  <si>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</si>
  <si>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</si>
  <si>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</si>
  <si>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</si>
  <si>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</si>
  <si>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</si>
  <si>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</si>
  <si>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</si>
  <si>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</si>
  <si>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</si>
  <si>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</si>
  <si>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</si>
  <si>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</si>
  <si>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</si>
  <si>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</si>
  <si>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</si>
  <si>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</si>
  <si>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</si>
  <si>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</si>
  <si>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</si>
  <si>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</si>
  <si>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</si>
  <si>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</si>
  <si>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</si>
  <si>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</si>
  <si>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</si>
  <si>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</si>
  <si>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</si>
  <si>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</si>
  <si>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</si>
  <si>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</si>
  <si>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</si>
  <si>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</si>
  <si>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</si>
  <si>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</si>
  <si>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</si>
  <si>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</si>
  <si>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</si>
  <si>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</si>
  <si>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</si>
  <si>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</si>
  <si>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</si>
  <si>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</si>
  <si>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</si>
  <si>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</si>
  <si>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</si>
  <si>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</si>
  <si>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</si>
  <si>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</si>
  <si>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</si>
  <si>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</si>
  <si>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</si>
  <si>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</si>
  <si>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</si>
  <si>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</si>
  <si>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</si>
  <si>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</si>
  <si>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</si>
  <si>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</si>
  <si>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</si>
  <si>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</si>
  <si>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</si>
  <si>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</si>
  <si>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</si>
  <si>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</si>
  <si>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</si>
  <si>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</si>
  <si>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</si>
  <si>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</si>
  <si>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</si>
  <si>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</si>
  <si>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</si>
  <si>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</si>
  <si>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</si>
  <si>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</si>
  <si>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</si>
  <si>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</si>
  <si>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</si>
  <si>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</si>
  <si>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</si>
  <si>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</si>
  <si>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</si>
  <si>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</si>
  <si>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</si>
  <si>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</si>
  <si>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</si>
  <si>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</si>
  <si>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</si>
  <si>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</si>
  <si>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</si>
  <si>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</si>
  <si>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</si>
  <si>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</si>
  <si>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</si>
  <si>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</si>
  <si>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</si>
  <si>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</si>
  <si>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</si>
  <si>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</si>
  <si>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</si>
  <si>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</si>
  <si>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</si>
  <si>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</si>
  <si>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</si>
  <si>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</si>
  <si>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</si>
  <si>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</si>
  <si>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</si>
  <si>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</si>
  <si>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</si>
  <si>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</si>
  <si>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</si>
  <si>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</si>
  <si>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</si>
  <si>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</si>
  <si>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</si>
  <si>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</si>
  <si>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</si>
  <si>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</si>
  <si>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</si>
  <si>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</si>
  <si>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</si>
  <si>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</si>
  <si>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</si>
  <si>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</si>
  <si>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</si>
  <si>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</si>
  <si>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</si>
  <si>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</si>
  <si>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</si>
  <si>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</si>
  <si>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</si>
  <si>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</si>
  <si>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</si>
  <si>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</si>
  <si>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</si>
  <si>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</si>
  <si>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</si>
  <si>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</si>
  <si>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</si>
  <si>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</si>
  <si>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</si>
  <si>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</si>
  <si>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</si>
  <si>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</si>
  <si>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</si>
  <si>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</si>
  <si>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</si>
  <si>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</si>
  <si>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</si>
  <si>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</si>
  <si>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</si>
  <si>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</si>
  <si>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</si>
  <si>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</si>
  <si>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</si>
  <si>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</si>
  <si>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</si>
  <si>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</si>
  <si>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</si>
  <si>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</si>
  <si>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</si>
  <si>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</si>
  <si>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</si>
  <si>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</si>
  <si>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</si>
  <si>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</si>
  <si>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</si>
  <si>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</si>
  <si>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</si>
  <si>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</si>
  <si>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</si>
  <si>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</si>
  <si>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</si>
  <si>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</si>
  <si>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</si>
  <si>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</si>
  <si>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</si>
  <si>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</si>
  <si>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</si>
  <si>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</si>
  <si>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</si>
  <si>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</si>
  <si>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</si>
  <si>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</si>
  <si>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</si>
  <si>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</si>
  <si>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</si>
  <si>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</si>
  <si>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</si>
  <si>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</si>
  <si>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</si>
  <si>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</si>
  <si>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</si>
  <si>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</si>
  <si>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</si>
  <si>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</si>
  <si>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</si>
  <si>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</si>
  <si>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</si>
  <si>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</si>
  <si>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</si>
  <si>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</si>
  <si>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</si>
  <si>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</si>
  <si>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</si>
  <si>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</si>
  <si>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</si>
  <si>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</si>
  <si>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</si>
  <si>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</si>
  <si>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</si>
  <si>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</si>
  <si>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</si>
  <si>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</si>
  <si>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</si>
  <si>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</si>
  <si>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</si>
  <si>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</si>
  <si>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</si>
  <si>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</si>
  <si>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</si>
  <si>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</si>
  <si>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</si>
  <si>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</si>
  <si>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</si>
  <si>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</si>
  <si>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</si>
  <si>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</si>
  <si>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</si>
  <si>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</si>
  <si>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</si>
  <si>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</si>
  <si>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</si>
  <si>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</si>
  <si>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</si>
  <si>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</si>
  <si>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</si>
  <si>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</si>
  <si>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</si>
  <si>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</si>
  <si>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</si>
  <si>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</si>
  <si>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</si>
  <si>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</si>
  <si>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</si>
  <si>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</si>
  <si>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</si>
  <si>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</si>
  <si>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</si>
  <si>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</si>
  <si>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</si>
  <si>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</si>
  <si>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</si>
  <si>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</si>
  <si>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</si>
  <si>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</si>
  <si>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</si>
  <si>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</si>
  <si>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</si>
  <si>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</si>
  <si>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</si>
  <si>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</si>
  <si>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</si>
  <si>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</si>
  <si>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</si>
  <si>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</si>
  <si>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</si>
  <si>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</si>
  <si>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</si>
  <si>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</si>
  <si>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</si>
  <si>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</si>
  <si>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</si>
  <si>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</si>
  <si>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</si>
  <si>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</si>
  <si>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</si>
  <si>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</si>
  <si>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</si>
  <si>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</si>
  <si>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</si>
  <si>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</si>
  <si>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</si>
  <si>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</si>
  <si>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</si>
  <si>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</si>
  <si>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</si>
  <si>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</si>
  <si>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</si>
  <si>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</si>
  <si>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</si>
  <si>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</si>
  <si>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</si>
  <si>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</si>
  <si>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</si>
  <si>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</si>
  <si>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</si>
  <si>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</si>
  <si>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</si>
  <si>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</si>
  <si>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</si>
  <si>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</si>
  <si>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</si>
  <si>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</si>
  <si>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</si>
  <si>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</si>
  <si>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</si>
  <si>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</si>
  <si>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</si>
  <si>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</si>
  <si>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</si>
  <si>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</si>
  <si>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</si>
  <si>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</si>
  <si>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</si>
  <si>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</si>
  <si>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</si>
  <si>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</si>
  <si>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</si>
  <si>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</si>
  <si>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</si>
  <si>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</si>
  <si>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</si>
  <si>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</si>
  <si>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</si>
  <si>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</si>
  <si>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</si>
  <si>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</si>
  <si>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</si>
  <si>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</si>
  <si>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</si>
  <si>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</si>
  <si>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</si>
  <si>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</si>
  <si>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</si>
  <si>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</si>
  <si>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</si>
  <si>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</si>
  <si>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</si>
  <si>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</si>
  <si>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</si>
  <si>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</si>
  <si>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</si>
  <si>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</si>
  <si>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</si>
  <si>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</si>
  <si>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</si>
  <si>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</si>
  <si>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</si>
  <si>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</si>
  <si>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</si>
  <si>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</si>
  <si>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</si>
  <si>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</si>
  <si>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</si>
  <si>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</si>
  <si>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</si>
  <si>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</si>
  <si>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</si>
  <si>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</si>
  <si>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</si>
  <si>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</si>
  <si>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</si>
  <si>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</si>
  <si>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</si>
  <si>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</si>
  <si>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</si>
  <si>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</si>
  <si>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</si>
  <si>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</si>
  <si>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</si>
  <si>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</si>
  <si>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</si>
  <si>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</si>
  <si>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</si>
  <si>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</si>
  <si>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</si>
  <si>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</si>
  <si>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</si>
  <si>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</si>
  <si>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</si>
  <si>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</si>
  <si>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</si>
  <si>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</si>
  <si>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</si>
  <si>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</si>
  <si>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</si>
  <si>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</si>
  <si>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</si>
  <si>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</si>
  <si>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</si>
  <si>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</si>
  <si>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</si>
  <si>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</si>
  <si>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</si>
  <si>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</si>
  <si>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</si>
  <si>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</si>
  <si>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</si>
  <si>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</si>
  <si>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</si>
  <si>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</si>
  <si>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</si>
  <si>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</si>
  <si>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</si>
  <si>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</si>
  <si>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</si>
  <si>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</si>
  <si>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</si>
  <si>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</si>
  <si>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</si>
  <si>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</si>
  <si>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</si>
  <si>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</si>
  <si>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</si>
  <si>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</si>
  <si>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</si>
  <si>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</si>
  <si>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</si>
  <si>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</si>
  <si>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</si>
  <si>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</si>
  <si>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</si>
  <si>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</si>
  <si>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</si>
  <si>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</si>
  <si>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</si>
  <si>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</si>
  <si>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</si>
  <si>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</si>
  <si>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</si>
  <si>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</si>
  <si>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</si>
  <si>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</si>
  <si>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</si>
  <si>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</si>
  <si>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</si>
  <si>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</si>
  <si>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</si>
  <si>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</si>
  <si>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</si>
  <si>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</si>
  <si>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</si>
  <si>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</si>
  <si>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</si>
  <si>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</si>
  <si>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</si>
  <si>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</si>
  <si>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</si>
  <si>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</si>
  <si>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</si>
  <si>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</si>
  <si>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</si>
  <si>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</si>
  <si>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</si>
  <si>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</si>
  <si>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</si>
  <si>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</si>
  <si>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</si>
  <si>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</si>
  <si>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</si>
  <si>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</si>
  <si>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</si>
  <si>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</si>
  <si>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</si>
  <si>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</si>
  <si>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</si>
  <si>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</si>
  <si>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</si>
  <si>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</si>
  <si>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</si>
  <si>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</si>
  <si>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</si>
  <si>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</si>
  <si>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</si>
  <si>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</si>
  <si>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</si>
  <si>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</si>
  <si>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</si>
  <si>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</si>
  <si>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</si>
  <si>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</si>
  <si>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</si>
  <si>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</si>
  <si>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</si>
  <si>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</si>
  <si>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</si>
  <si>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</si>
  <si>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</si>
  <si>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</si>
  <si>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</si>
  <si>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</si>
  <si>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</si>
  <si>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</si>
  <si>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</si>
  <si>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</si>
  <si>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</si>
  <si>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</si>
  <si>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</si>
  <si>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</si>
  <si>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</si>
  <si>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</si>
  <si>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</si>
  <si>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</si>
  <si>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</si>
  <si>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</si>
  <si>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</si>
  <si>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</si>
  <si>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</si>
  <si>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</si>
  <si>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</si>
  <si>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</si>
  <si>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</si>
  <si>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</si>
  <si>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</si>
  <si>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</si>
  <si>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</si>
  <si>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</si>
  <si>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</si>
  <si>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</si>
  <si>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</si>
  <si>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</si>
  <si>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</si>
  <si>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</si>
  <si>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</si>
  <si>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</si>
  <si>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</si>
  <si>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</si>
  <si>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</si>
  <si>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</si>
  <si>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</si>
  <si>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</si>
  <si>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</si>
  <si>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</si>
  <si>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</si>
  <si>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</si>
  <si>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</si>
  <si>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</si>
  <si>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</si>
  <si>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</si>
  <si>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</si>
  <si>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</si>
  <si>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</si>
  <si>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</si>
  <si>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</si>
  <si>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</si>
  <si>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</si>
  <si>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</si>
  <si>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</si>
  <si>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</si>
  <si>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</si>
  <si>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</si>
  <si>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</si>
  <si>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</si>
  <si>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</si>
  <si>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</si>
  <si>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</si>
  <si>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</si>
  <si>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</si>
  <si>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</si>
  <si>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</si>
  <si>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</si>
  <si>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</si>
  <si>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</si>
  <si>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</si>
  <si>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</si>
  <si>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</si>
  <si>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</si>
  <si>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</si>
  <si>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</si>
  <si>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</si>
  <si>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</si>
  <si>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</si>
  <si>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</si>
  <si>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</si>
  <si>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</si>
  <si>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</si>
  <si>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</si>
  <si>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</si>
  <si>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</si>
  <si>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</si>
  <si>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</si>
  <si>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</si>
  <si>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</si>
  <si>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</si>
  <si>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</si>
  <si>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</si>
  <si>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</si>
  <si>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</si>
  <si>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</si>
  <si>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</si>
  <si>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</si>
  <si>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</si>
  <si>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</si>
  <si>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</si>
  <si>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</si>
  <si>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</si>
  <si>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</si>
  <si>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</si>
  <si>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</si>
  <si>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</si>
  <si>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</si>
  <si>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</si>
  <si>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</si>
  <si>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</si>
  <si>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</si>
  <si>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</si>
  <si>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</si>
  <si>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</si>
  <si>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</si>
  <si>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</si>
  <si>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</si>
  <si>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</si>
  <si>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</si>
  <si>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</si>
  <si>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</si>
  <si>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</si>
  <si>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</si>
  <si>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</si>
  <si>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</si>
  <si>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</si>
  <si>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</si>
  <si>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</si>
  <si>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</si>
  <si>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</si>
  <si>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</si>
  <si>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</si>
  <si>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</si>
  <si>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</si>
  <si>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</si>
  <si>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</si>
  <si>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</si>
  <si>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</si>
  <si>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</si>
  <si>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</si>
  <si>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</si>
  <si>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</si>
  <si>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</si>
  <si>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</si>
  <si>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</si>
  <si>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</si>
  <si>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</si>
  <si>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</si>
  <si>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</si>
  <si>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</si>
  <si>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</si>
  <si>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</si>
  <si>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</si>
  <si>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</si>
  <si>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</si>
  <si>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</si>
  <si>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</si>
  <si>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</si>
  <si>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</si>
  <si>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</si>
  <si>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</si>
  <si>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</si>
  <si>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</si>
  <si>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</si>
  <si>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</si>
  <si>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</si>
  <si>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</si>
  <si>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</si>
  <si>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</si>
  <si>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</si>
  <si>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</si>
  <si>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</si>
  <si>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</si>
  <si>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</si>
  <si>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</si>
  <si>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</si>
  <si>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</si>
  <si>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</si>
  <si>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</si>
  <si>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</si>
  <si>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</si>
  <si>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</si>
  <si>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</si>
  <si>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</si>
  <si>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</si>
  <si>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</si>
  <si>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</si>
  <si>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</si>
  <si>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</si>
  <si>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</si>
  <si>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</si>
  <si>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</si>
  <si>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</si>
  <si>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</si>
  <si>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</si>
  <si>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</si>
  <si>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</si>
  <si>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</si>
  <si>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</si>
  <si>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</si>
  <si>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</si>
  <si>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</si>
  <si>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</si>
  <si>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</si>
  <si>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</si>
  <si>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</si>
  <si>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</si>
  <si>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</si>
  <si>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</si>
  <si>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</si>
  <si>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</si>
  <si>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</si>
  <si>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</si>
  <si>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</si>
  <si>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</si>
  <si>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</si>
  <si>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</si>
  <si>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</si>
  <si>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</si>
  <si>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</si>
  <si>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</si>
  <si>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</si>
  <si>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</si>
  <si>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</si>
  <si>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</si>
  <si>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</si>
  <si>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</si>
  <si>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</si>
  <si>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</si>
  <si>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</si>
  <si>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</si>
  <si>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</si>
  <si>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</si>
  <si>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</si>
  <si>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</si>
  <si>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</si>
  <si>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</si>
  <si>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</si>
  <si>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</si>
  <si>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</si>
  <si>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</si>
  <si>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</si>
  <si>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</si>
  <si>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</si>
  <si>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</si>
  <si>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</si>
  <si>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</si>
  <si>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</si>
  <si>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</si>
  <si>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</si>
  <si>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</si>
  <si>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</si>
  <si>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</si>
  <si>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</si>
  <si>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</si>
  <si>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</si>
  <si>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</si>
  <si>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</si>
  <si>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</si>
  <si>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</si>
  <si>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</si>
  <si>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</si>
  <si>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</si>
  <si>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</si>
  <si>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</si>
  <si>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</si>
  <si>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</si>
  <si>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</si>
  <si>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</si>
  <si>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</si>
  <si>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</si>
  <si>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</si>
  <si>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</si>
  <si>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</si>
  <si>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</si>
  <si>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</si>
  <si>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</si>
  <si>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</si>
  <si>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</si>
  <si>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</si>
  <si>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</si>
  <si>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</si>
  <si>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</si>
  <si>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</si>
  <si>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</si>
  <si>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</si>
  <si>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</si>
  <si>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</si>
  <si>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</si>
  <si>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</si>
  <si>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</si>
  <si>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</si>
  <si>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</si>
  <si>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</si>
  <si>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</si>
  <si>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</si>
  <si>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</si>
  <si>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</si>
  <si>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</si>
  <si>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</si>
  <si>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</si>
  <si>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</si>
  <si>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</si>
  <si>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</si>
  <si>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</si>
  <si>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</si>
  <si>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</si>
  <si>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</si>
  <si>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</si>
  <si>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</si>
  <si>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</si>
  <si>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</si>
  <si>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</si>
  <si>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</si>
  <si>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</si>
  <si>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</si>
  <si>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</si>
  <si>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</si>
  <si>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</si>
  <si>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</si>
  <si>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</si>
  <si>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</si>
  <si>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</si>
  <si>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</si>
  <si>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</si>
  <si>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</si>
  <si>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</si>
  <si>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</si>
  <si>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</si>
  <si>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</si>
  <si>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</si>
  <si>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</si>
  <si>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</si>
  <si>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</si>
  <si>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</si>
  <si>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</si>
  <si>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</si>
  <si>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</si>
  <si>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</si>
  <si>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</si>
  <si>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</si>
  <si>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</si>
  <si>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</si>
  <si>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</si>
  <si>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</si>
  <si>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</si>
  <si>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</si>
  <si>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</si>
  <si>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</si>
  <si>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</si>
  <si>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</si>
  <si>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</si>
  <si>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</si>
  <si>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</si>
  <si>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</si>
  <si>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</si>
  <si>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</si>
  <si>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</si>
  <si>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</si>
  <si>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</si>
  <si>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</si>
  <si>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</si>
  <si>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</si>
  <si>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</si>
  <si>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</si>
  <si>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</si>
  <si>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</si>
  <si>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</si>
  <si>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</si>
  <si>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</si>
  <si>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</si>
  <si>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</si>
  <si>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</si>
  <si>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</si>
  <si>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</si>
  <si>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</si>
  <si>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</si>
  <si>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</si>
  <si>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</si>
  <si>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</si>
  <si>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</si>
  <si>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</si>
  <si>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</si>
  <si>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</si>
  <si>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</si>
  <si>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</si>
  <si>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</si>
  <si>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</si>
  <si>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</si>
  <si>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</si>
  <si>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</si>
  <si>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</si>
  <si>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</si>
  <si>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</si>
  <si>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</si>
  <si>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</si>
  <si>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</si>
  <si>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</si>
  <si>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</si>
  <si>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</si>
  <si>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</si>
  <si>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</si>
  <si>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</si>
  <si>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</si>
  <si>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</si>
  <si>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</si>
  <si>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</si>
  <si>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</si>
  <si>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</si>
  <si>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</si>
  <si>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</si>
  <si>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</si>
  <si>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</si>
  <si>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</si>
  <si>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</si>
  <si>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</si>
  <si>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</si>
  <si>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</si>
  <si>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</si>
  <si>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</si>
  <si>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</si>
  <si>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</si>
  <si>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</si>
  <si>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</si>
  <si>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</si>
  <si>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</si>
  <si>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</si>
  <si>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</si>
  <si>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</si>
  <si>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</si>
  <si>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</si>
  <si>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</si>
  <si>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</si>
  <si>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</si>
  <si>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</si>
  <si>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</si>
  <si>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</si>
  <si>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</si>
  <si>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</si>
  <si>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</si>
  <si>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</si>
  <si>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</si>
  <si>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</si>
  <si>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</si>
  <si>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</si>
  <si>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</si>
  <si>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</si>
  <si>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</si>
  <si>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</si>
  <si>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</si>
  <si>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</si>
  <si>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</si>
  <si>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</si>
  <si>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</si>
  <si>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</si>
  <si>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</si>
  <si>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</si>
  <si>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</si>
  <si>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</si>
  <si>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</si>
  <si>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</si>
  <si>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</si>
  <si>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</si>
  <si>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</si>
  <si>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</si>
  <si>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</si>
  <si>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</si>
  <si>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</si>
  <si>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</si>
  <si>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</si>
  <si>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</si>
  <si>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</si>
  <si>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</si>
  <si>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</si>
  <si>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</si>
  <si>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</si>
  <si>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</si>
  <si>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</si>
  <si>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</si>
  <si>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</si>
  <si>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</si>
  <si>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</si>
  <si>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</si>
  <si>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</si>
  <si>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</si>
  <si>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</si>
  <si>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</si>
  <si>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</si>
  <si>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</si>
  <si>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</si>
  <si>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</si>
  <si>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</si>
  <si>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</si>
  <si>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</si>
  <si>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</si>
  <si>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</si>
  <si>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</si>
  <si>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</si>
  <si>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</si>
  <si>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</si>
  <si>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</si>
  <si>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</si>
  <si>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</si>
  <si>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</si>
  <si>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</si>
  <si>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</si>
  <si>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</si>
  <si>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</si>
  <si>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</si>
  <si>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</si>
  <si>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</si>
  <si>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</si>
  <si>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</si>
  <si>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</si>
  <si>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</si>
  <si>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</si>
  <si>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</si>
  <si>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</si>
  <si>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</si>
  <si>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</si>
  <si>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</si>
  <si>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</si>
  <si>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</si>
  <si>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</si>
  <si>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</si>
  <si>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</si>
  <si>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</si>
  <si>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</si>
  <si>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</si>
  <si>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</si>
  <si>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</si>
  <si>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</si>
  <si>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</si>
  <si>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</si>
  <si>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</si>
  <si>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</si>
  <si>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</si>
  <si>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</si>
  <si>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</si>
  <si>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</si>
  <si>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</si>
  <si>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</si>
  <si>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</si>
  <si>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</si>
  <si>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</si>
  <si>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</si>
  <si>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</si>
  <si>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</si>
  <si>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</si>
  <si>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</si>
  <si>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</si>
  <si>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</si>
  <si>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</si>
  <si>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</si>
  <si>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</si>
  <si>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</si>
  <si>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</si>
  <si>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</si>
  <si>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</si>
  <si>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</si>
  <si>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</si>
  <si>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</si>
  <si>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</si>
  <si>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</si>
  <si>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</si>
  <si>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</si>
  <si>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</si>
  <si>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</si>
  <si>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</si>
  <si>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</si>
  <si>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</si>
  <si>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</si>
  <si>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</si>
  <si>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</si>
  <si>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</si>
  <si>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</si>
  <si>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</si>
  <si>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</si>
  <si>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</si>
  <si>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</si>
  <si>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</si>
  <si>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</si>
  <si>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</si>
  <si>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</si>
  <si>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</si>
  <si>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</si>
  <si>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</si>
  <si>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</si>
  <si>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</si>
  <si>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</si>
  <si>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</si>
  <si>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</si>
  <si>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</si>
  <si>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</si>
  <si>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</si>
  <si>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</si>
  <si>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</si>
  <si>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</si>
  <si>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</si>
  <si>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</si>
  <si>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</si>
  <si>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</si>
  <si>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</si>
  <si>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</si>
  <si>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</si>
  <si>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</si>
  <si>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</si>
  <si>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</si>
  <si>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</si>
  <si>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</si>
  <si>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</si>
  <si>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</si>
  <si>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</si>
  <si>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</si>
  <si>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</si>
  <si>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</si>
  <si>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</si>
  <si>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</si>
  <si>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</si>
  <si>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</si>
  <si>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</si>
  <si>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</si>
  <si>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</si>
  <si>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</si>
  <si>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</si>
  <si>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</si>
  <si>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</si>
  <si>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</si>
  <si>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</si>
  <si>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</si>
  <si>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</si>
  <si>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</si>
  <si>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</si>
  <si>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</si>
  <si>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</si>
  <si>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</si>
  <si>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</si>
  <si>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</si>
  <si>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</si>
  <si>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</si>
  <si>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</si>
  <si>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</si>
  <si>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</si>
  <si>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</si>
  <si>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</si>
  <si>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</si>
  <si>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</si>
  <si>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</si>
  <si>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</si>
  <si>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</si>
  <si>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</si>
  <si>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</si>
  <si>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</si>
  <si>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</si>
  <si>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</si>
  <si>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</si>
  <si>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</si>
  <si>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</si>
  <si>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</si>
  <si>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</si>
  <si>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</si>
  <si>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</si>
  <si>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</si>
  <si>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</si>
  <si>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</si>
  <si>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</si>
  <si>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</si>
  <si>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</si>
  <si>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</si>
  <si>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</si>
  <si>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</si>
  <si>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</si>
  <si>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</si>
  <si>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</si>
  <si>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</si>
  <si>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</si>
  <si>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</si>
  <si>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</si>
  <si>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</si>
  <si>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</si>
  <si>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</si>
  <si>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</si>
  <si>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</si>
  <si>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</si>
  <si>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</si>
  <si>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</si>
  <si>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</si>
  <si>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</si>
  <si>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</si>
  <si>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</si>
  <si>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</si>
  <si>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</si>
  <si>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</si>
  <si>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</si>
  <si>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</si>
  <si>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</si>
  <si>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</si>
  <si>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</si>
  <si>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</si>
  <si>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</si>
  <si>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</si>
  <si>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</si>
  <si>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</si>
  <si>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</si>
  <si>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</si>
  <si>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</si>
  <si>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</si>
  <si>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</si>
  <si>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</si>
  <si>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</si>
  <si>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</si>
  <si>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</si>
  <si>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</si>
  <si>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</si>
  <si>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</si>
  <si>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</si>
  <si>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</si>
  <si>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</si>
  <si>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</si>
  <si>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</si>
  <si>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</si>
  <si>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</si>
  <si>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</si>
  <si>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</si>
  <si>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</si>
  <si>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</si>
  <si>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</si>
  <si>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</si>
  <si>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</si>
  <si>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</si>
  <si>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</si>
  <si>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</si>
  <si>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</si>
  <si>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</si>
  <si>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</si>
  <si>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</si>
  <si>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</si>
  <si>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</si>
  <si>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</si>
  <si>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</si>
  <si>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</si>
  <si>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</si>
  <si>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</si>
  <si>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</si>
  <si>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</si>
  <si>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</si>
  <si>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</si>
  <si>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</si>
  <si>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</si>
  <si>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</si>
  <si>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</si>
  <si>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</si>
  <si>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</si>
  <si>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</si>
  <si>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</si>
  <si>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</si>
  <si>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</si>
  <si>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</si>
  <si>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</si>
  <si>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</si>
  <si>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</si>
  <si>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</si>
  <si>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</si>
  <si>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</si>
  <si>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</si>
  <si>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</si>
  <si>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</si>
  <si>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</si>
  <si>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</si>
  <si>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</si>
  <si>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</si>
  <si>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</si>
  <si>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</si>
  <si>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</si>
  <si>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</si>
  <si>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</si>
  <si>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</si>
  <si>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</si>
  <si>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</si>
  <si>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</si>
  <si>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</si>
  <si>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</si>
  <si>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</si>
  <si>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</si>
  <si>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</si>
  <si>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</si>
  <si>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</si>
  <si>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</si>
  <si>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</si>
  <si>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</si>
  <si>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</si>
  <si>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</si>
  <si>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</si>
  <si>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</si>
  <si>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</si>
  <si>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</si>
  <si>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</si>
  <si>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</si>
  <si>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</si>
  <si>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</si>
  <si>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</si>
  <si>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</si>
  <si>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</si>
  <si>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</si>
  <si>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</si>
  <si>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</si>
  <si>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</si>
  <si>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</si>
  <si>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</si>
  <si>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</si>
  <si>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</si>
  <si>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</si>
  <si>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</si>
  <si>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</si>
  <si>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</si>
  <si>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</si>
  <si>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</si>
  <si>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</si>
  <si>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</si>
  <si>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</si>
  <si>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</si>
  <si>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</si>
  <si>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</si>
  <si>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</si>
  <si>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</si>
  <si>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</si>
  <si>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</si>
  <si>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</si>
  <si>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</si>
  <si>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</si>
  <si>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</si>
  <si>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</si>
  <si>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</si>
  <si>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</si>
  <si>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</si>
  <si>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</si>
  <si>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</si>
  <si>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</si>
  <si>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</si>
  <si>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</si>
  <si>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</si>
  <si>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</si>
  <si>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</si>
  <si>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</si>
  <si>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</si>
  <si>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</si>
  <si>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</si>
  <si>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</si>
  <si>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</si>
  <si>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</si>
  <si>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</si>
  <si>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</si>
  <si>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</si>
  <si>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</si>
  <si>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</si>
  <si>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</si>
  <si>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</si>
  <si>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</si>
  <si>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</si>
  <si>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</si>
  <si>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</si>
  <si>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</si>
  <si>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</si>
  <si>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</si>
  <si>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</si>
  <si>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</si>
  <si>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</si>
  <si>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</si>
  <si>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</si>
  <si>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</si>
  <si>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</si>
  <si>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</si>
  <si>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</si>
  <si>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</si>
  <si>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</si>
  <si>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</si>
  <si>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</si>
  <si>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</si>
  <si>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</si>
  <si>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</si>
  <si>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</si>
  <si>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</si>
  <si>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</si>
  <si>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</si>
  <si>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</si>
  <si>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</si>
  <si>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</si>
  <si>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</si>
  <si>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</si>
  <si>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</si>
  <si>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</si>
  <si>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</si>
  <si>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</si>
  <si>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</si>
  <si>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</si>
  <si>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</si>
  <si>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</si>
  <si>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</si>
  <si>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</si>
  <si>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</si>
  <si>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</si>
  <si>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</si>
  <si>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</si>
  <si>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</si>
  <si>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</si>
  <si>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</si>
  <si>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</si>
  <si>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</si>
  <si>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</si>
  <si>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</si>
  <si>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</si>
  <si>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</si>
  <si>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</si>
  <si>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</si>
  <si>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</si>
  <si>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</si>
  <si>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</si>
  <si>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</si>
  <si>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</si>
  <si>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</si>
  <si>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</si>
  <si>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</si>
  <si>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</si>
  <si>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</si>
  <si>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</si>
  <si>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</si>
  <si>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</si>
  <si>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</si>
  <si>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</si>
  <si>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</si>
  <si>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</si>
  <si>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</si>
  <si>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</si>
  <si>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</si>
  <si>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</si>
  <si>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</si>
  <si>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</si>
  <si>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</si>
  <si>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</si>
  <si>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</si>
  <si>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</si>
  <si>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</si>
  <si>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</si>
  <si>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</si>
  <si>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</si>
  <si>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</si>
  <si>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</si>
  <si>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</si>
  <si>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</si>
  <si>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</si>
  <si>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</si>
  <si>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</si>
  <si>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</si>
  <si>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</si>
  <si>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</si>
  <si>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</si>
  <si>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</si>
  <si>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</si>
  <si>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</si>
  <si>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</si>
  <si>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</si>
  <si>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</si>
  <si>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</si>
  <si>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</si>
  <si>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</si>
  <si>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</si>
  <si>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</si>
  <si>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</si>
  <si>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</si>
  <si>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</si>
  <si>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</si>
  <si>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</si>
  <si>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</si>
  <si>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</si>
  <si>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</si>
  <si>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</si>
  <si>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</si>
  <si>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</si>
  <si>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</si>
  <si>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</si>
  <si>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</si>
  <si>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</si>
  <si>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</si>
  <si>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</si>
  <si>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</si>
  <si>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</si>
  <si>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</si>
  <si>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</si>
  <si>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</si>
  <si>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</si>
  <si>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</si>
  <si>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</si>
  <si>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</si>
  <si>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</si>
  <si>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</si>
  <si>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</si>
  <si>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</si>
  <si>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</si>
  <si>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</si>
  <si>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</si>
  <si>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</si>
  <si>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</si>
  <si>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</si>
  <si>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</si>
  <si>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</si>
  <si>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</si>
  <si>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</si>
  <si>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</si>
  <si>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</si>
  <si>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</si>
  <si>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</si>
  <si>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</si>
  <si>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</si>
  <si>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</si>
  <si>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</si>
  <si>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</si>
  <si>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</si>
  <si>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</si>
  <si>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</si>
  <si>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</si>
  <si>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</si>
  <si>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</si>
  <si>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</si>
  <si>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</si>
  <si>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</si>
  <si>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</si>
  <si>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</si>
  <si>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</si>
  <si>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</si>
  <si>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</si>
  <si>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</si>
  <si>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</si>
  <si>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</si>
  <si>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</si>
  <si>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</si>
  <si>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</si>
  <si>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</si>
  <si>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</si>
  <si>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</si>
  <si>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</si>
  <si>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</si>
  <si>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</si>
  <si>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</si>
  <si>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</si>
  <si>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</si>
  <si>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</si>
  <si>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</si>
  <si>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</si>
  <si>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</si>
  <si>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</si>
  <si>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</si>
  <si>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</si>
  <si>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</si>
  <si>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</si>
  <si>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</si>
  <si>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</si>
  <si>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</si>
  <si>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</si>
  <si>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</si>
  <si>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</si>
  <si>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</si>
  <si>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</si>
  <si>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</si>
  <si>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</si>
  <si>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</si>
  <si>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</si>
  <si>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</si>
  <si>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</si>
  <si>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</si>
  <si>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</si>
  <si>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</si>
  <si>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</si>
  <si>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</si>
  <si>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</si>
  <si>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</si>
  <si>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</si>
  <si>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</si>
  <si>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</si>
  <si>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</si>
  <si>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</si>
  <si>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</si>
  <si>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</si>
  <si>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</si>
  <si>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</si>
  <si>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</si>
  <si>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</si>
  <si>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</si>
  <si>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</si>
  <si>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</si>
  <si>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</si>
  <si>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</si>
  <si>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</si>
  <si>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</si>
  <si>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</si>
  <si>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</si>
  <si>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</si>
  <si>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</si>
  <si>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</si>
  <si>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</si>
  <si>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</si>
  <si>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</si>
  <si>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</si>
  <si>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</si>
  <si>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</si>
  <si>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</si>
  <si>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</si>
  <si>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</si>
  <si>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</si>
  <si>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</si>
  <si>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</si>
  <si>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</si>
  <si>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</si>
  <si>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</si>
  <si>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</si>
  <si>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</si>
  <si>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</si>
  <si>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</si>
  <si>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</si>
  <si>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</si>
  <si>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</si>
  <si>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</si>
  <si>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</si>
  <si>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</si>
  <si>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</si>
  <si>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</si>
  <si>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</si>
  <si>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</si>
  <si>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</si>
  <si>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</si>
  <si>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</si>
  <si>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</si>
  <si>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</si>
  <si>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</si>
  <si>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</si>
  <si>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</si>
  <si>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</si>
  <si>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</si>
  <si>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</si>
  <si>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</si>
  <si>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</si>
  <si>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</si>
  <si>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</si>
  <si>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</si>
  <si>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</si>
  <si>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</si>
  <si>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</si>
  <si>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</si>
  <si>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</si>
  <si>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</si>
  <si>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</si>
  <si>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</si>
  <si>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</si>
  <si>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</si>
  <si>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</si>
  <si>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</si>
  <si>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</si>
  <si>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</si>
  <si>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</si>
  <si>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</si>
  <si>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</si>
  <si>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</si>
  <si>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</si>
  <si>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</si>
  <si>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</si>
  <si>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</si>
  <si>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</si>
  <si>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</si>
  <si>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</si>
  <si>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</si>
  <si>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</si>
  <si>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</si>
  <si>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</si>
  <si>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</si>
  <si>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</si>
  <si>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</si>
  <si>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</si>
  <si>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</si>
  <si>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</si>
  <si>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</si>
  <si>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</si>
  <si>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</si>
  <si>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</si>
  <si>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</si>
  <si>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</si>
  <si>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</si>
  <si>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</si>
  <si>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</si>
  <si>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</si>
  <si>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</si>
  <si>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</si>
  <si>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</si>
  <si>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</si>
  <si>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</si>
  <si>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</si>
  <si>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</si>
  <si>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</si>
  <si>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</si>
  <si>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</si>
  <si>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</si>
  <si>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</si>
  <si>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</si>
  <si>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</si>
  <si>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</si>
  <si>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</si>
  <si>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</si>
  <si>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</si>
  <si>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</si>
  <si>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</si>
  <si>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</si>
  <si>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</si>
  <si>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</si>
  <si>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</si>
  <si>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</si>
  <si>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</si>
  <si>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</si>
  <si>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</si>
  <si>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</si>
  <si>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</si>
  <si>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</si>
  <si>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</si>
  <si>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</si>
  <si>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</si>
  <si>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</si>
  <si>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</si>
  <si>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</si>
  <si>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</si>
  <si>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</si>
  <si>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</si>
  <si>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</si>
  <si>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</si>
  <si>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</si>
  <si>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</si>
  <si>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</si>
  <si>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</si>
  <si>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</si>
  <si>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</si>
  <si>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</si>
  <si>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</si>
  <si>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</si>
  <si>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</si>
  <si>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</si>
  <si>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</si>
  <si>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</si>
  <si>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</si>
  <si>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</si>
  <si>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</si>
  <si>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</si>
  <si>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</si>
  <si>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</si>
  <si>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</si>
  <si>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</si>
  <si>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</si>
  <si>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</si>
  <si>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</si>
  <si>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</si>
  <si>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</si>
  <si>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</si>
  <si>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</si>
  <si>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</si>
  <si>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</si>
  <si>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</si>
  <si>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</si>
  <si>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</si>
  <si>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</si>
  <si>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</si>
  <si>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</si>
  <si>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</si>
  <si>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</si>
  <si>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</si>
  <si>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</si>
  <si>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</si>
  <si>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</si>
  <si>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</si>
  <si>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</si>
  <si>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</si>
  <si>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</si>
  <si>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</si>
  <si>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</si>
  <si>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</si>
  <si>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</si>
  <si>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</si>
  <si>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</si>
  <si>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</si>
  <si>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</si>
  <si>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</si>
  <si>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</si>
  <si>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</si>
  <si>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</si>
  <si>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</si>
  <si>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</si>
  <si>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</si>
  <si>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</si>
  <si>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</si>
  <si>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</si>
  <si>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</si>
  <si>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</si>
  <si>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</si>
  <si>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</si>
  <si>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</si>
  <si>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</si>
  <si>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</si>
  <si>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</si>
  <si>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</si>
  <si>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</si>
  <si>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</si>
  <si>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</si>
  <si>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</si>
  <si>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</si>
  <si>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</si>
  <si>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</si>
  <si>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</si>
  <si>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</si>
  <si>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</si>
  <si>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</si>
  <si>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</si>
  <si>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</si>
  <si>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</si>
  <si>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</si>
  <si>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</si>
  <si>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</si>
  <si>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</si>
  <si>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</si>
  <si>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</si>
  <si>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</si>
  <si>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</si>
  <si>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</si>
  <si>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</si>
  <si>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</si>
  <si>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</si>
  <si>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</si>
  <si>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</si>
  <si>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</si>
  <si>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</si>
  <si>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</si>
  <si>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</si>
  <si>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</si>
  <si>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</si>
  <si>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</si>
  <si>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</si>
  <si>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</si>
  <si>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</si>
  <si>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</si>
  <si>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</si>
  <si>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</si>
  <si>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</si>
  <si>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</si>
  <si>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</si>
  <si>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</si>
  <si>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</si>
  <si>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</si>
  <si>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</si>
  <si>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</si>
  <si>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</si>
  <si>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</si>
  <si>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</si>
  <si>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</si>
  <si>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</si>
  <si>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</si>
  <si>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</si>
  <si>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</si>
  <si>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</si>
  <si>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</si>
  <si>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</si>
  <si>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</si>
  <si>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</si>
  <si>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</si>
  <si>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</si>
  <si>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</si>
  <si>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</si>
  <si>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</si>
  <si>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</si>
  <si>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</si>
  <si>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</si>
  <si>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</si>
  <si>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</si>
  <si>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</si>
  <si>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</si>
  <si>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</si>
  <si>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</si>
  <si>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</si>
  <si>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</si>
  <si>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</si>
  <si>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</si>
  <si>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</si>
  <si>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</si>
  <si>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</si>
  <si>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</si>
  <si>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</si>
  <si>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</si>
  <si>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</si>
  <si>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</si>
  <si>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</si>
  <si>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</si>
  <si>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</si>
  <si>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</si>
  <si>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</si>
  <si>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</si>
  <si>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</si>
  <si>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</si>
  <si>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</si>
  <si>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</si>
  <si>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</si>
  <si>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</si>
  <si>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</si>
  <si>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</si>
  <si>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</si>
  <si>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</si>
  <si>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</si>
  <si>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</si>
  <si>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</si>
  <si>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</si>
  <si>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</si>
  <si>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</si>
  <si>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</si>
  <si>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</si>
  <si>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</si>
  <si>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</si>
  <si>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</si>
  <si>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</si>
  <si>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</si>
  <si>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</si>
  <si>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</si>
  <si>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</si>
  <si>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</si>
  <si>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</si>
  <si>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</si>
  <si>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</si>
  <si>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</si>
  <si>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</si>
  <si>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</si>
  <si>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</si>
  <si>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</si>
  <si>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</si>
  <si>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</si>
  <si>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</si>
  <si>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</si>
  <si>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</si>
  <si>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</si>
  <si>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</si>
  <si>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</si>
  <si>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</si>
  <si>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</si>
  <si>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</si>
  <si>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</si>
  <si>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</si>
  <si>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</si>
  <si>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</si>
  <si>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</si>
  <si>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</si>
  <si>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</si>
  <si>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</si>
  <si>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</si>
  <si>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</si>
  <si>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</si>
  <si>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</si>
  <si>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</si>
  <si>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</si>
  <si>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</si>
  <si>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</si>
  <si>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</si>
  <si>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</si>
  <si>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</si>
  <si>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</si>
  <si>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</si>
  <si>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</si>
  <si>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</si>
  <si>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</si>
  <si>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</si>
  <si>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</si>
  <si>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</si>
  <si>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</si>
  <si>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</si>
  <si>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</si>
  <si>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</si>
  <si>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</si>
  <si>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</si>
  <si>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</si>
  <si>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</si>
  <si>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</si>
  <si>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</si>
  <si>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</si>
  <si>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</si>
  <si>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</si>
  <si>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</si>
  <si>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</si>
  <si>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</si>
  <si>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</si>
  <si>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</si>
  <si>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</si>
  <si>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</si>
  <si>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</si>
  <si>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</si>
  <si>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</si>
  <si>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</si>
  <si>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</si>
  <si>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</si>
  <si>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</si>
  <si>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</si>
  <si>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</si>
  <si>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</si>
  <si>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</si>
  <si>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</si>
  <si>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</si>
  <si>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</si>
  <si>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</si>
  <si>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</si>
  <si>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</si>
  <si>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</si>
  <si>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</si>
  <si>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</si>
  <si>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</si>
  <si>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</si>
  <si>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</si>
  <si>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</si>
  <si>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</si>
  <si>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</si>
  <si>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</si>
  <si>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</si>
  <si>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</si>
  <si>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</si>
  <si>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</si>
  <si>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</si>
  <si>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</si>
  <si>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</si>
  <si>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</si>
  <si>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</si>
  <si>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</si>
  <si>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</si>
  <si>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</si>
  <si>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</si>
  <si>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</si>
  <si>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</si>
  <si>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</si>
  <si>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</si>
  <si>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</si>
  <si>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</si>
  <si>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</si>
  <si>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</si>
  <si>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</si>
  <si>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</si>
  <si>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</si>
  <si>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</si>
  <si>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</si>
  <si>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</si>
  <si>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</si>
  <si>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</si>
  <si>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</si>
  <si>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</si>
  <si>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</si>
  <si>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</si>
  <si>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</si>
  <si>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</si>
  <si>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</si>
  <si>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</si>
  <si>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</si>
  <si>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</si>
  <si>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</si>
  <si>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</si>
  <si>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</si>
  <si>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</si>
  <si>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</si>
  <si>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</si>
  <si>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</si>
  <si>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</si>
  <si>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</si>
  <si>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</si>
  <si>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</si>
  <si>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</si>
  <si>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</si>
  <si>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</si>
  <si>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</si>
  <si>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</si>
  <si>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</si>
  <si>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</si>
  <si>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</si>
  <si>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</si>
  <si>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</si>
  <si>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</si>
  <si>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</si>
  <si>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</si>
  <si>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</si>
  <si>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</si>
  <si>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</si>
  <si>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</si>
  <si>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</si>
  <si>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</si>
  <si>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</si>
  <si>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</si>
  <si>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</si>
  <si>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</si>
  <si>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</si>
  <si>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</si>
  <si>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</si>
  <si>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</si>
  <si>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</si>
  <si>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</si>
  <si>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</si>
  <si>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</si>
  <si>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</si>
  <si>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</si>
  <si>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</si>
  <si>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</si>
  <si>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</si>
  <si>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</si>
  <si>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</si>
  <si>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</si>
  <si>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</si>
  <si>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</si>
  <si>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</si>
  <si>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</si>
  <si>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</si>
  <si>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</si>
  <si>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</si>
  <si>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</si>
  <si>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</si>
  <si>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</si>
  <si>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</si>
  <si>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</si>
  <si>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</si>
  <si>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</si>
  <si>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</si>
  <si>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</si>
  <si>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</si>
  <si>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</si>
  <si>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</si>
  <si>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</si>
  <si>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</si>
  <si>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</si>
  <si>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</si>
  <si>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</si>
  <si>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</si>
  <si>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</si>
  <si>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</si>
  <si>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</si>
  <si>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</si>
  <si>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</si>
  <si>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</si>
  <si>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</si>
  <si>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</si>
  <si>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</si>
  <si>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</si>
  <si>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</si>
  <si>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</si>
  <si>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</si>
  <si>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</si>
  <si>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</si>
  <si>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</si>
  <si>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</si>
  <si>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</si>
  <si>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</si>
  <si>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</si>
  <si>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</si>
  <si>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</si>
  <si>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</si>
  <si>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</si>
  <si>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</si>
  <si>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</si>
  <si>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</si>
  <si>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</si>
  <si>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</si>
  <si>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</si>
  <si>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</si>
  <si>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</si>
  <si>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</si>
  <si>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</si>
  <si>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</si>
  <si>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</si>
  <si>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</si>
  <si>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</si>
  <si>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</si>
  <si>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</si>
  <si>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</si>
  <si>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</si>
  <si>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</si>
  <si>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</si>
  <si>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</si>
  <si>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</si>
  <si>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</si>
  <si>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</si>
  <si>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</si>
  <si>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</si>
  <si>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</si>
  <si>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</si>
  <si>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</si>
  <si>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</si>
  <si>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</si>
  <si>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</si>
  <si>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</si>
  <si>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</si>
  <si>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</si>
  <si>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</si>
  <si>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</si>
  <si>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</si>
  <si>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</si>
  <si>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</si>
  <si>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</si>
  <si>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</si>
  <si>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</si>
  <si>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</si>
  <si>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</si>
  <si>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</si>
  <si>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</si>
  <si>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</si>
  <si>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</si>
  <si>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</si>
  <si>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</si>
  <si>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</si>
  <si>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</si>
  <si>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</si>
  <si>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</si>
  <si>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</si>
  <si>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</si>
  <si>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</si>
  <si>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</si>
  <si>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</si>
  <si>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</si>
  <si>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</si>
  <si>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</si>
  <si>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</si>
  <si>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</si>
  <si>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</si>
  <si>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</si>
  <si>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</si>
  <si>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</si>
  <si>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</si>
  <si>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</si>
  <si>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</si>
  <si>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</si>
  <si>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</si>
  <si>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</si>
  <si>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</si>
  <si>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</si>
  <si>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</si>
  <si>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</si>
  <si>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</si>
  <si>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</si>
  <si>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</si>
  <si>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</si>
  <si>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</si>
  <si>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</si>
  <si>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</si>
  <si>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</si>
  <si>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</si>
  <si>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</si>
  <si>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</si>
  <si>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</si>
  <si>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</si>
  <si>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</si>
  <si>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</si>
  <si>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</si>
  <si>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</si>
  <si>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</si>
  <si>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</si>
  <si>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</si>
  <si>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</si>
  <si>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</si>
  <si>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</si>
  <si>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</si>
  <si>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</si>
  <si>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</si>
  <si>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</si>
  <si>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</si>
  <si>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</si>
  <si>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</si>
  <si>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</si>
  <si>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</si>
  <si>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</si>
  <si>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</si>
  <si>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</si>
  <si>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</si>
  <si>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</si>
  <si>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</si>
  <si>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</si>
  <si>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</si>
  <si>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</si>
  <si>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</si>
  <si>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</si>
  <si>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</si>
  <si>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</si>
  <si>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</si>
  <si>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</si>
  <si>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</si>
  <si>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</si>
  <si>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</si>
  <si>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</si>
  <si>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</si>
  <si>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</si>
  <si>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</si>
  <si>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</si>
  <si>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</si>
  <si>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</si>
  <si>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</si>
  <si>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</si>
  <si>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</si>
  <si>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</si>
  <si>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</si>
  <si>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</si>
  <si>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</si>
  <si>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</si>
  <si>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</si>
  <si>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</si>
  <si>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</si>
  <si>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</si>
  <si>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</si>
  <si>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</si>
  <si>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</si>
  <si>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</si>
  <si>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</si>
  <si>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</si>
  <si>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</si>
  <si>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</si>
  <si>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</si>
  <si>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</si>
  <si>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</si>
  <si>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</si>
  <si>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</si>
  <si>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</si>
  <si>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</si>
  <si>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</si>
  <si>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</si>
  <si>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</si>
  <si>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</si>
  <si>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</si>
  <si>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</si>
  <si>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</si>
  <si>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</si>
  <si>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</si>
  <si>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</si>
  <si>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</si>
  <si>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</si>
  <si>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</si>
  <si>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</si>
  <si>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</si>
  <si>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</si>
  <si>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</si>
  <si>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</si>
  <si>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</si>
  <si>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</si>
  <si>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</si>
  <si>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</si>
  <si>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</si>
  <si>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</si>
  <si>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</si>
  <si>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</si>
  <si>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</si>
  <si>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</si>
  <si>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</si>
  <si>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</si>
  <si>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</si>
  <si>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</si>
  <si>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</si>
  <si>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</si>
  <si>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</si>
  <si>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</si>
  <si>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</si>
  <si>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</si>
  <si>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</si>
  <si>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</si>
  <si>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</si>
  <si>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</si>
  <si>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</si>
  <si>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</si>
  <si>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</si>
  <si>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</si>
  <si>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</si>
  <si>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</si>
  <si>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</si>
  <si>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</si>
  <si>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</si>
  <si>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</si>
  <si>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</si>
  <si>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</si>
  <si>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</si>
  <si>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</si>
  <si>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</si>
  <si>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</si>
  <si>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</si>
  <si>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</si>
  <si>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</si>
  <si>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</si>
  <si>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</si>
  <si>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</si>
  <si>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</si>
  <si>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</si>
  <si>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</si>
  <si>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</si>
  <si>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</si>
  <si>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</si>
  <si>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</si>
  <si>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</si>
  <si>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</si>
  <si>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</si>
  <si>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</si>
  <si>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</si>
  <si>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</si>
  <si>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</si>
  <si>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</si>
  <si>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</si>
  <si>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</si>
  <si>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</si>
  <si>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</si>
  <si>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</si>
  <si>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</si>
  <si>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</si>
  <si>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</si>
  <si>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</si>
  <si>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</si>
  <si>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</si>
  <si>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</si>
  <si>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</si>
  <si>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</si>
  <si>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</si>
  <si>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</si>
  <si>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</si>
  <si>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</si>
  <si>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</si>
  <si>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</si>
  <si>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</si>
  <si>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</si>
  <si>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</si>
  <si>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</si>
  <si>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</si>
  <si>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</si>
  <si>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</si>
  <si>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</si>
  <si>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</si>
  <si>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</si>
  <si>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</si>
  <si>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</si>
  <si>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</si>
  <si>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</si>
  <si>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</si>
  <si>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</si>
  <si>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</si>
  <si>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</si>
  <si>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</si>
  <si>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</si>
  <si>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</si>
  <si>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</si>
  <si>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</si>
  <si>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</si>
  <si>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</si>
  <si>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</si>
  <si>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</si>
  <si>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</si>
  <si>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</si>
  <si>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</si>
  <si>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</si>
  <si>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</si>
  <si>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</si>
  <si>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</si>
  <si>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</si>
  <si>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</si>
  <si>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</si>
  <si>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</si>
  <si>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</si>
  <si>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</si>
  <si>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</si>
  <si>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</si>
  <si>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</si>
  <si>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</si>
  <si>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</si>
  <si>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</si>
  <si>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</si>
  <si>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</si>
  <si>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</si>
  <si>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</si>
  <si>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</si>
  <si>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</si>
  <si>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</si>
  <si>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</si>
  <si>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</si>
  <si>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</si>
  <si>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</si>
  <si>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</si>
  <si>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</si>
  <si>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</si>
  <si>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</si>
  <si>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</si>
  <si>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</si>
  <si>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</si>
  <si>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</si>
  <si>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</si>
  <si>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</si>
  <si>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</si>
  <si>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</si>
  <si>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</si>
  <si>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</si>
  <si>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</si>
  <si>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</si>
  <si>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</si>
  <si>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</si>
  <si>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</si>
  <si>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</si>
  <si>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</si>
  <si>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</si>
  <si>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</si>
  <si>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</si>
  <si>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</si>
  <si>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</si>
  <si>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</si>
  <si>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</si>
  <si>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</si>
  <si>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</si>
  <si>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</si>
  <si>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</si>
  <si>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</si>
  <si>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</si>
  <si>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</si>
  <si>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</si>
  <si>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</si>
  <si>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</si>
  <si>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</si>
  <si>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</si>
  <si>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</si>
  <si>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</si>
  <si>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</si>
  <si>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</si>
  <si>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</si>
  <si>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</si>
  <si>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</si>
  <si>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</si>
  <si>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</si>
  <si>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</si>
  <si>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</si>
  <si>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</si>
  <si>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</si>
  <si>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</si>
  <si>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</si>
  <si>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</si>
  <si>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</si>
  <si>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</si>
  <si>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</si>
  <si>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</si>
  <si>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</si>
  <si>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</si>
  <si>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</si>
  <si>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</si>
  <si>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</si>
  <si>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</si>
  <si>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</si>
  <si>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</si>
  <si>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</si>
  <si>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</si>
  <si>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</si>
  <si>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</si>
  <si>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</si>
  <si>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</si>
  <si>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</si>
  <si>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</si>
  <si>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</si>
  <si>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</si>
  <si>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</si>
  <si>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</si>
  <si>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</si>
  <si>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</si>
  <si>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</si>
  <si>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</si>
  <si>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</si>
  <si>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</si>
  <si>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</si>
  <si>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</si>
  <si>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</si>
  <si>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</si>
  <si>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</si>
  <si>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</si>
  <si>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</si>
  <si>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</si>
  <si>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</si>
  <si>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</si>
  <si>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</si>
  <si>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</si>
  <si>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</si>
  <si>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</si>
  <si>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</si>
  <si>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</si>
  <si>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</si>
  <si>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</si>
  <si>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</si>
  <si>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</si>
  <si>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</si>
  <si>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</si>
  <si>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</si>
  <si>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</si>
  <si>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</si>
  <si>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</si>
  <si>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</si>
  <si>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</si>
  <si>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</si>
  <si>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</si>
  <si>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</si>
  <si>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</si>
  <si>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</si>
  <si>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</si>
  <si>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</si>
  <si>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</si>
  <si>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</si>
  <si>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</si>
  <si>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</si>
  <si>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</si>
  <si>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</si>
  <si>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</si>
  <si>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</si>
  <si>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</si>
  <si>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</si>
  <si>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</si>
  <si>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</si>
  <si>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</si>
  <si>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</si>
  <si>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</si>
  <si>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</si>
  <si>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</si>
  <si>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</si>
  <si>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</si>
  <si>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</si>
  <si>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</si>
  <si>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</si>
  <si>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</si>
  <si>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</si>
  <si>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</si>
  <si>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</si>
  <si>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</si>
  <si>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</si>
  <si>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</si>
  <si>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</si>
  <si>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</si>
  <si>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</si>
  <si>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</si>
  <si>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</si>
  <si>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</si>
  <si>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</si>
  <si>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</si>
  <si>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</si>
  <si>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</si>
  <si>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</si>
  <si>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</si>
  <si>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</si>
  <si>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</si>
  <si>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</si>
  <si>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</si>
  <si>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</si>
  <si>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</si>
  <si>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</si>
  <si>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</si>
  <si>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</si>
  <si>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</si>
  <si>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</si>
  <si>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</si>
  <si>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</si>
  <si>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</si>
  <si>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</si>
  <si>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</si>
  <si>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</si>
  <si>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</si>
  <si>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</si>
  <si>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</si>
  <si>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</si>
  <si>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</si>
  <si>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</si>
  <si>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</si>
  <si>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</si>
  <si>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</si>
  <si>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</si>
  <si>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</si>
  <si>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</si>
  <si>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</si>
  <si>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</si>
  <si>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</si>
  <si>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</si>
  <si>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</si>
  <si>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</si>
  <si>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</si>
  <si>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</si>
  <si>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</si>
  <si>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</si>
  <si>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</si>
  <si>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</si>
  <si>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</si>
  <si>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</si>
  <si>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</si>
  <si>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</si>
  <si>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</si>
  <si>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</si>
  <si>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</si>
  <si>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</si>
  <si>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</si>
  <si>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</si>
  <si>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</si>
  <si>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</si>
  <si>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</si>
  <si>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</si>
  <si>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</si>
  <si>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</si>
  <si>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</si>
  <si>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</si>
  <si>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</si>
  <si>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</si>
  <si>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</si>
  <si>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</si>
  <si>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</si>
  <si>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</si>
  <si>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</si>
  <si>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</si>
  <si>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</si>
  <si>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</si>
  <si>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</si>
  <si>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</si>
  <si>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</si>
  <si>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</si>
  <si>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</si>
  <si>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</si>
  <si>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</si>
  <si>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</si>
  <si>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</si>
  <si>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</si>
  <si>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</si>
  <si>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</si>
  <si>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</si>
  <si>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</si>
  <si>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</si>
  <si>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</si>
  <si>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</si>
  <si>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</si>
  <si>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</si>
  <si>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</si>
  <si>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</si>
  <si>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</si>
  <si>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</si>
  <si>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</si>
  <si>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</si>
  <si>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</si>
  <si>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</si>
  <si>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</si>
  <si>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</si>
  <si>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</si>
  <si>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</si>
  <si>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</si>
  <si>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</si>
  <si>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</si>
  <si>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</si>
  <si>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</si>
  <si>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</si>
  <si>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</si>
  <si>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</si>
  <si>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</si>
  <si>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</si>
  <si>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</si>
  <si>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</si>
  <si>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</si>
  <si>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</si>
  <si>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</si>
  <si>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</si>
  <si>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</si>
  <si>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</si>
  <si>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</si>
  <si>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</si>
  <si>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</si>
  <si>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</si>
  <si>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</si>
  <si>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</si>
  <si>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</si>
  <si>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</si>
  <si>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</si>
  <si>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</si>
  <si>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</si>
  <si>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</si>
  <si>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</si>
  <si>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</si>
  <si>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</si>
  <si>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</si>
  <si>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</si>
  <si>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</si>
  <si>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</si>
  <si>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</si>
  <si>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</si>
  <si>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</si>
  <si>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</si>
  <si>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</si>
  <si>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</si>
  <si>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</si>
  <si>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</si>
  <si>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</si>
  <si>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</si>
  <si>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</si>
  <si>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</si>
  <si>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</si>
  <si>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</si>
  <si>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</si>
  <si>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</si>
  <si>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</si>
  <si>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</si>
  <si>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</si>
  <si>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</si>
  <si>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</si>
  <si>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</si>
  <si>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</si>
  <si>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</si>
  <si>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</si>
  <si>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</si>
  <si>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</si>
  <si>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</si>
  <si>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</si>
  <si>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</si>
  <si>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</si>
  <si>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</si>
  <si>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</si>
  <si>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</si>
  <si>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</si>
  <si>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</si>
  <si>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</si>
  <si>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</si>
  <si>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</si>
  <si>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</si>
  <si>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</si>
  <si>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</si>
  <si>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</si>
  <si>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</si>
  <si>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</si>
  <si>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</si>
  <si>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</si>
  <si>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</si>
  <si>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</si>
  <si>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</si>
  <si>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</si>
  <si>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</si>
  <si>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</si>
  <si>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</si>
  <si>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</si>
  <si>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</si>
  <si>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</si>
  <si>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</si>
  <si>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</si>
  <si>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</si>
  <si>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</si>
  <si>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</si>
  <si>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</si>
  <si>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</si>
  <si>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</si>
  <si>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</si>
  <si>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</si>
  <si>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</si>
  <si>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</si>
  <si>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</si>
  <si>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</si>
  <si>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</si>
  <si>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</si>
  <si>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</si>
  <si>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</si>
  <si>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</si>
  <si>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</si>
  <si>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</si>
  <si>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</si>
  <si>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</si>
  <si>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</si>
  <si>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</si>
  <si>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</si>
  <si>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</si>
  <si>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</si>
  <si>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</si>
  <si>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</si>
  <si>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</si>
  <si>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</si>
  <si>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</si>
  <si>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</si>
  <si>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</si>
  <si>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</si>
  <si>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</si>
  <si>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</si>
  <si>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</si>
  <si>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</si>
  <si>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</si>
  <si>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</si>
  <si>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</si>
  <si>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</si>
  <si>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</si>
  <si>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</si>
  <si>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</si>
  <si>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</si>
  <si>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</si>
  <si>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</si>
  <si>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</si>
  <si>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</si>
  <si>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</si>
  <si>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</si>
  <si>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</si>
  <si>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</si>
  <si>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</si>
  <si>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</si>
  <si>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</si>
  <si>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</si>
  <si>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</si>
  <si>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</si>
  <si>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</si>
  <si>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</si>
  <si>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</si>
  <si>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</si>
  <si>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</si>
  <si>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</si>
  <si>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</si>
  <si>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</si>
  <si>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</si>
  <si>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</si>
  <si>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</si>
  <si>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</si>
  <si>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</si>
  <si>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</si>
  <si>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</si>
  <si>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</si>
  <si>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</si>
  <si>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</si>
  <si>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</si>
  <si>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</si>
  <si>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</si>
  <si>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</si>
  <si>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</si>
  <si>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</si>
  <si>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</si>
  <si>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</si>
  <si>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</si>
  <si>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</si>
  <si>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</si>
  <si>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</si>
  <si>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</si>
  <si>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</si>
  <si>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</si>
  <si>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</si>
  <si>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</si>
  <si>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</si>
  <si>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</si>
  <si>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</si>
  <si>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</si>
  <si>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</si>
  <si>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</si>
  <si>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</si>
  <si>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</si>
  <si>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</si>
  <si>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</si>
  <si>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</si>
  <si>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</si>
  <si>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</si>
  <si>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</si>
  <si>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</si>
  <si>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</si>
  <si>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</si>
  <si>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</si>
  <si>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</si>
  <si>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</si>
  <si>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</si>
  <si>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</si>
  <si>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</si>
  <si>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</si>
  <si>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</si>
  <si>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</si>
  <si>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</si>
  <si>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</si>
  <si>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</si>
  <si>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</si>
  <si>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</si>
  <si>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</si>
  <si>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</si>
  <si>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</si>
  <si>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</si>
  <si>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</si>
  <si>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</si>
  <si>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</si>
  <si>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</si>
  <si>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</si>
  <si>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</si>
  <si>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</si>
  <si>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</si>
  <si>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</si>
  <si>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</si>
  <si>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</si>
  <si>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</si>
  <si>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</si>
  <si>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</si>
  <si>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</si>
  <si>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</si>
  <si>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</si>
  <si>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</si>
  <si>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</si>
  <si>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</si>
  <si>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</si>
  <si>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</si>
  <si>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</si>
  <si>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</si>
  <si>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</si>
  <si>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</si>
  <si>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</si>
  <si>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</si>
  <si>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</si>
  <si>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</si>
  <si>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</si>
  <si>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</si>
  <si>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</si>
  <si>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</si>
  <si>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</si>
  <si>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</si>
  <si>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</si>
  <si>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</si>
  <si>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</si>
  <si>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</si>
  <si>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</si>
  <si>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</si>
  <si>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</si>
  <si>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</si>
  <si>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</si>
  <si>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</si>
  <si>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</si>
  <si>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</si>
  <si>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</si>
  <si>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</si>
  <si>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</si>
  <si>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</si>
  <si>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</si>
  <si>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</si>
  <si>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</si>
  <si>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</si>
  <si>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</si>
  <si>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</si>
  <si>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</si>
  <si>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</si>
  <si>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</si>
  <si>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</si>
  <si>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</si>
  <si>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</si>
  <si>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</si>
  <si>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</si>
  <si>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</si>
  <si>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</si>
  <si>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</si>
  <si>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</si>
  <si>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</si>
  <si>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</si>
  <si>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</si>
  <si>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</si>
  <si>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</si>
  <si>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</si>
  <si>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</si>
  <si>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</si>
  <si>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</si>
  <si>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</si>
  <si>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</si>
  <si>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</si>
  <si>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</si>
  <si>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</si>
  <si>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</si>
  <si>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</si>
  <si>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</si>
  <si>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</si>
  <si>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</si>
  <si>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</si>
  <si>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</si>
  <si>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</si>
  <si>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</si>
  <si>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</si>
  <si>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</si>
  <si>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</si>
  <si>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</si>
  <si>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</si>
  <si>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</si>
  <si>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</si>
  <si>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</si>
  <si>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</si>
  <si>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</si>
  <si>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</si>
  <si>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</si>
  <si>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</si>
  <si>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</si>
  <si>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</si>
  <si>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</si>
  <si>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</si>
  <si>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</si>
  <si>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</si>
  <si>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</si>
  <si>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</si>
  <si>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</si>
  <si>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</si>
  <si>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</si>
  <si>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</si>
  <si>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</si>
  <si>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</si>
  <si>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</si>
  <si>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</si>
  <si>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</si>
  <si>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</si>
  <si>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</si>
  <si>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</si>
  <si>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</si>
  <si>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</si>
  <si>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</si>
  <si>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</si>
  <si>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</si>
  <si>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</si>
  <si>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</si>
  <si>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</si>
  <si>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</si>
  <si>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</si>
  <si>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</si>
  <si>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</si>
  <si>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</si>
  <si>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</si>
  <si>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</si>
  <si>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</si>
  <si>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</si>
  <si>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</si>
  <si>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</si>
  <si>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</si>
  <si>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</si>
  <si>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</si>
  <si>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</si>
  <si>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</si>
  <si>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</si>
  <si>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</si>
  <si>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</si>
  <si>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</si>
  <si>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</si>
  <si>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</si>
  <si>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</si>
  <si>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</si>
  <si>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</si>
  <si>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</si>
  <si>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</si>
  <si>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</si>
  <si>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</si>
  <si>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</si>
  <si>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</si>
  <si>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</si>
  <si>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</si>
  <si>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</si>
  <si>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</si>
  <si>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</si>
  <si>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</si>
  <si>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</si>
  <si>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</si>
  <si>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</si>
  <si>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</si>
  <si>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</si>
  <si>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</si>
  <si>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</si>
  <si>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</si>
  <si>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</si>
  <si>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</si>
  <si>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</si>
  <si>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</si>
  <si>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</si>
  <si>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</si>
  <si>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</si>
  <si>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</si>
  <si>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</si>
  <si>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</si>
  <si>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</si>
  <si>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</si>
  <si>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</si>
  <si>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</si>
  <si>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</si>
  <si>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</si>
  <si>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</si>
  <si>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</si>
  <si>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</si>
  <si>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</si>
  <si>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</si>
  <si>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</si>
  <si>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</si>
  <si>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</si>
  <si>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</si>
  <si>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</si>
  <si>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</si>
  <si>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</si>
  <si>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</si>
  <si>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</si>
  <si>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</si>
  <si>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</si>
  <si>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</si>
  <si>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</si>
  <si>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</si>
  <si>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</si>
  <si>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</si>
  <si>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</si>
  <si>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</si>
  <si>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</si>
  <si>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</si>
  <si>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</si>
  <si>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</si>
  <si>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</si>
  <si>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</si>
  <si>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</si>
  <si>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</si>
  <si>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</si>
  <si>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</si>
  <si>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</si>
  <si>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</si>
  <si>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</si>
  <si>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</si>
  <si>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</si>
  <si>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</si>
  <si>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</si>
  <si>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</si>
  <si>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</si>
  <si>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</si>
  <si>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</si>
  <si>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</si>
  <si>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</si>
  <si>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</si>
  <si>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</si>
  <si>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</si>
  <si>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</si>
  <si>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</si>
  <si>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</si>
  <si>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</si>
  <si>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</si>
  <si>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</si>
  <si>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</si>
  <si>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</si>
  <si>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</si>
  <si>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</si>
  <si>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</si>
  <si>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</si>
  <si>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</si>
  <si>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</si>
  <si>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</si>
  <si>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</si>
  <si>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</si>
  <si>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</si>
  <si>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</si>
  <si>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</si>
  <si>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</si>
  <si>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</si>
  <si>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</si>
  <si>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</si>
  <si>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</si>
  <si>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</si>
  <si>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</si>
  <si>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</si>
  <si>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</si>
  <si>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</si>
  <si>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</si>
  <si>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</si>
  <si>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</si>
  <si>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</si>
  <si>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</si>
  <si>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</si>
  <si>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</si>
  <si>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</si>
  <si>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</si>
  <si>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</si>
  <si>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</si>
  <si>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</si>
  <si>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</si>
  <si>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</si>
  <si>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</si>
  <si>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</si>
  <si>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</si>
  <si>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</si>
  <si>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</si>
  <si>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</si>
  <si>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</si>
  <si>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</si>
  <si>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</si>
  <si>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</si>
  <si>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</si>
  <si>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</si>
  <si>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</si>
  <si>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</si>
  <si>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</si>
  <si>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</si>
  <si>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</si>
  <si>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</si>
  <si>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</si>
  <si>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</si>
  <si>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</si>
  <si>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</si>
  <si>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</si>
  <si>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</si>
  <si>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</si>
  <si>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</si>
  <si>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</si>
  <si>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</si>
  <si>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</si>
  <si>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</si>
  <si>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</si>
  <si>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</si>
  <si>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</si>
  <si>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</si>
  <si>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</si>
  <si>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</si>
  <si>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</si>
  <si>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</si>
  <si>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</si>
  <si>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</si>
  <si>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</si>
  <si>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</si>
  <si>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</si>
  <si>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</si>
  <si>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</si>
  <si>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</si>
  <si>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</si>
  <si>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</si>
  <si>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</si>
  <si>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</si>
  <si>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</si>
  <si>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</si>
  <si>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</si>
  <si>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</si>
  <si>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</si>
  <si>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</si>
  <si>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</si>
  <si>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</si>
  <si>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</si>
  <si>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</si>
  <si>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</si>
  <si>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</si>
  <si>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</si>
  <si>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</si>
  <si>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</si>
  <si>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</si>
  <si>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</si>
  <si>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</si>
  <si>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</si>
  <si>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</si>
  <si>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</si>
  <si>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</si>
  <si>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</si>
  <si>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</si>
  <si>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</si>
  <si>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</si>
  <si>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</si>
  <si>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</si>
  <si>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</si>
  <si>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</si>
  <si>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</si>
  <si>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</si>
  <si>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</si>
  <si>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</si>
  <si>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</si>
  <si>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</si>
  <si>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</si>
  <si>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</si>
  <si>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</si>
  <si>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</si>
  <si>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</si>
  <si>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</si>
  <si>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</si>
  <si>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</si>
  <si>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</si>
  <si>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</si>
  <si>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</si>
  <si>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</si>
  <si>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</si>
  <si>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</si>
  <si>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</si>
  <si>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</si>
  <si>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</si>
  <si>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</si>
  <si>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</si>
  <si>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</si>
  <si>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</si>
  <si>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</si>
  <si>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</si>
  <si>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</si>
  <si>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</si>
  <si>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</si>
  <si>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</si>
  <si>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</si>
  <si>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</si>
  <si>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</si>
  <si>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</si>
  <si>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</si>
  <si>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</si>
  <si>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</si>
  <si>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</si>
  <si>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</si>
  <si>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</si>
  <si>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</si>
  <si>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</si>
  <si>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</si>
  <si>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</si>
  <si>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</si>
  <si>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</si>
  <si>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</si>
  <si>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</si>
  <si>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</si>
  <si>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</si>
  <si>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</si>
  <si>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</si>
  <si>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</si>
  <si>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</si>
  <si>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</si>
  <si>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</si>
  <si>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</si>
  <si>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</si>
  <si>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</si>
  <si>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</si>
  <si>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</si>
  <si>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</si>
  <si>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</si>
  <si>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</si>
  <si>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</si>
  <si>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</si>
  <si>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</si>
  <si>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</si>
  <si>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</si>
  <si>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</si>
  <si>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</si>
  <si>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</si>
  <si>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</si>
  <si>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</si>
  <si>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</si>
  <si>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</si>
  <si>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</si>
  <si>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</si>
  <si>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</si>
  <si>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</si>
  <si>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</si>
  <si>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</si>
  <si>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</si>
  <si>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</si>
  <si>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</si>
  <si>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</si>
  <si>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</si>
  <si>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</si>
  <si>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</si>
  <si>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</si>
  <si>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</si>
  <si>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</si>
  <si>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</si>
  <si>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</si>
  <si>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</si>
  <si>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</si>
  <si>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</si>
  <si>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</si>
  <si>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</si>
  <si>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</si>
  <si>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</si>
  <si>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</si>
  <si>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</si>
  <si>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</si>
  <si>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</si>
  <si>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</si>
  <si>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</si>
  <si>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</si>
  <si>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</si>
  <si>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</si>
  <si>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</si>
  <si>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</si>
  <si>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</si>
  <si>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</si>
  <si>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</si>
  <si>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</si>
  <si>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</si>
  <si>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</si>
  <si>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</si>
  <si>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</si>
  <si>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</si>
  <si>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</si>
  <si>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</si>
  <si>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</si>
  <si>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</si>
  <si>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</si>
  <si>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</si>
  <si>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</si>
  <si>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</si>
  <si>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</si>
  <si>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</si>
  <si>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</si>
  <si>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</si>
  <si>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</si>
  <si>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</si>
  <si>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</si>
  <si>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</si>
  <si>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</si>
  <si>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</si>
  <si>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</si>
  <si>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</si>
  <si>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</si>
  <si>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</si>
  <si>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</si>
  <si>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</si>
  <si>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</si>
  <si>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</si>
  <si>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</si>
  <si>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</si>
  <si>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</si>
  <si>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</si>
  <si>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</si>
  <si>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</si>
  <si>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</si>
  <si>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</si>
  <si>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</si>
  <si>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</si>
  <si>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</si>
  <si>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</si>
  <si>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</si>
  <si>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</si>
  <si>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</si>
  <si>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</si>
  <si>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</si>
  <si>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</si>
  <si>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</si>
  <si>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</si>
  <si>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</si>
  <si>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</si>
  <si>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</si>
  <si>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</si>
  <si>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</si>
  <si>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</si>
  <si>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</si>
  <si>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</si>
  <si>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</si>
  <si>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</si>
  <si>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</si>
  <si>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</si>
  <si>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</si>
  <si>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</si>
  <si>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</si>
  <si>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</si>
  <si>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</si>
  <si>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</si>
  <si>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</si>
  <si>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</si>
  <si>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</si>
  <si>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</si>
  <si>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</si>
  <si>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</si>
  <si>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</si>
  <si>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</si>
  <si>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</si>
  <si>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</si>
  <si>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</si>
  <si>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</si>
  <si>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</si>
  <si>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</si>
  <si>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</si>
  <si>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</si>
  <si>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</si>
  <si>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</si>
  <si>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</si>
  <si>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</si>
  <si>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</si>
  <si>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</si>
  <si>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</si>
  <si>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</si>
  <si>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</si>
  <si>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</si>
  <si>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</si>
  <si>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</si>
  <si>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</si>
  <si>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</si>
  <si>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</si>
  <si>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</si>
  <si>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</si>
  <si>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</si>
  <si>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</si>
  <si>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</si>
  <si>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</si>
  <si>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</si>
  <si>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</si>
  <si>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</si>
  <si>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</si>
  <si>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</si>
  <si>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</si>
  <si>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</si>
  <si>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</si>
  <si>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</si>
  <si>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</si>
  <si>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</si>
  <si>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</si>
  <si>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</si>
  <si>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</si>
  <si>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</si>
  <si>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</si>
  <si>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</si>
  <si>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</si>
  <si>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</si>
  <si>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</si>
  <si>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</si>
  <si>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</si>
  <si>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</si>
  <si>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</si>
  <si>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</si>
  <si>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</si>
  <si>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</si>
  <si>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</si>
  <si>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</si>
  <si>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</si>
  <si>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</si>
  <si>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</si>
  <si>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</si>
  <si>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</si>
  <si>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</si>
  <si>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</si>
  <si>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</si>
  <si>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</si>
  <si>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</si>
  <si>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</si>
  <si>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</si>
  <si>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</si>
  <si>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</si>
  <si>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</si>
  <si>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</si>
  <si>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</si>
  <si>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</si>
  <si>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</si>
  <si>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</si>
  <si>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</si>
  <si>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</si>
  <si>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</si>
  <si>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</si>
  <si>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</si>
  <si>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</si>
  <si>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</si>
  <si>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</si>
  <si>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</si>
  <si>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</si>
  <si>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</si>
  <si>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</si>
  <si>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</si>
  <si>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</si>
  <si>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</si>
  <si>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</si>
  <si>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</si>
  <si>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</si>
  <si>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</si>
  <si>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</si>
  <si>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</si>
  <si>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</si>
  <si>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</si>
  <si>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</si>
  <si>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</si>
  <si>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</si>
  <si>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</si>
  <si>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</si>
  <si>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</si>
  <si>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</si>
  <si>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</si>
  <si>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</si>
  <si>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</si>
  <si>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</si>
  <si>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</si>
  <si>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</si>
  <si>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</si>
  <si>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</si>
  <si>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</si>
  <si>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</si>
  <si>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</si>
  <si>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</si>
  <si>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</si>
  <si>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</si>
  <si>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</si>
  <si>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</si>
  <si>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</si>
  <si>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</si>
  <si>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</si>
  <si>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</si>
  <si>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</si>
  <si>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</si>
  <si>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</si>
  <si>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</si>
  <si>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</si>
  <si>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</si>
  <si>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</si>
  <si>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</si>
  <si>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</si>
  <si>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</si>
  <si>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</si>
  <si>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</si>
  <si>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</si>
  <si>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</si>
  <si>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</si>
  <si>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</si>
  <si>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</si>
  <si>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</si>
  <si>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</si>
  <si>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</si>
  <si>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</si>
  <si>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</si>
  <si>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</si>
  <si>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</si>
  <si>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</si>
  <si>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</si>
  <si>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</si>
  <si>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</si>
  <si>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</si>
  <si>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</si>
  <si>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</si>
  <si>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</si>
  <si>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</si>
  <si>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</si>
  <si>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</si>
  <si>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</si>
  <si>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</si>
  <si>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</si>
  <si>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</si>
  <si>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</si>
  <si>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</si>
  <si>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</si>
  <si>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</si>
  <si>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</si>
  <si>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</si>
  <si>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</si>
  <si>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</si>
  <si>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</si>
  <si>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</si>
  <si>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</si>
  <si>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</si>
  <si>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</si>
  <si>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</si>
  <si>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</si>
  <si>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</si>
  <si>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</si>
  <si>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</si>
  <si>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</si>
  <si>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</si>
  <si>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</si>
  <si>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</si>
  <si>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</si>
  <si>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</si>
  <si>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</si>
  <si>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</si>
  <si>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</si>
  <si>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</si>
  <si>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</si>
  <si>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</si>
  <si>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</si>
  <si>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</si>
  <si>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</si>
  <si>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</si>
  <si>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</si>
  <si>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</si>
  <si>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</si>
  <si>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</si>
  <si>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</si>
  <si>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</si>
  <si>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</si>
  <si>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</si>
  <si>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</si>
  <si>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</si>
  <si>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</si>
  <si>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</si>
  <si>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</si>
  <si>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</si>
  <si>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</si>
  <si>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</si>
  <si>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</si>
  <si>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</si>
  <si>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</si>
  <si>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</si>
  <si>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</si>
  <si>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</si>
  <si>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</si>
  <si>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</si>
  <si>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</si>
  <si>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</si>
  <si>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</si>
  <si>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</si>
  <si>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</si>
  <si>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</si>
  <si>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</si>
  <si>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</si>
  <si>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</si>
  <si>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</si>
  <si>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</si>
  <si>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</si>
  <si>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</si>
  <si>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</si>
  <si>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</si>
  <si>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</si>
  <si>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</si>
  <si>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</si>
  <si>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</si>
  <si>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</si>
  <si>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</si>
  <si>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</si>
  <si>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</si>
  <si>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</si>
  <si>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</si>
  <si>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</si>
  <si>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</si>
  <si>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</si>
  <si>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</si>
  <si>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</si>
  <si>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</si>
  <si>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</si>
  <si>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</si>
  <si>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</si>
  <si>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</si>
  <si>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</si>
  <si>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</si>
  <si>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</si>
  <si>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</si>
  <si>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</si>
  <si>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</si>
  <si>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</si>
  <si>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</si>
  <si>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</si>
  <si>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</si>
  <si>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</si>
  <si>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</si>
  <si>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</si>
  <si>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</si>
  <si>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</si>
  <si>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</si>
  <si>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</si>
  <si>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</si>
  <si>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</si>
  <si>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</si>
  <si>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</si>
  <si>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</si>
  <si>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</si>
  <si>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</si>
  <si>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</si>
  <si>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</si>
  <si>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</si>
  <si>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</si>
  <si>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</si>
  <si>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</si>
  <si>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</si>
  <si>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</si>
  <si>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</si>
  <si>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</si>
  <si>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</si>
  <si>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</si>
  <si>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</si>
  <si>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</si>
  <si>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</si>
  <si>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</si>
  <si>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</si>
  <si>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</si>
  <si>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</si>
  <si>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</si>
  <si>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</si>
  <si>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</si>
  <si>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</si>
  <si>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</si>
  <si>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</si>
  <si>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</si>
  <si>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</si>
  <si>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</si>
  <si>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</si>
  <si>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</si>
  <si>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</si>
  <si>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</si>
  <si>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</si>
  <si>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</si>
  <si>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</si>
  <si>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</si>
  <si>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</si>
  <si>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</si>
  <si>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</si>
  <si>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</si>
  <si>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</si>
  <si>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</si>
  <si>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</si>
  <si>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</si>
  <si>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</si>
  <si>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</si>
  <si>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</si>
  <si>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</si>
  <si>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</si>
  <si>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</si>
  <si>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</si>
  <si>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</si>
  <si>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</si>
  <si>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</si>
  <si>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</si>
  <si>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</si>
  <si>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</si>
  <si>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</si>
  <si>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</si>
  <si>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</si>
  <si>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</si>
  <si>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</si>
  <si>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</si>
  <si>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</si>
  <si>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</si>
  <si>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</si>
  <si>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</si>
  <si>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</si>
  <si>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</si>
  <si>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</si>
  <si>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</si>
  <si>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</si>
  <si>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</si>
  <si>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</si>
  <si>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</si>
  <si>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</si>
  <si>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</si>
  <si>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</si>
  <si>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</si>
  <si>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</si>
  <si>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</si>
  <si>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</si>
  <si>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</si>
  <si>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</si>
  <si>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</si>
  <si>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</si>
  <si>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</si>
  <si>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</si>
  <si>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</si>
  <si>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</si>
  <si>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</si>
  <si>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</si>
  <si>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</si>
  <si>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</si>
  <si>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</si>
  <si>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</si>
  <si>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</si>
  <si>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</si>
  <si>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</si>
  <si>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</si>
  <si>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</si>
  <si>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</si>
  <si>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</si>
  <si>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</si>
  <si>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</si>
  <si>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</si>
  <si>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</si>
  <si>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</si>
  <si>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</si>
  <si>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</si>
  <si>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</si>
  <si>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</si>
  <si>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</si>
  <si>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</si>
  <si>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</si>
  <si>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</si>
  <si>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</si>
  <si>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</si>
  <si>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</si>
  <si>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</si>
  <si>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</si>
  <si>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</si>
  <si>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</si>
  <si>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</si>
  <si>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</si>
  <si>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</si>
  <si>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</si>
  <si>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</si>
  <si>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</si>
  <si>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</si>
  <si>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</si>
  <si>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</si>
  <si>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</si>
  <si>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</si>
  <si>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</si>
  <si>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</si>
  <si>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</si>
  <si>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</si>
  <si>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</si>
  <si>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</si>
  <si>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</si>
  <si>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</si>
  <si>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</si>
  <si>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</si>
  <si>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</si>
  <si>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</si>
  <si>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</si>
  <si>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</si>
  <si>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</si>
  <si>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</si>
  <si>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</si>
  <si>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</si>
  <si>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</si>
  <si>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</si>
  <si>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</si>
  <si>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</si>
  <si>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</si>
  <si>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</si>
  <si>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</si>
  <si>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</si>
  <si>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</si>
  <si>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</si>
  <si>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</si>
  <si>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</si>
  <si>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</si>
  <si>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</si>
  <si>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</si>
  <si>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</si>
  <si>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</si>
  <si>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</si>
  <si>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</si>
  <si>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</si>
  <si>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</si>
  <si>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</si>
  <si>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</si>
  <si>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</si>
  <si>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</si>
  <si>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</si>
  <si>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</si>
  <si>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</si>
  <si>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</si>
  <si>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</si>
  <si>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</si>
  <si>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</si>
  <si>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</si>
  <si>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</si>
  <si>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</si>
  <si>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</si>
  <si>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</si>
  <si>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</si>
  <si>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</si>
  <si>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</si>
  <si>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</si>
  <si>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</si>
  <si>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</si>
  <si>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</si>
  <si>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</si>
  <si>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</si>
  <si>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</si>
  <si>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</si>
  <si>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</si>
  <si>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</si>
  <si>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</si>
  <si>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</si>
  <si>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</si>
  <si>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</si>
  <si>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</si>
  <si>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</si>
  <si>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</si>
  <si>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</si>
  <si>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</si>
  <si>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</si>
  <si>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</si>
  <si>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</si>
  <si>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</si>
  <si>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</si>
  <si>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</si>
  <si>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</si>
  <si>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</si>
  <si>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</si>
  <si>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</si>
  <si>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</si>
  <si>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</si>
  <si>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</si>
  <si>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</si>
  <si>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</si>
  <si>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</si>
  <si>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</si>
  <si>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</si>
  <si>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</si>
  <si>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</si>
  <si>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</si>
  <si>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</si>
  <si>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</si>
  <si>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</si>
  <si>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</si>
  <si>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</si>
  <si>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</si>
  <si>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</si>
  <si>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</si>
  <si>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</si>
  <si>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</si>
  <si>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</si>
  <si>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</si>
  <si>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</si>
  <si>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</si>
  <si>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</si>
  <si>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</si>
  <si>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</si>
  <si>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</si>
  <si>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</si>
  <si>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</si>
  <si>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</si>
  <si>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</si>
  <si>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</si>
  <si>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</si>
  <si>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</si>
  <si>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</si>
  <si>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</si>
  <si>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</si>
  <si>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</si>
  <si>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</si>
  <si>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</si>
  <si>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</si>
  <si>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</si>
  <si>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</si>
  <si>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</si>
  <si>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</si>
  <si>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</si>
  <si>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</si>
  <si>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</si>
  <si>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</si>
  <si>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</si>
  <si>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</si>
  <si>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</si>
  <si>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</si>
  <si>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</si>
  <si>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</si>
  <si>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</si>
  <si>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</si>
  <si>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</si>
  <si>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</si>
  <si>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</si>
  <si>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</si>
  <si>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</si>
  <si>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</si>
  <si>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</si>
  <si>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</si>
  <si>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</si>
  <si>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</si>
  <si>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</si>
  <si>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</si>
  <si>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</si>
  <si>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</si>
  <si>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</si>
  <si>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</si>
  <si>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</si>
  <si>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</si>
  <si>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</si>
  <si>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</si>
  <si>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</si>
  <si>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</si>
  <si>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</si>
  <si>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</si>
  <si>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</si>
  <si>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</si>
  <si>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</si>
  <si>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</si>
  <si>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</si>
  <si>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</si>
  <si>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</si>
  <si>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</si>
  <si>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</si>
  <si>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</si>
  <si>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</si>
  <si>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</si>
  <si>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</si>
  <si>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</si>
  <si>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</si>
  <si>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</si>
  <si>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</si>
  <si>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</si>
  <si>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</si>
  <si>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</si>
  <si>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</si>
  <si>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</si>
  <si>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</si>
  <si>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</si>
  <si>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</si>
  <si>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</si>
  <si>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</si>
  <si>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</si>
  <si>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</si>
  <si>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</si>
  <si>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</si>
  <si>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</si>
  <si>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</si>
  <si>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</si>
  <si>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</si>
  <si>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</si>
  <si>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</si>
  <si>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</si>
  <si>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</si>
  <si>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</si>
  <si>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</si>
  <si>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</si>
  <si>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</si>
  <si>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</si>
  <si>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</si>
  <si>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</si>
  <si>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</si>
  <si>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</si>
  <si>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</si>
  <si>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</si>
  <si>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</si>
  <si>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</si>
  <si>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</si>
  <si>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</si>
  <si>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</si>
  <si>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</si>
  <si>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</si>
  <si>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</si>
  <si>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</si>
  <si>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</si>
  <si>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</si>
  <si>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</si>
  <si>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</si>
  <si>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</si>
  <si>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</si>
  <si>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</si>
  <si>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</si>
  <si>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</si>
  <si>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</si>
  <si>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</si>
  <si>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</si>
  <si>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</si>
  <si>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</si>
  <si>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</si>
  <si>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</si>
  <si>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</si>
  <si>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</si>
  <si>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</si>
  <si>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</si>
  <si>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</si>
  <si>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</si>
  <si>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</si>
  <si>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</si>
  <si>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</si>
  <si>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</si>
  <si>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</si>
  <si>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</si>
  <si>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</si>
  <si>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</si>
  <si>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</si>
  <si>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</si>
  <si>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</si>
  <si>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</si>
  <si>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</si>
  <si>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</si>
  <si>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</si>
  <si>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</si>
  <si>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</si>
  <si>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</si>
  <si>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</si>
  <si>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</si>
  <si>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</si>
  <si>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</si>
  <si>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</si>
  <si>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</si>
  <si>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</si>
  <si>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</si>
  <si>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</si>
  <si>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</si>
  <si>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</si>
  <si>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</si>
  <si>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</si>
  <si>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</si>
  <si>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</si>
  <si>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</si>
  <si>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</si>
  <si>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</si>
  <si>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</si>
  <si>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</si>
  <si>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</si>
  <si>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</si>
  <si>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</si>
  <si>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</si>
  <si>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</si>
  <si>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</si>
  <si>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</si>
  <si>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</si>
  <si>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</si>
  <si>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</si>
  <si>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</si>
  <si>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</si>
  <si>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</si>
  <si>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</si>
  <si>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</si>
  <si>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</si>
  <si>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</si>
  <si>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</si>
  <si>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</si>
  <si>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</si>
  <si>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</si>
  <si>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</si>
  <si>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</si>
  <si>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</si>
  <si>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</si>
  <si>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</si>
  <si>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</si>
  <si>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</si>
  <si>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</si>
  <si>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</si>
  <si>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</si>
  <si>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</si>
  <si>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</si>
  <si>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</si>
  <si>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</si>
  <si>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</si>
  <si>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</si>
  <si>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</si>
  <si>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</si>
  <si>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</si>
  <si>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</si>
  <si>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</si>
  <si>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</si>
  <si>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</si>
  <si>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</si>
  <si>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</si>
  <si>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</si>
  <si>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</si>
  <si>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</si>
  <si>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</si>
  <si>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</si>
  <si>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</si>
  <si>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</si>
  <si>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</si>
  <si>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</si>
  <si>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</si>
  <si>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</si>
  <si>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</si>
  <si>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</si>
  <si>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</si>
  <si>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</si>
  <si>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</si>
  <si>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</si>
  <si>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</si>
  <si>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</si>
  <si>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</si>
  <si>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</si>
  <si>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</si>
  <si>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</si>
  <si>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</si>
  <si>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</si>
  <si>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</si>
  <si>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</si>
  <si>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</si>
  <si>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</si>
  <si>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</si>
  <si>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</si>
  <si>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</si>
  <si>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</si>
  <si>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</si>
  <si>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</si>
  <si>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</si>
  <si>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</si>
  <si>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</si>
  <si>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</si>
  <si>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</si>
  <si>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</si>
  <si>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</si>
  <si>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</si>
  <si>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</si>
  <si>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</si>
  <si>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</si>
  <si>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</si>
  <si>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</si>
  <si>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</si>
  <si>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</si>
  <si>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</si>
  <si>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</si>
  <si>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</si>
  <si>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</si>
  <si>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</si>
  <si>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</si>
  <si>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</si>
  <si>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</si>
  <si>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</si>
  <si>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</si>
  <si>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</si>
  <si>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</si>
  <si>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</si>
  <si>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</si>
  <si>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</si>
  <si>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</si>
  <si>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</si>
  <si>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</si>
  <si>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</si>
  <si>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</si>
  <si>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</si>
  <si>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</si>
  <si>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</si>
  <si>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</si>
  <si>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</si>
  <si>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</si>
  <si>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</si>
  <si>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</si>
  <si>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</si>
  <si>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</si>
  <si>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</si>
  <si>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</si>
  <si>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</si>
  <si>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</si>
  <si>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</si>
  <si>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</si>
  <si>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</si>
  <si>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</si>
  <si>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</si>
  <si>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</si>
  <si>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</si>
  <si>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</si>
  <si>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</si>
  <si>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</si>
  <si>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</si>
  <si>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</si>
  <si>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</si>
  <si>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</si>
  <si>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</si>
  <si>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</si>
  <si>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</si>
  <si>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</si>
  <si>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</si>
  <si>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</si>
  <si>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</si>
  <si>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</si>
  <si>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</si>
  <si>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</si>
  <si>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</si>
  <si>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</si>
  <si>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</si>
  <si>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</si>
  <si>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</si>
  <si>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</si>
  <si>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</si>
  <si>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</si>
  <si>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</si>
  <si>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</si>
  <si>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</si>
  <si>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</si>
  <si>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</si>
  <si>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</si>
  <si>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</si>
  <si>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</si>
  <si>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</si>
  <si>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</si>
  <si>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</si>
  <si>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</si>
  <si>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</si>
  <si>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</si>
  <si>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</si>
  <si>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</si>
  <si>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</si>
  <si>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</si>
  <si>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</si>
  <si>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</si>
  <si>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</si>
  <si>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</si>
  <si>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</si>
  <si>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</si>
  <si>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</si>
  <si>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</si>
  <si>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</si>
  <si>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</si>
  <si>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</si>
  <si>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</si>
  <si>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</si>
  <si>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</si>
  <si>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</si>
  <si>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</si>
  <si>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</si>
  <si>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</si>
  <si>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</si>
  <si>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</si>
  <si>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</si>
  <si>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</si>
  <si>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</si>
  <si>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</si>
  <si>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</si>
  <si>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</si>
  <si>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</si>
  <si>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</si>
  <si>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</si>
  <si>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</si>
  <si>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</si>
  <si>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</si>
  <si>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</si>
  <si>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</si>
  <si>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</si>
  <si>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</si>
  <si>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</si>
  <si>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</si>
  <si>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</si>
  <si>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</si>
  <si>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</si>
  <si>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</si>
  <si>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</si>
  <si>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</si>
  <si>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</si>
  <si>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</si>
  <si>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</si>
  <si>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</si>
  <si>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</si>
  <si>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</si>
  <si>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</si>
  <si>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</si>
  <si>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</si>
  <si>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</si>
  <si>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</si>
  <si>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</si>
  <si>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</si>
  <si>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</si>
  <si>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</si>
  <si>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</si>
  <si>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</si>
  <si>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</si>
  <si>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</si>
  <si>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</si>
  <si>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</si>
  <si>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</si>
  <si>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</si>
  <si>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</si>
  <si>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</si>
  <si>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</si>
  <si>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</si>
  <si>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</si>
  <si>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</si>
  <si>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</si>
  <si>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</si>
  <si>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</si>
  <si>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</si>
  <si>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</si>
  <si>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</si>
  <si>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</si>
  <si>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</si>
  <si>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</si>
  <si>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</si>
  <si>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</si>
  <si>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</si>
  <si>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</si>
  <si>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</si>
  <si>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</si>
  <si>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</si>
  <si>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</si>
  <si>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</si>
  <si>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</si>
  <si>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</si>
  <si>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</si>
  <si>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</si>
  <si>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</si>
  <si>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</si>
  <si>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</si>
  <si>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</si>
  <si>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</si>
  <si>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</si>
  <si>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</si>
  <si>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</si>
  <si>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</si>
  <si>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</si>
  <si>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</si>
  <si>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</si>
  <si>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</si>
  <si>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</si>
  <si>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</si>
  <si>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</si>
  <si>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</si>
  <si>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</si>
  <si>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</si>
  <si>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</si>
  <si>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</si>
  <si>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</si>
  <si>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</si>
  <si>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</si>
  <si>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</si>
  <si>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</si>
  <si>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</si>
  <si>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</si>
  <si>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</si>
  <si>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</si>
  <si>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</si>
  <si>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</si>
  <si>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</si>
  <si>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</si>
  <si>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</si>
  <si>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</si>
  <si>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</si>
  <si>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</si>
  <si>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</si>
  <si>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</si>
  <si>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</si>
  <si>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</si>
  <si>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</si>
  <si>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</si>
  <si>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</si>
  <si>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</si>
  <si>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</si>
  <si>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</si>
  <si>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</si>
  <si>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</si>
  <si>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</si>
  <si>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</si>
  <si>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</si>
  <si>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</si>
  <si>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</si>
  <si>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</si>
  <si>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</si>
  <si>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</si>
  <si>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</si>
  <si>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</si>
  <si>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</si>
  <si>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</si>
  <si>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</si>
  <si>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</si>
  <si>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</si>
  <si>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</si>
  <si>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</si>
  <si>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</si>
  <si>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</si>
  <si>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</si>
  <si>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</si>
  <si>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</si>
  <si>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</si>
  <si>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</si>
  <si>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</si>
  <si>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</si>
  <si>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</si>
  <si>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</si>
  <si>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</si>
  <si>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</si>
  <si>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</si>
  <si>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</si>
  <si>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</si>
  <si>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</si>
  <si>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</si>
  <si>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</si>
  <si>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</si>
  <si>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</si>
  <si>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</si>
  <si>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</si>
  <si>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</si>
  <si>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</si>
  <si>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</si>
  <si>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</si>
  <si>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</si>
  <si>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</si>
  <si>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</si>
  <si>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</si>
  <si>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</si>
  <si>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</si>
  <si>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</si>
  <si>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</si>
  <si>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</si>
  <si>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</si>
  <si>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</si>
  <si>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</si>
  <si>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</si>
  <si>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</si>
  <si>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</si>
  <si>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</si>
  <si>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</si>
  <si>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</si>
  <si>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</si>
  <si>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</si>
  <si>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</si>
  <si>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</si>
  <si>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</si>
  <si>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</si>
  <si>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</si>
  <si>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</si>
  <si>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</si>
  <si>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</si>
  <si>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</si>
  <si>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</si>
  <si>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</si>
  <si>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</si>
  <si>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</si>
  <si>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</si>
  <si>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</si>
  <si>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</si>
  <si>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</si>
  <si>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</si>
  <si>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</si>
  <si>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</si>
  <si>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</si>
  <si>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</si>
  <si>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</si>
  <si>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</si>
  <si>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</si>
  <si>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</si>
  <si>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</si>
  <si>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</si>
  <si>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</si>
  <si>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</si>
  <si>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</si>
  <si>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</si>
  <si>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</si>
  <si>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</si>
  <si>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</si>
  <si>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</si>
  <si>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</si>
  <si>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</si>
  <si>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</si>
  <si>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</si>
  <si>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</si>
  <si>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</si>
  <si>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</si>
  <si>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</si>
  <si>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</si>
  <si>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</si>
  <si>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</si>
  <si>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</si>
  <si>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</si>
  <si>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</si>
  <si>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</si>
  <si>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</si>
  <si>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</si>
  <si>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</si>
  <si>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</si>
  <si>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</si>
  <si>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</si>
  <si>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</si>
  <si>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</si>
  <si>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</si>
  <si>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</si>
  <si>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</si>
  <si>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</si>
  <si>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</si>
  <si>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</si>
  <si>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</si>
  <si>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</si>
  <si>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</si>
  <si>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</si>
  <si>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</si>
  <si>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</si>
  <si>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</si>
  <si>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</si>
  <si>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</si>
  <si>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</si>
  <si>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</si>
  <si>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</si>
  <si>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</si>
  <si>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</si>
  <si>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</si>
  <si>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</si>
  <si>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</si>
  <si>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</si>
  <si>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</si>
  <si>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</si>
  <si>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</si>
  <si>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</si>
  <si>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</si>
  <si>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</si>
  <si>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</si>
  <si>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</si>
  <si>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</si>
  <si>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</si>
  <si>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</si>
  <si>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</si>
  <si>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</si>
  <si>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</si>
  <si>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</si>
  <si>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</si>
  <si>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</si>
  <si>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</si>
  <si>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</si>
  <si>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</si>
  <si>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</si>
  <si>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</si>
  <si>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</si>
  <si>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</si>
  <si>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</si>
  <si>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</si>
  <si>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</si>
  <si>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</si>
  <si>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</si>
  <si>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</si>
  <si>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</si>
  <si>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</si>
  <si>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</si>
  <si>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</si>
  <si>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</si>
  <si>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</si>
  <si>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</si>
  <si>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</si>
  <si>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</si>
  <si>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</si>
  <si>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</si>
  <si>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</si>
  <si>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</si>
  <si>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</si>
  <si>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</si>
  <si>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</si>
  <si>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</si>
  <si>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</si>
  <si>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</si>
  <si>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</si>
  <si>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</si>
  <si>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</si>
  <si>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</si>
  <si>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</si>
  <si>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</si>
  <si>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</si>
  <si>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</si>
  <si>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</si>
  <si>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</si>
  <si>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</si>
  <si>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</si>
  <si>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</si>
  <si>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</si>
  <si>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</si>
  <si>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</si>
  <si>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</si>
  <si>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</si>
  <si>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</si>
  <si>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</si>
  <si>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</si>
  <si>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</si>
  <si>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</si>
  <si>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</si>
  <si>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</si>
  <si>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</si>
  <si>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</si>
  <si>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</si>
  <si>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</si>
  <si>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</si>
  <si>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</si>
  <si>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</si>
  <si>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</si>
  <si>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</si>
  <si>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</si>
  <si>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</si>
  <si>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</si>
  <si>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</si>
  <si>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</si>
  <si>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</si>
  <si>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</si>
  <si>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</si>
  <si>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</si>
  <si>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</si>
  <si>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</si>
  <si>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</si>
  <si>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</si>
  <si>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</si>
  <si>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</si>
  <si>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</si>
  <si>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</si>
  <si>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</si>
  <si>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</si>
  <si>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</si>
  <si>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</si>
  <si>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</si>
  <si>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</si>
  <si>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</si>
  <si>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</si>
  <si>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</si>
  <si>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</si>
  <si>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</si>
  <si>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</si>
  <si>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</si>
  <si>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</si>
  <si>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</si>
  <si>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</si>
  <si>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</si>
  <si>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</si>
  <si>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</si>
  <si>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</si>
  <si>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</si>
  <si>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</si>
  <si>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</si>
  <si>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</si>
  <si>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</si>
  <si>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</si>
  <si>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</si>
  <si>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</si>
  <si>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</si>
  <si>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</si>
  <si>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</si>
  <si>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</si>
  <si>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</si>
  <si>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</si>
  <si>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</si>
  <si>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</si>
  <si>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</si>
  <si>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</si>
  <si>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</si>
  <si>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</si>
  <si>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</si>
  <si>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</si>
  <si>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</si>
  <si>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</si>
  <si>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</si>
  <si>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</si>
  <si>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</si>
  <si>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</si>
  <si>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</si>
  <si>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</si>
  <si>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</si>
  <si>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</si>
  <si>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</si>
  <si>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</si>
  <si>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</si>
  <si>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</si>
  <si>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</si>
  <si>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</si>
  <si>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</si>
  <si>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</si>
  <si>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</si>
  <si>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</si>
  <si>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</si>
  <si>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</si>
  <si>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</si>
  <si>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</si>
  <si>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</si>
  <si>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</si>
  <si>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</si>
  <si>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</si>
  <si>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</si>
  <si>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</si>
  <si>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</si>
  <si>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</si>
  <si>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</si>
  <si>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</si>
  <si>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</si>
  <si>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</si>
  <si>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</si>
  <si>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</si>
  <si>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</si>
  <si>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</si>
  <si>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</si>
  <si>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</si>
  <si>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</si>
  <si>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</si>
  <si>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</si>
  <si>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</si>
  <si>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</si>
  <si>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</si>
  <si>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</si>
  <si>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</si>
  <si>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</si>
  <si>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</si>
  <si>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</si>
  <si>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</si>
  <si>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</si>
  <si>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</si>
  <si>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</si>
  <si>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</si>
  <si>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</si>
  <si>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</si>
  <si>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</si>
  <si>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</si>
  <si>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</si>
  <si>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</si>
  <si>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</si>
  <si>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</si>
  <si>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</si>
  <si>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</si>
  <si>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</si>
  <si>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</si>
  <si>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</si>
  <si>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</si>
  <si>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</si>
  <si>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</si>
  <si>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</si>
  <si>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</si>
  <si>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</si>
  <si>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</si>
  <si>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</si>
  <si>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</si>
  <si>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</si>
  <si>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</si>
  <si>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</si>
  <si>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</si>
  <si>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</si>
  <si>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</si>
  <si>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</si>
  <si>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</si>
  <si>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</si>
  <si>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</si>
  <si>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</si>
  <si>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</si>
  <si>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</si>
  <si>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</si>
  <si>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</si>
  <si>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</si>
  <si>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</si>
  <si>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</si>
  <si>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</si>
  <si>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</si>
  <si>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</si>
  <si>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</si>
  <si>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</si>
  <si>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</si>
  <si>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</si>
  <si>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</si>
  <si>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</si>
  <si>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</si>
  <si>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</si>
  <si>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</si>
  <si>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</si>
  <si>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</si>
  <si>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</si>
  <si>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</si>
  <si>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</si>
  <si>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</si>
  <si>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</si>
  <si>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</si>
  <si>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</si>
  <si>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</si>
  <si>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</si>
  <si>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</si>
  <si>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</si>
  <si>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</si>
  <si>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</si>
  <si>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</si>
  <si>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</si>
  <si>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</si>
  <si>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</si>
  <si>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</si>
  <si>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</si>
  <si>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</si>
  <si>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</si>
  <si>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</si>
  <si>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</si>
  <si>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</si>
  <si>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</si>
  <si>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</si>
  <si>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</si>
  <si>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</si>
  <si>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</si>
  <si>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</si>
  <si>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</si>
  <si>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</si>
  <si>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</si>
  <si>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</si>
  <si>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</si>
  <si>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</si>
  <si>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</si>
  <si>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</si>
  <si>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</si>
  <si>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</si>
  <si>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</si>
  <si>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</si>
  <si>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</si>
  <si>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</si>
  <si>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</si>
  <si>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</si>
  <si>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</si>
  <si>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</si>
  <si>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</si>
  <si>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</si>
  <si>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</si>
  <si>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</si>
  <si>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</si>
  <si>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</si>
  <si>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</si>
  <si>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</si>
  <si>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</si>
  <si>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</si>
  <si>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</si>
  <si>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</si>
  <si>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</si>
  <si>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</si>
  <si>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</si>
  <si>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</si>
  <si>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</si>
  <si>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</si>
  <si>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</si>
  <si>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</si>
  <si>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</si>
  <si>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</si>
  <si>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</si>
  <si>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</si>
  <si>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</si>
  <si>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</si>
  <si>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</si>
  <si>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</si>
  <si>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</si>
  <si>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</si>
  <si>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</si>
  <si>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</si>
  <si>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</si>
  <si>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</si>
  <si>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</si>
  <si>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</si>
  <si>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</si>
  <si>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</si>
  <si>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</si>
  <si>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</si>
  <si>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</si>
  <si>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</si>
  <si>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</si>
  <si>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</si>
  <si>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</si>
  <si>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</si>
  <si>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</si>
  <si>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</si>
  <si>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</si>
  <si>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</si>
  <si>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</si>
  <si>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</si>
  <si>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</si>
  <si>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</si>
  <si>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</si>
  <si>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</si>
  <si>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</si>
  <si>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</si>
  <si>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</si>
  <si>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</si>
  <si>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</si>
  <si>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</si>
  <si>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</si>
  <si>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</si>
  <si>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</si>
  <si>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</si>
  <si>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</si>
  <si>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</si>
  <si>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</si>
  <si>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</si>
  <si>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</si>
  <si>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</si>
  <si>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</si>
  <si>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</si>
  <si>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</si>
  <si>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</si>
  <si>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</si>
  <si>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</si>
  <si>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</si>
  <si>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</si>
  <si>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</si>
  <si>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</si>
  <si>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</si>
  <si>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</si>
  <si>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</si>
  <si>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</si>
  <si>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</si>
  <si>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</si>
  <si>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</si>
  <si>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</si>
  <si>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</si>
  <si>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</si>
  <si>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</si>
  <si>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</si>
  <si>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</si>
  <si>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</si>
  <si>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</si>
  <si>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</si>
  <si>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</si>
  <si>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</si>
  <si>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</si>
  <si>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</si>
  <si>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</si>
  <si>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</si>
  <si>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</si>
  <si>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</si>
  <si>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</si>
  <si>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</si>
  <si>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</si>
  <si>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</si>
  <si>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</si>
  <si>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</si>
  <si>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</si>
  <si>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</si>
  <si>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</si>
  <si>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</si>
  <si>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</si>
  <si>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</si>
  <si>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</si>
  <si>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</si>
  <si>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</si>
  <si>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</si>
  <si>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</si>
  <si>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</si>
  <si>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</si>
  <si>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</si>
  <si>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</si>
  <si>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</si>
  <si>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</si>
  <si>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</si>
  <si>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</si>
  <si>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</si>
  <si>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</si>
  <si>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</si>
  <si>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</si>
  <si>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</si>
  <si>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</si>
  <si>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</si>
  <si>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</si>
  <si>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</si>
  <si>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</si>
  <si>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</si>
  <si>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</si>
  <si>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</si>
  <si>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</si>
  <si>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</si>
  <si>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</si>
  <si>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</si>
  <si>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</si>
  <si>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</si>
  <si>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</si>
  <si>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</si>
  <si>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</si>
  <si>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</si>
  <si>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</si>
  <si>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</si>
  <si>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</si>
  <si>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</si>
  <si>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</si>
  <si>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</si>
  <si>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</si>
  <si>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</si>
  <si>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</si>
  <si>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</si>
  <si>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</si>
  <si>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</si>
  <si>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</si>
  <si>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</si>
  <si>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</si>
  <si>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</si>
  <si>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</si>
  <si>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</si>
  <si>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</si>
  <si>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</si>
  <si>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</si>
  <si>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</si>
  <si>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</si>
  <si>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</si>
  <si>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</si>
  <si>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</si>
  <si>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</si>
  <si>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</si>
  <si>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</si>
  <si>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</si>
  <si>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</si>
  <si>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</si>
  <si>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</si>
  <si>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</si>
  <si>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</si>
  <si>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</si>
  <si>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</si>
  <si>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</si>
  <si>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</si>
  <si>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</si>
  <si>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</si>
  <si>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</si>
  <si>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</si>
  <si>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</si>
  <si>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</si>
  <si>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</si>
  <si>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</si>
  <si>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</si>
  <si>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</si>
  <si>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</si>
  <si>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</si>
  <si>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</si>
  <si>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</si>
  <si>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</si>
  <si>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</si>
  <si>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</si>
  <si>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</si>
  <si>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</si>
  <si>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</si>
  <si>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</si>
  <si>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</si>
  <si>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</si>
  <si>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</si>
  <si>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</si>
  <si>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</si>
  <si>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</si>
  <si>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</si>
  <si>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</si>
  <si>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</si>
  <si>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</si>
  <si>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</si>
  <si>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</si>
  <si>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</si>
  <si>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</si>
  <si>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</si>
  <si>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</si>
  <si>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</si>
  <si>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</si>
  <si>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</si>
  <si>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</si>
  <si>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</si>
  <si>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</si>
  <si>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</si>
  <si>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</si>
  <si>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</si>
  <si>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</si>
  <si>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</si>
  <si>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</si>
  <si>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</si>
  <si>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</si>
  <si>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</si>
  <si>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</si>
  <si>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</si>
  <si>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</si>
  <si>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</si>
  <si>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</si>
  <si>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</si>
  <si>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</si>
  <si>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</si>
  <si>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</si>
  <si>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</si>
  <si>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</si>
  <si>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</si>
  <si>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</si>
  <si>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</si>
  <si>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</si>
  <si>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</si>
  <si>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</si>
  <si>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</si>
  <si>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</si>
  <si>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</si>
  <si>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</si>
  <si>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</si>
  <si>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</si>
  <si>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</si>
  <si>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</si>
  <si>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</si>
  <si>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</si>
  <si>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</si>
  <si>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</si>
  <si>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</si>
  <si>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</si>
  <si>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</si>
  <si>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</si>
  <si>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</si>
  <si>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</si>
  <si>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</si>
  <si>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</si>
  <si>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</si>
  <si>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</si>
  <si>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</si>
  <si>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</si>
  <si>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</si>
  <si>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</si>
  <si>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</si>
  <si>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</si>
  <si>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</si>
  <si>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</si>
  <si>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</si>
  <si>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</si>
  <si>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</si>
  <si>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</si>
  <si>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</si>
  <si>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</si>
  <si>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</si>
  <si>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</si>
  <si>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</si>
  <si>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</si>
  <si>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</si>
  <si>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</si>
  <si>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</si>
  <si>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</si>
  <si>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</si>
  <si>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</si>
  <si>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</si>
  <si>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</si>
  <si>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</si>
  <si>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</si>
  <si>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</si>
  <si>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</si>
  <si>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</si>
  <si>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</si>
  <si>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</si>
  <si>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</si>
  <si>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</si>
  <si>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</si>
  <si>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</si>
  <si>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</si>
  <si>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</si>
  <si>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</si>
  <si>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</si>
  <si>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</si>
  <si>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</si>
  <si>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</si>
  <si>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</si>
  <si>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</si>
  <si>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</si>
  <si>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</si>
  <si>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</si>
  <si>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</si>
  <si>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</si>
  <si>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</si>
  <si>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</si>
  <si>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</si>
  <si>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</si>
  <si>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</si>
  <si>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</si>
  <si>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</si>
  <si>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</si>
  <si>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</si>
  <si>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</si>
  <si>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</si>
  <si>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</si>
  <si>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</si>
  <si>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</si>
  <si>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</si>
  <si>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</si>
  <si>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</si>
  <si>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</si>
  <si>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</si>
  <si>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</si>
  <si>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</si>
  <si>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</si>
  <si>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</si>
  <si>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</si>
  <si>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</si>
  <si>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</si>
  <si>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</si>
  <si>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</si>
  <si>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</si>
  <si>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</si>
  <si>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</si>
  <si>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</si>
  <si>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</si>
  <si>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</si>
  <si>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</si>
  <si>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</si>
  <si>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</si>
  <si>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</si>
  <si>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</si>
  <si>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</si>
  <si>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</si>
  <si>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</si>
  <si>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</si>
  <si>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</si>
  <si>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</si>
  <si>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</si>
  <si>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</si>
  <si>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</si>
  <si>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</si>
  <si>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</si>
  <si>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</si>
  <si>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</si>
  <si>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</si>
  <si>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</si>
  <si>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</si>
  <si>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</si>
  <si>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</si>
  <si>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</si>
  <si>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</si>
  <si>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</si>
  <si>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</si>
  <si>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</si>
  <si>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</si>
  <si>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</si>
  <si>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</si>
  <si>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</si>
  <si>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</si>
  <si>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</si>
  <si>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</si>
  <si>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</si>
  <si>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</si>
  <si>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</si>
  <si>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</si>
  <si>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</si>
  <si>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</si>
  <si>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</si>
  <si>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</si>
  <si>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</si>
  <si>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</si>
  <si>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</si>
  <si>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</si>
  <si>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</si>
  <si>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</si>
  <si>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</si>
  <si>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</si>
  <si>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</si>
  <si>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</si>
  <si>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</si>
  <si>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</si>
  <si>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</si>
  <si>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</si>
  <si>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</si>
  <si>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</si>
  <si>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</si>
  <si>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</si>
  <si>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</si>
  <si>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</si>
  <si>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</si>
  <si>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</si>
  <si>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</si>
  <si>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</si>
  <si>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</si>
  <si>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</si>
  <si>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</si>
  <si>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</si>
  <si>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</si>
  <si>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</si>
  <si>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</si>
  <si>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</si>
  <si>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</si>
  <si>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</si>
  <si>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</si>
  <si>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</si>
  <si>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</si>
  <si>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</si>
  <si>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</si>
  <si>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</si>
  <si>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</si>
  <si>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</si>
  <si>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</si>
  <si>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</si>
  <si>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</si>
  <si>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</si>
  <si>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</si>
  <si>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</si>
  <si>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</si>
  <si>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</si>
  <si>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</si>
  <si>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</si>
  <si>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</si>
  <si>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</si>
  <si>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</si>
  <si>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</si>
  <si>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</si>
  <si>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</si>
  <si>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</si>
  <si>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</si>
  <si>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</si>
  <si>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</si>
  <si>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</si>
  <si>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</si>
  <si>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</si>
  <si>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</si>
  <si>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</si>
  <si>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</si>
  <si>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</si>
  <si>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</si>
  <si>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</si>
  <si>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</si>
  <si>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</si>
  <si>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</si>
  <si>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</si>
  <si>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</si>
  <si>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</si>
  <si>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</si>
  <si>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</si>
  <si>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</si>
  <si>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</si>
  <si>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</si>
  <si>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</si>
  <si>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</si>
  <si>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</si>
  <si>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</si>
  <si>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</si>
  <si>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</si>
  <si>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</si>
  <si>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</si>
  <si>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</si>
  <si>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</si>
  <si>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</si>
  <si>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</si>
  <si>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</si>
  <si>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</si>
  <si>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</si>
  <si>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</si>
  <si>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</si>
  <si>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</si>
  <si>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</si>
  <si>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</si>
  <si>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</si>
  <si>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</si>
  <si>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</si>
  <si>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</si>
  <si>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</si>
  <si>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</si>
  <si>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</si>
  <si>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</si>
  <si>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</si>
  <si>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</si>
  <si>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</si>
  <si>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</si>
  <si>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</si>
  <si>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</si>
  <si>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</si>
  <si>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</si>
  <si>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</si>
  <si>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</si>
  <si>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</si>
  <si>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</si>
  <si>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</si>
  <si>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</si>
  <si>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</si>
  <si>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</si>
  <si>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</si>
  <si>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</si>
  <si>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</si>
  <si>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</si>
  <si>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</si>
  <si>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</si>
  <si>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</si>
  <si>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</si>
  <si>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</si>
  <si>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</si>
  <si>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</si>
  <si>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</si>
  <si>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</si>
  <si>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</si>
  <si>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</si>
  <si>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</si>
  <si>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</si>
  <si>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</si>
  <si>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</si>
  <si>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</si>
  <si>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</si>
  <si>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</si>
  <si>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</si>
  <si>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</si>
  <si>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</si>
  <si>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</si>
  <si>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</si>
  <si>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</si>
  <si>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</si>
  <si>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</si>
  <si>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</si>
  <si>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</si>
  <si>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</si>
  <si>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</si>
  <si>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</si>
  <si>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</si>
  <si>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</si>
  <si>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</si>
  <si>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</si>
  <si>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</si>
  <si>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</si>
  <si>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</si>
  <si>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</si>
  <si>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</si>
  <si>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</si>
  <si>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</si>
  <si>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</si>
  <si>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</si>
  <si>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</si>
  <si>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</si>
  <si>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</si>
  <si>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</si>
  <si>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</si>
  <si>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</si>
  <si>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</si>
  <si>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</si>
  <si>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</si>
  <si>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</si>
  <si>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</si>
  <si>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</si>
  <si>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</si>
  <si>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</si>
  <si>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</si>
  <si>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</si>
  <si>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</si>
  <si>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</si>
  <si>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</si>
  <si>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</si>
  <si>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</si>
  <si>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</si>
  <si>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</si>
  <si>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</si>
  <si>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</si>
  <si>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</si>
  <si>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</si>
  <si>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</si>
  <si>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</si>
  <si>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</si>
  <si>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</si>
  <si>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</si>
  <si>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</si>
  <si>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</si>
  <si>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</si>
  <si>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</si>
  <si>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</si>
  <si>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</si>
  <si>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</si>
  <si>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</si>
  <si>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</si>
  <si>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</si>
  <si>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</si>
  <si>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</si>
  <si>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</si>
  <si>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</si>
  <si>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</si>
  <si>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</si>
  <si>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</si>
  <si>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</si>
  <si>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</si>
  <si>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</si>
  <si>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</si>
  <si>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</si>
  <si>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</si>
  <si>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</si>
  <si>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</si>
  <si>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</si>
  <si>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</si>
  <si>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</si>
  <si>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</si>
  <si>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</si>
  <si>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</si>
  <si>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</si>
  <si>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</si>
  <si>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</si>
  <si>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</si>
  <si>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</si>
  <si>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</si>
  <si>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</si>
  <si>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</si>
  <si>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</si>
  <si>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</si>
  <si>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</si>
  <si>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</si>
  <si>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</si>
  <si>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</si>
  <si>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</si>
  <si>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</si>
  <si>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</si>
  <si>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</si>
  <si>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</si>
  <si>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</si>
  <si>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</si>
  <si>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</si>
  <si>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</si>
  <si>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</si>
  <si>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</si>
  <si>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</si>
  <si>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</si>
  <si>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</si>
  <si>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</si>
  <si>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</si>
  <si>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</si>
  <si>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</si>
  <si>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</si>
  <si>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</si>
  <si>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</si>
  <si>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</si>
  <si>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</si>
  <si>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</si>
  <si>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</si>
  <si>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</si>
  <si>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</si>
  <si>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</si>
  <si>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</si>
  <si>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</si>
  <si>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</si>
  <si>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</si>
  <si>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</si>
  <si>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</si>
  <si>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</si>
  <si>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</si>
  <si>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</si>
  <si>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</si>
  <si>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</si>
  <si>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</si>
  <si>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</si>
  <si>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</si>
  <si>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</si>
  <si>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</si>
  <si>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</si>
  <si>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</si>
  <si>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</si>
  <si>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</si>
  <si>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</si>
  <si>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</si>
  <si>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</si>
  <si>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</si>
  <si>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</si>
  <si>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</si>
  <si>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</si>
  <si>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</si>
  <si>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</si>
  <si>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</si>
  <si>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</si>
  <si>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</si>
  <si>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</si>
  <si>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</si>
  <si>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</si>
  <si>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</si>
  <si>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</si>
  <si>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</si>
  <si>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</si>
  <si>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</si>
  <si>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</si>
  <si>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</si>
  <si>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</si>
  <si>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</si>
  <si>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</si>
  <si>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</si>
  <si>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</si>
  <si>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</si>
  <si>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</si>
  <si>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</si>
  <si>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</si>
  <si>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</si>
  <si>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</si>
  <si>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</si>
  <si>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</si>
  <si>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</si>
  <si>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</si>
  <si>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</si>
  <si>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</si>
  <si>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</si>
  <si>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</si>
  <si>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</si>
  <si>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</si>
  <si>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</si>
  <si>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</si>
  <si>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</si>
  <si>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</si>
  <si>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</si>
  <si>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</si>
  <si>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</si>
  <si>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</si>
  <si>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</si>
  <si>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</si>
  <si>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</si>
  <si>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</si>
  <si>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</si>
  <si>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</si>
  <si>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</si>
  <si>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</si>
  <si>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</si>
  <si>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</si>
  <si>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</si>
  <si>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</si>
  <si>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</si>
  <si>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</si>
  <si>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</si>
  <si>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</si>
  <si>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</si>
  <si>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</si>
  <si>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</si>
  <si>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</si>
  <si>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</si>
  <si>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</si>
  <si>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</si>
  <si>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</si>
  <si>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</si>
  <si>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</si>
  <si>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</si>
  <si>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</si>
  <si>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</si>
  <si>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</si>
  <si>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</si>
  <si>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</si>
  <si>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</si>
  <si>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</si>
  <si>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</si>
  <si>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</si>
  <si>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</si>
  <si>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</si>
  <si>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</si>
  <si>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</si>
  <si>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</si>
  <si>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</si>
  <si>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</si>
  <si>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</si>
  <si>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</si>
  <si>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</si>
  <si>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</si>
  <si>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</si>
  <si>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</si>
  <si>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</si>
  <si>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</si>
  <si>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</si>
  <si>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</si>
  <si>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</si>
  <si>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</si>
  <si>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</si>
  <si>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</si>
  <si>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</si>
  <si>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</si>
  <si>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</si>
  <si>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</si>
  <si>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</si>
  <si>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</si>
  <si>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</si>
  <si>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</si>
  <si>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</si>
  <si>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</si>
  <si>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</si>
  <si>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</si>
  <si>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</si>
  <si>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</si>
  <si>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</si>
  <si>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</si>
  <si>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</si>
  <si>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</si>
  <si>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</si>
  <si>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</si>
  <si>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</si>
  <si>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</si>
  <si>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</si>
  <si>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</si>
  <si>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</si>
  <si>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</si>
  <si>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</si>
  <si>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</si>
  <si>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</si>
  <si>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</si>
  <si>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</si>
  <si>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</si>
  <si>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</si>
  <si>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</si>
  <si>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</si>
  <si>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</si>
  <si>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</si>
  <si>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</si>
  <si>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</si>
  <si>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</si>
  <si>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</si>
  <si>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</si>
  <si>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</si>
  <si>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</si>
  <si>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</si>
  <si>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</si>
  <si>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</si>
  <si>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</si>
  <si>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</si>
  <si>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</si>
  <si>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</si>
  <si>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</si>
  <si>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</si>
  <si>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</si>
  <si>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</si>
  <si>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</si>
  <si>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</si>
  <si>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</si>
  <si>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</si>
  <si>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</si>
  <si>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</si>
  <si>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</si>
  <si>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</si>
  <si>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</si>
  <si>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</si>
  <si>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</si>
  <si>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</si>
  <si>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</si>
  <si>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</si>
  <si>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</si>
  <si>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</si>
  <si>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</si>
  <si>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</si>
  <si>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</si>
  <si>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</si>
  <si>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</si>
  <si>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</si>
  <si>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</si>
  <si>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</si>
  <si>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</si>
  <si>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</si>
  <si>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</si>
  <si>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</si>
  <si>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</si>
  <si>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</si>
  <si>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</si>
  <si>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</si>
  <si>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</si>
  <si>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</si>
  <si>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</si>
  <si>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</si>
  <si>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</si>
  <si>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</si>
  <si>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</si>
  <si>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</si>
  <si>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</si>
  <si>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</si>
  <si>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</si>
  <si>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</si>
  <si>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</si>
  <si>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</si>
  <si>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</si>
  <si>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</si>
  <si>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</si>
  <si>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</si>
  <si>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</si>
  <si>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</si>
  <si>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</si>
  <si>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</si>
  <si>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</si>
  <si>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</si>
  <si>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</si>
  <si>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</si>
  <si>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</si>
  <si>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</si>
  <si>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</si>
  <si>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</si>
  <si>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</si>
  <si>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</si>
  <si>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</si>
  <si>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</si>
  <si>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</si>
  <si>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</si>
  <si>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</si>
  <si>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</si>
  <si>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</si>
  <si>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</si>
  <si>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</si>
  <si>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</si>
  <si>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</si>
  <si>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</si>
  <si>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</si>
  <si>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</si>
  <si>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</si>
  <si>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</si>
  <si>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</si>
  <si>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</si>
  <si>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</si>
  <si>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</si>
  <si>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</si>
  <si>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</si>
  <si>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</si>
  <si>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</si>
  <si>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</si>
  <si>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</si>
  <si>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</si>
  <si>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</si>
  <si>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</si>
  <si>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</si>
  <si>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</si>
  <si>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</si>
  <si>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</si>
  <si>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</si>
  <si>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</si>
  <si>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</si>
  <si>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</si>
  <si>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</si>
  <si>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</si>
  <si>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</si>
  <si>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</si>
  <si>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</si>
  <si>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</si>
  <si>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</si>
  <si>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</si>
  <si>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</si>
  <si>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</si>
  <si>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</si>
  <si>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</si>
  <si>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</si>
  <si>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</si>
  <si>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</si>
  <si>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</si>
  <si>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</si>
  <si>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</si>
  <si>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</si>
  <si>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</si>
  <si>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</si>
  <si>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</si>
  <si>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</si>
  <si>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</si>
  <si>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</si>
  <si>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</si>
  <si>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</si>
  <si>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</si>
  <si>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</si>
  <si>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</si>
  <si>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</si>
  <si>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</si>
  <si>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</si>
  <si>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</si>
  <si>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</si>
  <si>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</si>
  <si>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</si>
  <si>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</si>
  <si>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</si>
  <si>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</si>
  <si>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</si>
  <si>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</si>
  <si>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</si>
  <si>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</si>
  <si>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</si>
  <si>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</si>
  <si>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</si>
  <si>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</si>
  <si>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</si>
  <si>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</si>
  <si>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</si>
  <si>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</si>
  <si>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</si>
  <si>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</si>
  <si>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</si>
  <si>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</si>
  <si>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</si>
  <si>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</si>
  <si>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</si>
  <si>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</si>
  <si>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</si>
  <si>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</si>
  <si>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</si>
  <si>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</si>
  <si>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</si>
  <si>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</si>
  <si>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</si>
  <si>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</si>
  <si>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</si>
  <si>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</si>
  <si>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</si>
  <si>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</si>
  <si>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</si>
  <si>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</si>
  <si>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</si>
  <si>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</si>
  <si>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</si>
  <si>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</si>
  <si>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</si>
  <si>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</si>
  <si>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</si>
  <si>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</si>
  <si>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</si>
  <si>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</si>
  <si>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</si>
  <si>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</si>
  <si>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</si>
  <si>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</si>
  <si>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</si>
  <si>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</si>
  <si>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</si>
  <si>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</si>
  <si>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</si>
  <si>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</si>
  <si>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</si>
  <si>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</si>
  <si>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</si>
  <si>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</si>
  <si>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</si>
  <si>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</si>
  <si>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</si>
  <si>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</si>
  <si>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</si>
  <si>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</si>
  <si>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</si>
  <si>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</si>
  <si>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</si>
  <si>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</si>
  <si>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</si>
  <si>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</si>
  <si>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</si>
  <si>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</si>
  <si>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</si>
  <si>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</si>
  <si>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</si>
  <si>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</si>
  <si>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</si>
  <si>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</si>
  <si>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</si>
  <si>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</si>
  <si>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</si>
  <si>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</si>
  <si>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</si>
  <si>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</si>
  <si>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</si>
  <si>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</si>
  <si>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</si>
  <si>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</si>
  <si>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</si>
  <si>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</si>
  <si>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</si>
  <si>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</si>
  <si>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</si>
  <si>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</si>
  <si>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</si>
  <si>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</si>
  <si>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</si>
  <si>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</si>
  <si>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</si>
  <si>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</si>
  <si>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</si>
  <si>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</si>
  <si>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</si>
  <si>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</si>
  <si>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</si>
  <si>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</si>
  <si>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</si>
  <si>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</si>
  <si>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</si>
  <si>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</si>
  <si>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</si>
  <si>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</si>
  <si>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</si>
  <si>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</si>
  <si>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</si>
  <si>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</si>
  <si>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</si>
  <si>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</si>
  <si>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</si>
  <si>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</si>
  <si>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</si>
  <si>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</si>
  <si>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</si>
  <si>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</si>
  <si>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</si>
  <si>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</si>
  <si>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</si>
  <si>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</si>
  <si>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</si>
  <si>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</si>
  <si>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</si>
  <si>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</si>
  <si>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</si>
  <si>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</si>
  <si>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</si>
  <si>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</si>
  <si>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</si>
  <si>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</si>
  <si>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</si>
  <si>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</si>
  <si>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</si>
  <si>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</si>
  <si>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</si>
  <si>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</si>
  <si>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</si>
  <si>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</si>
  <si>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</si>
  <si>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</si>
  <si>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</si>
  <si>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</si>
  <si>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</si>
  <si>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</si>
  <si>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</si>
  <si>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</si>
  <si>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</si>
  <si>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</si>
  <si>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</si>
  <si>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</si>
  <si>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</si>
  <si>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</si>
  <si>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</si>
  <si>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</si>
  <si>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</si>
  <si>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</si>
  <si>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</si>
  <si>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</si>
  <si>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</si>
  <si>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</si>
  <si>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</si>
  <si>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</si>
  <si>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</si>
  <si>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</si>
  <si>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</si>
  <si>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</si>
  <si>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</si>
  <si>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</si>
  <si>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</si>
  <si>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</si>
  <si>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</si>
  <si>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</si>
  <si>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</si>
  <si>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</si>
  <si>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</si>
  <si>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</si>
  <si>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</si>
  <si>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</si>
  <si>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</si>
  <si>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</si>
  <si>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</si>
  <si>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</si>
  <si>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</si>
  <si>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</si>
  <si>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</si>
  <si>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</si>
  <si>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</si>
  <si>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</si>
  <si>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</si>
  <si>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</si>
  <si>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</si>
  <si>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</si>
  <si>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</si>
  <si>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</si>
  <si>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</si>
  <si>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</si>
  <si>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</si>
  <si>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</si>
  <si>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</si>
  <si>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</si>
  <si>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</si>
  <si>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</si>
  <si>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</si>
  <si>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</si>
  <si>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</si>
  <si>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</si>
  <si>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</si>
  <si>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</si>
  <si>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</si>
  <si>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</si>
  <si>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</si>
  <si>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</si>
  <si>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</si>
  <si>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</si>
  <si>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</si>
  <si>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</si>
  <si>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</si>
  <si>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</si>
  <si>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</si>
  <si>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</si>
  <si>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</si>
  <si>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</si>
  <si>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</si>
  <si>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</si>
  <si>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</si>
  <si>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</si>
  <si>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</si>
  <si>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</si>
  <si>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</si>
  <si>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</si>
  <si>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</si>
  <si>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</si>
  <si>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</si>
  <si>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</si>
  <si>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</si>
  <si>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</si>
  <si>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</si>
  <si>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</si>
  <si>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</si>
  <si>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</si>
  <si>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</si>
  <si>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</si>
  <si>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</si>
  <si>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</si>
  <si>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</si>
  <si>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</si>
  <si>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</si>
  <si>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</si>
  <si>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</si>
  <si>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</si>
  <si>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</si>
  <si>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</si>
  <si>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</si>
  <si>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</si>
  <si>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</si>
  <si>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</si>
  <si>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</si>
  <si>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</si>
  <si>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</si>
  <si>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</si>
  <si>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</si>
  <si>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</si>
  <si>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</si>
  <si>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</si>
  <si>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</si>
  <si>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</si>
  <si>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</si>
  <si>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</si>
  <si>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</si>
  <si>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</si>
  <si>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</si>
  <si>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</si>
  <si>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</si>
  <si>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</si>
  <si>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</si>
  <si>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</si>
  <si>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</si>
  <si>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</si>
  <si>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</si>
  <si>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</si>
  <si>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</si>
  <si>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</si>
  <si>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</si>
  <si>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</si>
  <si>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</si>
  <si>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</si>
  <si>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</si>
  <si>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</si>
  <si>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</si>
  <si>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</si>
  <si>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</si>
  <si>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</si>
  <si>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</si>
  <si>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</si>
  <si>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</si>
  <si>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</si>
  <si>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</si>
  <si>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</si>
  <si>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</si>
  <si>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</si>
  <si>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</si>
  <si>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</si>
  <si>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</si>
  <si>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</si>
  <si>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</si>
  <si>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</si>
  <si>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</si>
  <si>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</si>
  <si>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</si>
  <si>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</si>
  <si>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</si>
  <si>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</si>
  <si>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</si>
  <si>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</si>
  <si>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</si>
  <si>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</si>
  <si>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</si>
  <si>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</si>
  <si>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</si>
  <si>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</si>
  <si>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</si>
  <si>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</si>
  <si>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</si>
  <si>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</si>
  <si>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</si>
  <si>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</si>
  <si>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</si>
  <si>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</si>
  <si>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</si>
  <si>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</si>
  <si>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</si>
  <si>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</si>
  <si>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</si>
  <si>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</si>
  <si>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</si>
  <si>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</si>
  <si>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</si>
  <si>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</si>
  <si>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</si>
  <si>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</si>
  <si>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</si>
  <si>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</si>
  <si>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</si>
  <si>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</si>
  <si>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</si>
  <si>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</si>
  <si>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</si>
  <si>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</si>
  <si>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</si>
  <si>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</si>
  <si>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</si>
  <si>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</si>
  <si>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</si>
  <si>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</si>
  <si>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</si>
  <si>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</si>
  <si>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</si>
  <si>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</si>
  <si>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</si>
  <si>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</si>
  <si>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</si>
  <si>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</si>
  <si>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</si>
  <si>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</si>
  <si>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</si>
  <si>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</si>
  <si>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</si>
  <si>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</si>
  <si>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</si>
  <si>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</si>
  <si>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</si>
  <si>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</si>
  <si>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</si>
  <si>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</si>
  <si>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</si>
  <si>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</si>
  <si>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</si>
  <si>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</si>
  <si>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</si>
  <si>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</si>
  <si>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</si>
  <si>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</si>
  <si>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</si>
  <si>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</si>
  <si>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</si>
  <si>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</si>
  <si>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</si>
  <si>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</si>
  <si>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</si>
  <si>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</si>
  <si>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</si>
  <si>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</si>
  <si>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</si>
  <si>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</si>
  <si>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</si>
  <si>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</si>
  <si>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</si>
  <si>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</si>
  <si>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</si>
  <si>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</si>
  <si>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</si>
  <si>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</si>
  <si>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</si>
  <si>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</si>
  <si>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</si>
  <si>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</si>
  <si>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</si>
  <si>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</si>
  <si>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</si>
  <si>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</si>
  <si>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</si>
  <si>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</si>
  <si>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</si>
  <si>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</si>
  <si>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</si>
  <si>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</si>
  <si>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</si>
  <si>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</si>
  <si>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</si>
  <si>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</si>
  <si>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</si>
  <si>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</si>
  <si>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</si>
  <si>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</si>
  <si>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</si>
  <si>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</si>
  <si>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</si>
  <si>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</si>
  <si>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</si>
  <si>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</si>
  <si>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</si>
  <si>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</si>
  <si>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</si>
  <si>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</si>
  <si>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</si>
  <si>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</si>
  <si>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</si>
  <si>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</si>
  <si>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</si>
  <si>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</si>
  <si>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</si>
  <si>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</si>
  <si>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</si>
  <si>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</si>
  <si>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</si>
  <si>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</si>
  <si>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</si>
  <si>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</si>
  <si>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</si>
  <si>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</si>
  <si>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</si>
  <si>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</si>
  <si>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</si>
  <si>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</si>
  <si>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</si>
  <si>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</si>
  <si>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</si>
  <si>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</si>
  <si>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</si>
  <si>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</si>
  <si>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</si>
  <si>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</si>
  <si>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</si>
  <si>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</si>
  <si>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</si>
  <si>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</si>
  <si>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</si>
  <si>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</si>
  <si>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</si>
  <si>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</si>
  <si>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</si>
  <si>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</si>
  <si>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</si>
  <si>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</si>
  <si>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</si>
  <si>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</si>
  <si>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</si>
  <si>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</si>
  <si>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</si>
  <si>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</si>
  <si>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</si>
  <si>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</si>
  <si>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</si>
  <si>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</si>
  <si>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</si>
  <si>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</si>
  <si>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</si>
  <si>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</si>
  <si>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</si>
  <si>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</si>
  <si>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</si>
  <si>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</si>
  <si>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</si>
  <si>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</si>
  <si>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</si>
  <si>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</si>
  <si>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</si>
  <si>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</si>
  <si>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</si>
  <si>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</si>
  <si>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</si>
  <si>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</si>
  <si>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</si>
  <si>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</si>
  <si>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</si>
  <si>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</si>
  <si>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</si>
  <si>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</si>
  <si>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</si>
  <si>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</si>
  <si>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</si>
  <si>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</si>
  <si>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</si>
  <si>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</si>
  <si>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</si>
  <si>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</si>
  <si>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</si>
  <si>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</si>
  <si>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</si>
  <si>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</si>
  <si>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</si>
  <si>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</si>
  <si>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</si>
  <si>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</si>
  <si>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</si>
  <si>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</si>
  <si>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</si>
  <si>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</si>
  <si>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</si>
  <si>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</si>
  <si>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</si>
  <si>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</si>
  <si>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</si>
  <si>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</si>
  <si>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</si>
  <si>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</si>
  <si>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</si>
  <si>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</si>
  <si>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</si>
  <si>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</si>
  <si>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</si>
  <si>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</si>
  <si>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</si>
  <si>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</si>
  <si>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</si>
  <si>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</si>
  <si>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</si>
  <si>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</si>
  <si>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</si>
  <si>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</si>
  <si>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</si>
  <si>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</si>
  <si>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</si>
  <si>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</si>
  <si>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</si>
  <si>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</si>
  <si>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</si>
  <si>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</si>
  <si>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</si>
  <si>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</si>
  <si>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</si>
  <si>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</si>
  <si>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</si>
  <si>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</si>
  <si>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</si>
  <si>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</si>
  <si>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</si>
  <si>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</si>
  <si>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</si>
  <si>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</si>
  <si>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</si>
  <si>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</si>
  <si>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</si>
  <si>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</si>
  <si>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</si>
  <si>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</si>
  <si>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</si>
  <si>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</si>
  <si>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</si>
  <si>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</si>
  <si>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</si>
  <si>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</si>
  <si>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</si>
  <si>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</si>
  <si>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</si>
  <si>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</si>
  <si>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</si>
  <si>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</si>
  <si>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</si>
  <si>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</si>
  <si>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</si>
  <si>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</si>
  <si>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</si>
  <si>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</si>
  <si>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</si>
  <si>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</si>
  <si>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</si>
  <si>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</si>
  <si>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</si>
  <si>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</si>
  <si>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</si>
  <si>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</si>
  <si>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</si>
  <si>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</si>
  <si>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</si>
  <si>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</si>
  <si>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</si>
  <si>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</si>
  <si>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</si>
  <si>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</si>
  <si>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</si>
  <si>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</si>
  <si>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</si>
  <si>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</si>
  <si>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</si>
  <si>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</si>
  <si>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</si>
  <si>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</si>
  <si>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</si>
  <si>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</si>
  <si>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</si>
  <si>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</si>
  <si>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</si>
  <si>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</si>
  <si>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</si>
  <si>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</si>
  <si>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</si>
  <si>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</si>
  <si>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</si>
  <si>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</si>
  <si>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</si>
  <si>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</si>
  <si>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</si>
  <si>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</si>
  <si>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</si>
  <si>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</si>
  <si>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</si>
  <si>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</si>
  <si>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</si>
  <si>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</si>
  <si>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</si>
  <si>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</si>
  <si>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</si>
  <si>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</si>
  <si>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</si>
  <si>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</si>
  <si>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</si>
  <si>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</si>
  <si>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</si>
  <si>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</si>
  <si>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</si>
  <si>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</si>
  <si>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</si>
  <si>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</si>
  <si>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</si>
  <si>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</si>
  <si>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</si>
  <si>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</si>
  <si>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</si>
  <si>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</si>
  <si>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</si>
  <si>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</si>
  <si>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</si>
  <si>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</si>
  <si>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</si>
  <si>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</si>
  <si>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</si>
  <si>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</si>
  <si>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</si>
  <si>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</si>
  <si>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</si>
  <si>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</si>
  <si>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</si>
  <si>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</si>
  <si>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</si>
  <si>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</si>
  <si>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</si>
  <si>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</si>
  <si>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</si>
  <si>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</si>
  <si>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</si>
  <si>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</si>
  <si>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</si>
  <si>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</si>
  <si>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</si>
  <si>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</si>
  <si>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</si>
  <si>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</si>
  <si>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</si>
  <si>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</si>
  <si>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</si>
  <si>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</si>
  <si>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</si>
  <si>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</si>
  <si>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</si>
  <si>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</si>
  <si>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</si>
  <si>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</si>
  <si>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</si>
  <si>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</si>
  <si>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</si>
  <si>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</si>
  <si>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</si>
  <si>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</si>
  <si>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</si>
  <si>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</si>
  <si>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</si>
  <si>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</si>
  <si>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</si>
  <si>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</si>
  <si>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</si>
  <si>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</si>
  <si>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</si>
  <si>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</si>
  <si>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</si>
  <si>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</si>
  <si>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</si>
  <si>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</si>
  <si>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</si>
  <si>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</si>
  <si>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</si>
  <si>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</si>
  <si>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</si>
  <si>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</si>
  <si>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</si>
  <si>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</si>
  <si>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</si>
  <si>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</si>
  <si>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</si>
  <si>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</si>
  <si>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</si>
  <si>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</si>
  <si>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</si>
  <si>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</si>
  <si>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</si>
  <si>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</si>
  <si>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</si>
  <si>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</si>
  <si>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</si>
  <si>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</si>
  <si>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</si>
  <si>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</si>
  <si>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</si>
  <si>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</si>
  <si>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</si>
  <si>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</si>
  <si>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</si>
  <si>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</si>
  <si>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</si>
  <si>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</si>
  <si>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</si>
  <si>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</si>
  <si>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</si>
  <si>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</si>
  <si>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</si>
  <si>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</si>
  <si>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</si>
  <si>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</si>
  <si>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</si>
  <si>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</si>
  <si>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</si>
  <si>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</si>
  <si>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</si>
  <si>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</si>
  <si>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</si>
  <si>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</si>
  <si>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</si>
  <si>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</si>
  <si>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</si>
  <si>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</si>
  <si>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</si>
  <si>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</si>
  <si>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</si>
  <si>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</si>
  <si>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</si>
  <si>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</si>
  <si>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</si>
  <si>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</si>
  <si>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</si>
  <si>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</si>
  <si>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</si>
  <si>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</si>
  <si>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</si>
  <si>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</si>
  <si>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</si>
  <si>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</si>
  <si>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</si>
  <si>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</si>
  <si>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</si>
  <si>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</si>
  <si>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</si>
  <si>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</si>
  <si>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</si>
  <si>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</si>
  <si>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</si>
  <si>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</si>
  <si>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</si>
  <si>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</si>
  <si>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</si>
  <si>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</si>
  <si>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</si>
  <si>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</si>
  <si>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</si>
  <si>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</si>
  <si>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</si>
  <si>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</si>
  <si>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</si>
  <si>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</si>
  <si>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</si>
  <si>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</si>
  <si>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</si>
  <si>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</si>
  <si>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</si>
  <si>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</si>
  <si>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</si>
  <si>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</si>
  <si>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</si>
  <si>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</si>
  <si>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</si>
  <si>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</si>
  <si>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</si>
  <si>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</si>
  <si>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</si>
  <si>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</si>
  <si>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</si>
  <si>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</si>
  <si>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</si>
  <si>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</si>
  <si>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</si>
  <si>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</si>
  <si>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</si>
  <si>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</si>
  <si>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</si>
  <si>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</si>
  <si>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</si>
  <si>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</si>
  <si>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</si>
  <si>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</si>
  <si>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</si>
  <si>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</si>
  <si>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</si>
  <si>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</si>
  <si>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</si>
  <si>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</si>
  <si>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</si>
  <si>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</si>
  <si>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</si>
  <si>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</si>
  <si>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</si>
  <si>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</si>
  <si>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</si>
  <si>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</si>
  <si>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</si>
  <si>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</si>
  <si>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</si>
  <si>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</si>
  <si>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</si>
  <si>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</si>
  <si>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</si>
  <si>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</si>
  <si>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</si>
  <si>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</si>
  <si>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</si>
  <si>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</si>
  <si>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</si>
  <si>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</si>
  <si>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</si>
  <si>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</si>
  <si>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</si>
  <si>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</si>
  <si>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</si>
  <si>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</si>
  <si>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</si>
  <si>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</si>
  <si>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</si>
  <si>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</si>
  <si>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</si>
  <si>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</si>
  <si>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</si>
  <si>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</si>
  <si>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</si>
  <si>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</si>
  <si>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</si>
  <si>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</si>
  <si>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</si>
  <si>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</si>
  <si>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</si>
  <si>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</si>
  <si>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</si>
  <si>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</si>
  <si>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</si>
  <si>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</si>
  <si>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</si>
  <si>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</si>
  <si>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</si>
  <si>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</si>
  <si>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</si>
  <si>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</si>
  <si>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</si>
  <si>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</si>
  <si>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</si>
  <si>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</si>
  <si>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</si>
  <si>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</si>
  <si>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</si>
  <si>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</si>
  <si>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</si>
  <si>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</si>
  <si>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</si>
  <si>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</si>
  <si>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</si>
  <si>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</si>
  <si>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</si>
  <si>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</si>
  <si>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</si>
  <si>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</si>
  <si>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</si>
  <si>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</si>
  <si>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</si>
  <si>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</si>
  <si>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</si>
  <si>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</si>
  <si>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</si>
  <si>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</si>
  <si>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</si>
  <si>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</si>
  <si>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</si>
  <si>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</si>
  <si>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</si>
  <si>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</si>
  <si>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</si>
  <si>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</si>
  <si>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</si>
  <si>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</si>
  <si>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</si>
  <si>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</si>
  <si>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</si>
  <si>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</si>
  <si>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</si>
  <si>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</si>
  <si>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</si>
  <si>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</si>
  <si>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</si>
  <si>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</si>
  <si>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</si>
  <si>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</si>
  <si>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</si>
  <si>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</si>
  <si>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</si>
  <si>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</si>
  <si>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</si>
  <si>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</si>
  <si>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</si>
  <si>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</si>
  <si>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</si>
  <si>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</si>
  <si>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</si>
  <si>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</si>
  <si>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</si>
  <si>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</si>
  <si>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</si>
  <si>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</si>
  <si>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</si>
  <si>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</si>
  <si>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</si>
  <si>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</si>
  <si>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</si>
  <si>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</si>
  <si>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</si>
  <si>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</si>
  <si>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</si>
  <si>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</si>
  <si>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</si>
  <si>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</si>
  <si>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</si>
  <si>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</si>
  <si>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</si>
  <si>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</si>
  <si>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</si>
  <si>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</si>
  <si>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</si>
  <si>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</si>
  <si>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</si>
  <si>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</si>
  <si>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</si>
  <si>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</si>
  <si>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</si>
  <si>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</si>
  <si>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</si>
  <si>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</si>
  <si>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</si>
  <si>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</si>
  <si>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</si>
  <si>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</si>
  <si>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</si>
  <si>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</si>
  <si>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</si>
  <si>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</si>
  <si>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</si>
  <si>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</si>
  <si>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</si>
  <si>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</si>
  <si>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</si>
  <si>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</si>
  <si>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</si>
  <si>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</si>
  <si>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</si>
  <si>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</si>
  <si>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</si>
  <si>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</si>
  <si>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</si>
  <si>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</si>
  <si>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</si>
  <si>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</si>
  <si>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</si>
  <si>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</si>
  <si>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</si>
  <si>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</si>
  <si>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</si>
  <si>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</si>
  <si>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</si>
  <si>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</si>
  <si>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</si>
  <si>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</si>
  <si>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</si>
  <si>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</si>
  <si>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</si>
  <si>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</si>
  <si>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</si>
  <si>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</si>
  <si>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</si>
  <si>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</si>
  <si>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</si>
  <si>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</si>
  <si>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</si>
  <si>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</si>
  <si>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</si>
  <si>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</si>
  <si>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</si>
  <si>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</si>
  <si>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</si>
  <si>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</si>
  <si>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</si>
  <si>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</si>
  <si>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</si>
  <si>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</si>
  <si>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</si>
  <si>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</si>
  <si>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</si>
  <si>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</si>
  <si>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</si>
  <si>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</si>
  <si>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</si>
  <si>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</si>
  <si>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</si>
  <si>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</si>
  <si>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</si>
  <si>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</si>
  <si>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</si>
  <si>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</si>
  <si>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</si>
  <si>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</si>
  <si>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</si>
  <si>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</si>
  <si>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</si>
  <si>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</si>
  <si>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</si>
  <si>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</si>
  <si>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</si>
  <si>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</si>
  <si>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</si>
  <si>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</si>
  <si>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</si>
  <si>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</si>
  <si>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</si>
  <si>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</si>
  <si>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</si>
  <si>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</si>
  <si>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</si>
  <si>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</si>
  <si>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</si>
  <si>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</si>
  <si>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</si>
  <si>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</si>
  <si>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</si>
  <si>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</si>
  <si>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</si>
  <si>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</si>
  <si>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</si>
  <si>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</si>
  <si>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</si>
  <si>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</si>
  <si>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</si>
  <si>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</si>
  <si>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</si>
  <si>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</si>
  <si>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</si>
  <si>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</si>
  <si>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</si>
  <si>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</si>
  <si>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</si>
  <si>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</si>
  <si>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</si>
  <si>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</si>
  <si>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</si>
  <si>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</si>
  <si>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</si>
  <si>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</si>
  <si>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</si>
  <si>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</si>
  <si>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</si>
  <si>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</si>
  <si>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</si>
  <si>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</si>
  <si>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</si>
  <si>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</si>
  <si>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</si>
  <si>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</si>
  <si>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</si>
  <si>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</si>
  <si>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</si>
  <si>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</si>
  <si>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</si>
  <si>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</si>
  <si>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</si>
  <si>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</si>
  <si>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</si>
  <si>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</si>
  <si>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</si>
  <si>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</si>
  <si>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</si>
  <si>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</si>
  <si>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</si>
  <si>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</si>
  <si>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</si>
  <si>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</si>
  <si>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</si>
  <si>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</si>
  <si>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</si>
  <si>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</si>
  <si>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</si>
  <si>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</si>
  <si>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</si>
  <si>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</si>
  <si>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</si>
  <si>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</si>
  <si>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</si>
  <si>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</si>
  <si>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</si>
  <si>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</si>
  <si>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</si>
  <si>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</si>
  <si>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</si>
  <si>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</si>
  <si>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</si>
  <si>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</si>
  <si>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</si>
  <si>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</si>
  <si>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</si>
  <si>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</si>
  <si>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</si>
  <si>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</si>
  <si>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</si>
  <si>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</si>
  <si>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</si>
  <si>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</si>
  <si>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</si>
  <si>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</si>
  <si>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</si>
  <si>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</si>
  <si>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</si>
  <si>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</si>
  <si>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</si>
  <si>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</si>
  <si>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</si>
  <si>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</si>
  <si>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</si>
  <si>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</si>
  <si>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</si>
  <si>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</si>
  <si>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</si>
  <si>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</si>
  <si>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</si>
  <si>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</si>
  <si>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</si>
  <si>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</si>
  <si>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</si>
  <si>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</si>
  <si>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</si>
  <si>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</si>
  <si>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</si>
  <si>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</si>
  <si>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</si>
  <si>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</si>
  <si>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</si>
  <si>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</si>
  <si>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</si>
  <si>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</si>
  <si>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</si>
  <si>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</si>
  <si>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</si>
  <si>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</si>
  <si>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</si>
  <si>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</si>
  <si>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</si>
  <si>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</si>
  <si>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</si>
  <si>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</si>
  <si>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</si>
  <si>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</si>
  <si>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</si>
  <si>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</si>
  <si>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</si>
  <si>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</si>
  <si>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</si>
  <si>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</si>
  <si>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</si>
  <si>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</si>
  <si>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</si>
  <si>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</si>
  <si>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</si>
  <si>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</si>
  <si>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</si>
  <si>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</si>
  <si>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</si>
  <si>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</si>
  <si>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</si>
  <si>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</si>
  <si>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</si>
  <si>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</si>
  <si>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</si>
  <si>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</si>
  <si>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</si>
  <si>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</si>
  <si>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</si>
  <si>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</si>
  <si>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</si>
  <si>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</si>
  <si>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</si>
  <si>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</si>
  <si>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</si>
  <si>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</si>
  <si>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</si>
  <si>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</si>
  <si>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</si>
  <si>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</si>
  <si>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</si>
  <si>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</si>
  <si>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</si>
  <si>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</si>
  <si>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</si>
  <si>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</si>
  <si>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</si>
  <si>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</si>
  <si>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</si>
  <si>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</si>
  <si>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</si>
  <si>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</si>
  <si>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</si>
  <si>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</si>
  <si>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</si>
  <si>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</si>
  <si>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</si>
  <si>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</si>
  <si>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</si>
  <si>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</si>
  <si>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</si>
  <si>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</si>
  <si>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</si>
  <si>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</si>
  <si>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</si>
  <si>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</si>
  <si>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</si>
  <si>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</si>
  <si>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</si>
  <si>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</si>
  <si>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</si>
  <si>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</si>
  <si>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</si>
  <si>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</si>
  <si>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</si>
  <si>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</si>
  <si>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</si>
  <si>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</si>
  <si>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</si>
  <si>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</si>
  <si>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</si>
  <si>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</si>
  <si>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</si>
  <si>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</si>
  <si>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</si>
  <si>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</si>
  <si>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</si>
  <si>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</si>
  <si>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</si>
  <si>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</si>
  <si>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</si>
  <si>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</si>
  <si>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</si>
  <si>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</si>
  <si>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</si>
  <si>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</si>
  <si>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</si>
  <si>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</si>
  <si>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</si>
  <si>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</si>
  <si>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</si>
  <si>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</si>
  <si>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</si>
  <si>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</si>
  <si>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</si>
  <si>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</si>
  <si>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</si>
  <si>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</si>
  <si>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</si>
  <si>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</si>
  <si>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</si>
  <si>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</si>
  <si>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</si>
  <si>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</si>
  <si>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</si>
  <si>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</si>
  <si>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</si>
  <si>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</si>
  <si>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</si>
  <si>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</si>
  <si>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</si>
  <si>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</si>
  <si>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</si>
  <si>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</si>
  <si>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</si>
  <si>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</si>
  <si>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</si>
  <si>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</si>
  <si>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</si>
  <si>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</si>
  <si>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</si>
  <si>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</si>
  <si>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</si>
  <si>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</si>
  <si>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</si>
  <si>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</si>
  <si>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</si>
  <si>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</si>
  <si>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</si>
  <si>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</si>
  <si>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</si>
  <si>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</si>
  <si>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</si>
  <si>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</si>
  <si>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</si>
  <si>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</si>
  <si>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</si>
  <si>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</si>
  <si>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</si>
  <si>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</si>
  <si>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</si>
  <si>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</si>
  <si>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</si>
  <si>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</si>
  <si>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</si>
  <si>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</si>
  <si>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</si>
  <si>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</si>
  <si>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</si>
  <si>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</si>
  <si>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</si>
  <si>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</si>
  <si>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</si>
  <si>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</si>
  <si>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</si>
  <si>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</si>
  <si>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</si>
  <si>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</si>
  <si>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</si>
  <si>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</si>
  <si>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</si>
  <si>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</si>
  <si>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</si>
  <si>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</si>
  <si>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</si>
  <si>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</si>
  <si>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</si>
  <si>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</si>
  <si>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</si>
  <si>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</si>
  <si>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</si>
  <si>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</si>
  <si>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</si>
  <si>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</si>
  <si>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</si>
  <si>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</si>
  <si>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</si>
  <si>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</si>
  <si>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</si>
  <si>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</si>
  <si>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</si>
  <si>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</si>
  <si>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</si>
  <si>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</si>
  <si>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</si>
  <si>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</si>
  <si>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</si>
  <si>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</si>
  <si>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</si>
  <si>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</si>
  <si>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</si>
  <si>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</si>
  <si>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</si>
  <si>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</si>
  <si>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</si>
  <si>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</si>
  <si>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</si>
  <si>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</si>
  <si>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</si>
  <si>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</si>
  <si>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</si>
  <si>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</si>
  <si>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</si>
  <si>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</si>
  <si>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</si>
  <si>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</si>
  <si>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</si>
  <si>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</si>
  <si>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</si>
  <si>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</si>
  <si>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</si>
  <si>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</si>
  <si>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</si>
  <si>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</si>
  <si>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</si>
  <si>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</si>
  <si>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</si>
  <si>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</si>
  <si>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</si>
  <si>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</si>
  <si>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</si>
  <si>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</si>
  <si>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</si>
  <si>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</si>
  <si>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</si>
  <si>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</si>
  <si>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</si>
  <si>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</si>
  <si>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</si>
  <si>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</si>
  <si>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</si>
  <si>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</si>
  <si>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</si>
  <si>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</si>
  <si>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</si>
  <si>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</si>
  <si>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</si>
  <si>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</si>
  <si>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</si>
  <si>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</si>
  <si>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</si>
  <si>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</si>
  <si>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</si>
  <si>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</si>
  <si>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</si>
  <si>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</si>
  <si>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</si>
  <si>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</si>
  <si>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</si>
  <si>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</si>
  <si>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</si>
  <si>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</si>
  <si>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</si>
  <si>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</si>
  <si>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</si>
  <si>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</si>
  <si>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</si>
  <si>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</si>
  <si>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</si>
  <si>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</si>
  <si>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</si>
  <si>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</si>
  <si>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</si>
  <si>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</si>
  <si>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</si>
  <si>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</si>
  <si>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</si>
  <si>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</si>
  <si>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</si>
  <si>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</si>
  <si>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</si>
  <si>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</si>
  <si>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</si>
  <si>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</si>
  <si>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</si>
  <si>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</si>
  <si>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</si>
  <si>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</si>
  <si>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</si>
  <si>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</si>
  <si>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</si>
  <si>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</si>
  <si>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</si>
  <si>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</si>
  <si>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</si>
  <si>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</si>
  <si>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</si>
  <si>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</si>
  <si>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</si>
  <si>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</si>
  <si>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</si>
  <si>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</si>
  <si>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</si>
  <si>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</si>
  <si>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</si>
  <si>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</si>
  <si>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</si>
  <si>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</si>
  <si>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</si>
  <si>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</si>
  <si>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</si>
  <si>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</si>
  <si>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</si>
  <si>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</si>
  <si>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</si>
  <si>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</si>
  <si>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</si>
  <si>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</si>
  <si>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</si>
  <si>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</si>
  <si>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</si>
  <si>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</si>
  <si>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</si>
  <si>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</si>
  <si>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</si>
  <si>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</si>
  <si>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</si>
  <si>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</si>
  <si>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</si>
  <si>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</si>
  <si>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</si>
  <si>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</si>
  <si>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</si>
  <si>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</si>
  <si>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</si>
  <si>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</si>
  <si>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</si>
  <si>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</si>
  <si>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</si>
  <si>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</si>
  <si>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</si>
  <si>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</si>
  <si>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</si>
  <si>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</si>
  <si>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</si>
  <si>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</si>
  <si>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</si>
  <si>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</si>
  <si>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</si>
  <si>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</si>
  <si>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</si>
  <si>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</si>
  <si>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</si>
  <si>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</si>
  <si>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</si>
  <si>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</si>
  <si>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</si>
  <si>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</si>
  <si>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</si>
  <si>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</si>
  <si>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</si>
  <si>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</si>
  <si>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</si>
  <si>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</si>
  <si>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</si>
  <si>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</si>
  <si>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</si>
  <si>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</si>
  <si>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</si>
  <si>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</si>
  <si>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</si>
  <si>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</si>
  <si>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</si>
  <si>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</si>
  <si>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</si>
  <si>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</si>
  <si>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</si>
  <si>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</si>
  <si>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</si>
  <si>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</si>
  <si>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</si>
  <si>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</si>
  <si>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</si>
  <si>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</si>
  <si>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</si>
  <si>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</si>
  <si>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</si>
  <si>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</si>
  <si>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</si>
  <si>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</si>
  <si>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</si>
  <si>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</si>
  <si>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</si>
  <si>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</si>
  <si>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</si>
  <si>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</si>
  <si>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</si>
  <si>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</si>
  <si>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</si>
  <si>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</si>
  <si>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</si>
  <si>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</si>
  <si>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</si>
  <si>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</si>
  <si>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</si>
  <si>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</si>
  <si>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</si>
  <si>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</si>
  <si>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</si>
  <si>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</si>
  <si>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</si>
  <si>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</si>
  <si>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</si>
  <si>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</si>
  <si>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</si>
  <si>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</si>
  <si>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</si>
  <si>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</si>
  <si>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</si>
  <si>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</si>
  <si>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</si>
  <si>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</si>
  <si>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</si>
  <si>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</si>
  <si>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</si>
  <si>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</si>
  <si>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</si>
  <si>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</si>
  <si>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</si>
  <si>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</si>
  <si>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</si>
  <si>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</si>
  <si>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</si>
  <si>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</si>
  <si>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</si>
  <si>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</si>
  <si>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</si>
  <si>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</si>
  <si>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</si>
  <si>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</si>
  <si>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</si>
  <si>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</si>
  <si>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</si>
  <si>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</si>
  <si>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</si>
  <si>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</si>
  <si>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</si>
  <si>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</si>
  <si>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</si>
  <si>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</si>
  <si>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</si>
  <si>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</si>
  <si>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</si>
  <si>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</si>
  <si>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</si>
  <si>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</si>
  <si>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</si>
  <si>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</si>
  <si>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</si>
  <si>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</si>
  <si>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</si>
  <si>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</si>
  <si>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</si>
  <si>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</si>
  <si>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</si>
  <si>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</si>
  <si>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</si>
  <si>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</si>
  <si>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</si>
  <si>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</si>
  <si>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</si>
  <si>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</si>
  <si>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</si>
  <si>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</si>
  <si>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</si>
  <si>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</si>
  <si>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</si>
  <si>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</si>
  <si>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</si>
  <si>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</si>
  <si>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</si>
  <si>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</si>
  <si>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</si>
  <si>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</si>
  <si>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</si>
  <si>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</si>
  <si>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</si>
  <si>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</si>
  <si>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</si>
  <si>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</si>
  <si>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</si>
  <si>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</si>
  <si>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</si>
  <si>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</si>
  <si>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</si>
  <si>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</si>
  <si>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</si>
  <si>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</si>
  <si>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</si>
  <si>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</si>
  <si>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</si>
  <si>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</si>
  <si>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</si>
  <si>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</si>
  <si>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</si>
  <si>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</si>
  <si>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</si>
  <si>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</si>
  <si>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</si>
  <si>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</si>
  <si>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</si>
  <si>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</si>
  <si>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</si>
  <si>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</si>
  <si>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</si>
  <si>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</si>
  <si>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</si>
  <si>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</si>
  <si>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</si>
  <si>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</si>
  <si>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</si>
  <si>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</si>
  <si>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</si>
  <si>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</si>
  <si>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</si>
  <si>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</si>
  <si>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</si>
  <si>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</si>
  <si>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</si>
  <si>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</si>
  <si>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</si>
  <si>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</si>
  <si>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</si>
  <si>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</si>
  <si>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</si>
  <si>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</si>
  <si>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</si>
  <si>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</si>
  <si>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</si>
  <si>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</si>
  <si>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</si>
  <si>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</si>
  <si>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</si>
  <si>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</si>
  <si>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</si>
  <si>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</si>
  <si>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</si>
  <si>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</si>
  <si>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</si>
  <si>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</si>
  <si>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</si>
  <si>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</si>
  <si>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</si>
  <si>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</si>
  <si>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</si>
  <si>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</si>
  <si>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</si>
  <si>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</si>
  <si>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</si>
  <si>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</si>
  <si>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</si>
  <si>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</si>
  <si>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</si>
  <si>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</si>
  <si>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</si>
  <si>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</si>
  <si>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</si>
  <si>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</si>
  <si>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</si>
  <si>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</si>
  <si>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</si>
  <si>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</si>
  <si>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</si>
  <si>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</si>
  <si>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</si>
  <si>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</si>
  <si>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</si>
  <si>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</si>
  <si>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</si>
  <si>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</si>
  <si>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</si>
  <si>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</si>
  <si>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</si>
  <si>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</si>
  <si>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</si>
  <si>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</si>
  <si>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</si>
  <si>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</si>
  <si>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</si>
  <si>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</si>
  <si>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</si>
  <si>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</si>
  <si>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</si>
  <si>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</si>
  <si>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</si>
  <si>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</si>
  <si>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</si>
  <si>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</si>
  <si>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</si>
  <si>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</si>
  <si>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</si>
  <si>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</si>
  <si>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</si>
  <si>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</si>
  <si>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</si>
  <si>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</si>
  <si>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</si>
  <si>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</si>
  <si>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</si>
  <si>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</si>
  <si>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</si>
  <si>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</si>
  <si>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</si>
  <si>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</si>
  <si>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</si>
  <si>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</si>
  <si>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</si>
  <si>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</si>
  <si>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</si>
  <si>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</si>
  <si>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</si>
  <si>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</si>
  <si>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</si>
  <si>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</si>
  <si>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</si>
  <si>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</si>
  <si>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</si>
  <si>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</si>
  <si>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</si>
  <si>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</si>
  <si>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</si>
  <si>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</si>
  <si>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</si>
  <si>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</si>
  <si>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</si>
  <si>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</si>
  <si>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</si>
  <si>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</si>
  <si>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</si>
  <si>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</si>
  <si>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</si>
  <si>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</si>
  <si>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</si>
  <si>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</si>
  <si>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</si>
  <si>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</si>
  <si>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</si>
  <si>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</si>
  <si>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</si>
  <si>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</si>
  <si>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</si>
  <si>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</si>
  <si>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</si>
  <si>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</si>
  <si>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</si>
  <si>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</si>
  <si>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</si>
  <si>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</si>
  <si>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</si>
  <si>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</si>
  <si>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</si>
  <si>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</si>
  <si>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</si>
  <si>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</si>
  <si>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</si>
  <si>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</si>
  <si>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</si>
  <si>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</si>
  <si>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</si>
  <si>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</si>
  <si>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</si>
  <si>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</si>
  <si>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</si>
  <si>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</si>
  <si>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</si>
  <si>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</si>
  <si>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</si>
  <si>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</si>
  <si>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</si>
  <si>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</si>
  <si>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</si>
  <si>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</si>
  <si>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</si>
  <si>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</si>
  <si>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</si>
  <si>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</si>
  <si>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</si>
  <si>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</si>
  <si>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</si>
  <si>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</si>
  <si>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</si>
  <si>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</si>
  <si>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</si>
  <si>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</si>
  <si>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</si>
  <si>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</si>
  <si>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</si>
  <si>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</si>
  <si>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</si>
  <si>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</si>
  <si>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</si>
  <si>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</si>
  <si>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</si>
  <si>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</si>
  <si>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</si>
  <si>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</si>
  <si>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</si>
  <si>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</si>
  <si>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</si>
  <si>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</si>
  <si>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</si>
  <si>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</si>
  <si>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</si>
  <si>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</si>
  <si>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</si>
  <si>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</si>
  <si>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</si>
  <si>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</si>
  <si>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</si>
  <si>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</si>
  <si>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</si>
  <si>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</si>
  <si>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</si>
  <si>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</si>
  <si>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</si>
  <si>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</si>
  <si>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</si>
  <si>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</si>
  <si>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</si>
  <si>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</si>
  <si>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</si>
  <si>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</si>
  <si>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</si>
  <si>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</si>
  <si>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</si>
  <si>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</si>
  <si>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</si>
  <si>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</si>
  <si>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</si>
  <si>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</si>
  <si>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</si>
  <si>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</si>
  <si>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</si>
  <si>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</si>
  <si>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</si>
  <si>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</si>
  <si>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</si>
  <si>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</si>
  <si>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</si>
  <si>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</si>
  <si>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</si>
  <si>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</si>
  <si>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</si>
  <si>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</si>
  <si>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</si>
  <si>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</si>
  <si>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</si>
  <si>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</si>
  <si>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</si>
  <si>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</si>
  <si>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</si>
  <si>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</si>
  <si>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</si>
  <si>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</si>
  <si>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</si>
  <si>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</si>
  <si>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</si>
  <si>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</si>
  <si>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</si>
  <si>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</si>
  <si>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</si>
  <si>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</si>
  <si>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</si>
  <si>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</si>
  <si>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</si>
  <si>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</si>
  <si>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</si>
  <si>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</si>
  <si>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</si>
  <si>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</si>
  <si>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</si>
  <si>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</si>
  <si>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</si>
  <si>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</si>
  <si>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</si>
  <si>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</si>
  <si>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</si>
  <si>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</si>
  <si>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</si>
  <si>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</si>
  <si>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</si>
  <si>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</si>
  <si>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</si>
  <si>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</si>
  <si>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</si>
  <si>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</si>
  <si>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</si>
  <si>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</si>
  <si>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</si>
  <si>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</si>
  <si>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</si>
  <si>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</si>
  <si>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</si>
  <si>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</si>
  <si>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</si>
  <si>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</si>
  <si>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</si>
  <si>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</si>
  <si>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</si>
  <si>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</si>
  <si>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</si>
  <si>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</si>
  <si>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</si>
  <si>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</si>
  <si>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</si>
  <si>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</si>
  <si>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</si>
  <si>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</si>
  <si>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</si>
  <si>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</si>
  <si>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</si>
  <si>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</si>
  <si>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</si>
  <si>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</si>
  <si>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</si>
  <si>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</si>
  <si>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</si>
  <si>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</si>
  <si>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</si>
  <si>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</si>
  <si>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</si>
  <si>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</si>
  <si>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</si>
  <si>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</si>
  <si>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</si>
  <si>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</si>
  <si>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</si>
  <si>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</si>
  <si>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</si>
  <si>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</si>
  <si>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</si>
  <si>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</si>
  <si>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</si>
  <si>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</si>
  <si>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</si>
  <si>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</si>
  <si>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</si>
  <si>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</si>
  <si>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</si>
  <si>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</si>
  <si>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</si>
  <si>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</si>
  <si>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</si>
  <si>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</si>
  <si>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</si>
  <si>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</si>
  <si>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</si>
  <si>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</si>
  <si>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</si>
  <si>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</si>
  <si>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</si>
  <si>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</si>
  <si>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</si>
  <si>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</si>
  <si>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</si>
  <si>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</si>
  <si>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</si>
  <si>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</si>
  <si>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</si>
  <si>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</si>
  <si>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</si>
  <si>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</si>
  <si>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</si>
  <si>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</si>
  <si>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</si>
  <si>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</si>
  <si>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</si>
  <si>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</si>
  <si>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</si>
  <si>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</si>
  <si>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</si>
  <si>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</si>
  <si>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</si>
  <si>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</si>
  <si>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</si>
  <si>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</si>
  <si>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</si>
  <si>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</si>
  <si>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</si>
  <si>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</si>
  <si>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</si>
  <si>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</si>
  <si>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</si>
  <si>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</si>
  <si>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</si>
  <si>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</si>
  <si>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</si>
  <si>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</si>
  <si>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</si>
  <si>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</si>
  <si>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</si>
  <si>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</si>
  <si>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</si>
  <si>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</si>
  <si>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</si>
  <si>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</si>
  <si>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</si>
  <si>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</si>
  <si>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</si>
  <si>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</si>
  <si>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</si>
  <si>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</si>
  <si>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</si>
  <si>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</si>
  <si>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</si>
  <si>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</si>
  <si>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</si>
  <si>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</si>
  <si>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</si>
  <si>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</si>
  <si>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</si>
  <si>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</si>
  <si>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</si>
  <si>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</si>
  <si>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</si>
  <si>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</si>
  <si>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</si>
  <si>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</si>
  <si>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</si>
  <si>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</si>
  <si>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</si>
  <si>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</si>
  <si>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</si>
  <si>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</si>
  <si>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</si>
  <si>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</si>
  <si>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</si>
  <si>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</si>
  <si>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</si>
  <si>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</si>
  <si>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</si>
  <si>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</si>
  <si>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</si>
  <si>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</si>
  <si>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</si>
  <si>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</si>
  <si>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</si>
  <si>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</si>
  <si>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</si>
  <si>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</si>
  <si>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</si>
  <si>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</si>
  <si>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</si>
  <si>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</si>
  <si>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</si>
  <si>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</si>
  <si>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</si>
  <si>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</si>
  <si>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</si>
  <si>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</si>
  <si>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</si>
  <si>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</si>
  <si>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</si>
  <si>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</si>
  <si>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</si>
  <si>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</si>
  <si>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</si>
  <si>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</si>
  <si>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</si>
  <si>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</si>
  <si>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</si>
  <si>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</si>
  <si>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</si>
  <si>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</si>
  <si>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</si>
  <si>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</si>
  <si>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</si>
  <si>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</si>
  <si>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</si>
  <si>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</si>
  <si>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</si>
  <si>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</si>
  <si>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</si>
  <si>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</si>
  <si>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</si>
  <si>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</si>
  <si>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</si>
  <si>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</si>
  <si>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</si>
  <si>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</si>
  <si>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</si>
  <si>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</si>
  <si>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</si>
  <si>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</si>
  <si>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</si>
  <si>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</si>
  <si>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</si>
  <si>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</si>
  <si>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</si>
  <si>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</si>
  <si>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</si>
  <si>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</si>
  <si>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</si>
  <si>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</si>
  <si>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</si>
  <si>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</si>
  <si>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</si>
  <si>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</si>
  <si>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</si>
  <si>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</si>
  <si>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</si>
  <si>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</si>
  <si>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</si>
  <si>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</si>
  <si>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</si>
  <si>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</si>
  <si>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</si>
  <si>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</si>
  <si>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</si>
  <si>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</si>
  <si>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</si>
  <si>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</si>
  <si>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</si>
  <si>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</si>
  <si>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</si>
  <si>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</si>
  <si>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</si>
  <si>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</si>
  <si>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</si>
  <si>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</si>
  <si>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</si>
  <si>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</si>
  <si>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</si>
  <si>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</si>
  <si>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</si>
  <si>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</si>
  <si>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</si>
  <si>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</si>
  <si>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</si>
  <si>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</si>
  <si>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</si>
  <si>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</si>
  <si>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</si>
  <si>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</si>
  <si>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</si>
  <si>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</si>
  <si>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</si>
  <si>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</si>
  <si>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</si>
  <si>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</si>
  <si>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</si>
  <si>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</si>
  <si>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</si>
  <si>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</si>
  <si>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</si>
  <si>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</si>
  <si>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</si>
  <si>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</si>
  <si>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</si>
  <si>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</si>
  <si>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</si>
  <si>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</si>
  <si>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</si>
  <si>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</si>
  <si>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</si>
  <si>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</si>
  <si>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</si>
  <si>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</si>
  <si>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</si>
  <si>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</si>
  <si>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</si>
  <si>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</si>
  <si>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</si>
  <si>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</si>
  <si>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</si>
  <si>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</si>
  <si>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</si>
  <si>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</si>
  <si>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</si>
  <si>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</si>
  <si>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</si>
  <si>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</si>
  <si>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</si>
  <si>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</si>
  <si>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</si>
  <si>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</si>
  <si>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</si>
  <si>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</si>
  <si>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</si>
  <si>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</si>
  <si>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</si>
  <si>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</si>
  <si>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</si>
  <si>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</si>
  <si>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</si>
  <si>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</si>
  <si>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</si>
  <si>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</si>
  <si>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</si>
  <si>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</si>
  <si>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</si>
  <si>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</si>
  <si>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</si>
  <si>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</si>
  <si>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</si>
  <si>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</si>
  <si>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</si>
  <si>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</si>
  <si>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</si>
  <si>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</si>
  <si>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</si>
  <si>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</si>
  <si>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</si>
  <si>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</si>
  <si>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</si>
  <si>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</si>
  <si>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</si>
  <si>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</si>
  <si>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</si>
  <si>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</si>
  <si>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</si>
  <si>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</si>
  <si>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</si>
  <si>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</si>
  <si>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</si>
  <si>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</si>
  <si>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</si>
  <si>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</si>
  <si>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</si>
  <si>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</si>
  <si>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</si>
  <si>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</si>
  <si>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</si>
  <si>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</si>
  <si>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</si>
  <si>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</si>
  <si>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</si>
  <si>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</si>
  <si>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</si>
  <si>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</si>
  <si>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</si>
  <si>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</si>
  <si>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</si>
  <si>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</si>
  <si>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</si>
  <si>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</si>
  <si>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</si>
  <si>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</si>
  <si>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</si>
  <si>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</si>
  <si>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</si>
  <si>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</si>
  <si>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</si>
  <si>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</si>
  <si>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</si>
  <si>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</si>
  <si>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</si>
  <si>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</si>
  <si>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</si>
  <si>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</si>
  <si>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</si>
  <si>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</si>
  <si>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</si>
  <si>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</si>
  <si>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</si>
  <si>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</si>
  <si>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</si>
  <si>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</si>
  <si>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</si>
  <si>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</si>
  <si>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</si>
  <si>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</si>
  <si>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</si>
  <si>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</si>
  <si>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</si>
  <si>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</si>
  <si>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</si>
  <si>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</si>
  <si>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</si>
  <si>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</si>
  <si>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</si>
  <si>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</si>
  <si>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</si>
  <si>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</si>
  <si>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</si>
  <si>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</si>
  <si>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</si>
  <si>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</si>
  <si>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</si>
  <si>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</si>
  <si>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</si>
  <si>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</si>
  <si>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</si>
  <si>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</si>
  <si>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</si>
  <si>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</si>
  <si>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</si>
  <si>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</si>
  <si>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</si>
  <si>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</si>
  <si>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</si>
  <si>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</si>
  <si>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</si>
  <si>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</si>
  <si>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</si>
  <si>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</si>
  <si>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</si>
  <si>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</si>
  <si>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</si>
  <si>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</si>
  <si>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</si>
  <si>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</si>
  <si>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</si>
  <si>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</si>
  <si>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</si>
  <si>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</si>
  <si>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</si>
  <si>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</si>
  <si>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</si>
  <si>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</si>
  <si>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</si>
  <si>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</si>
  <si>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</si>
  <si>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</si>
  <si>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</si>
  <si>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</si>
  <si>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</si>
  <si>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</si>
  <si>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</si>
  <si>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</si>
  <si>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</si>
  <si>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</si>
  <si>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</si>
  <si>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</si>
  <si>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</si>
  <si>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</si>
  <si>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</si>
  <si>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</si>
  <si>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</si>
  <si>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</si>
  <si>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</si>
  <si>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</si>
  <si>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</si>
  <si>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</si>
  <si>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</si>
  <si>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</si>
  <si>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</si>
  <si>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</si>
  <si>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</si>
  <si>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</si>
  <si>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</si>
  <si>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</si>
  <si>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</si>
  <si>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</si>
  <si>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</si>
  <si>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</si>
  <si>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</si>
  <si>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</si>
  <si>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</si>
  <si>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</si>
  <si>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</si>
  <si>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</si>
  <si>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</si>
  <si>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</si>
  <si>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</si>
  <si>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</si>
  <si>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</si>
  <si>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</si>
  <si>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</si>
  <si>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</si>
  <si>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</si>
  <si>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</si>
  <si>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</si>
  <si>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</si>
  <si>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</si>
  <si>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</si>
  <si>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</si>
  <si>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</si>
  <si>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</si>
  <si>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</si>
  <si>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</si>
  <si>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</si>
  <si>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</si>
  <si>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</si>
  <si>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</si>
  <si>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</si>
  <si>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</si>
  <si>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</si>
  <si>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</si>
  <si>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</si>
  <si>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</si>
  <si>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</si>
  <si>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</si>
  <si>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</si>
  <si>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</si>
  <si>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</si>
  <si>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</si>
  <si>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</si>
  <si>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</si>
  <si>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</si>
  <si>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</si>
  <si>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</si>
  <si>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</si>
  <si>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</si>
  <si>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</si>
  <si>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</si>
  <si>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</si>
  <si>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</si>
  <si>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</si>
  <si>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</si>
  <si>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</si>
  <si>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</si>
  <si>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</si>
  <si>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</si>
  <si>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</si>
  <si>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</si>
  <si>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</si>
  <si>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</si>
  <si>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</si>
  <si>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</si>
  <si>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</si>
  <si>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</si>
  <si>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</si>
  <si>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</si>
  <si>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</si>
  <si>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</si>
  <si>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</si>
  <si>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</si>
  <si>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</si>
  <si>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</si>
  <si>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</si>
  <si>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</si>
  <si>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</si>
  <si>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</si>
  <si>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</si>
  <si>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</si>
  <si>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</si>
  <si>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</si>
  <si>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</si>
  <si>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</si>
  <si>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</si>
  <si>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</si>
  <si>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</si>
  <si>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</si>
  <si>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</si>
  <si>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</si>
  <si>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</si>
  <si>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</si>
  <si>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</si>
  <si>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</si>
  <si>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</si>
  <si>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</si>
  <si>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</si>
  <si>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</si>
  <si>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</si>
  <si>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</si>
  <si>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</si>
  <si>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</si>
  <si>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</si>
  <si>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</si>
  <si>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</si>
  <si>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</si>
  <si>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</si>
  <si>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</si>
  <si>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</si>
  <si>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</si>
  <si>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</si>
  <si>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</si>
  <si>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</si>
  <si>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</si>
  <si>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</si>
  <si>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</si>
  <si>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</si>
  <si>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</si>
  <si>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</si>
  <si>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</si>
  <si>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</si>
  <si>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</si>
  <si>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</si>
  <si>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</si>
  <si>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</si>
  <si>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</si>
  <si>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</si>
  <si>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</si>
  <si>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</si>
  <si>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</si>
  <si>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</si>
  <si>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</si>
  <si>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</si>
  <si>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</si>
  <si>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</si>
  <si>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</si>
  <si>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</si>
  <si>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</si>
  <si>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</si>
  <si>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</si>
  <si>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</si>
  <si>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</si>
  <si>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</si>
  <si>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</si>
  <si>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</si>
  <si>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</si>
  <si>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</si>
  <si>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</si>
  <si>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</si>
  <si>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</si>
  <si>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</si>
  <si>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</si>
  <si>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</si>
  <si>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</si>
  <si>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</si>
  <si>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</si>
  <si>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</si>
  <si>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</si>
  <si>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</si>
  <si>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</si>
  <si>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</si>
  <si>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</si>
  <si>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</si>
  <si>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</si>
  <si>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</si>
  <si>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</si>
  <si>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</si>
  <si>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</si>
  <si>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</si>
  <si>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</si>
  <si>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</si>
  <si>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</si>
  <si>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</si>
  <si>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</si>
  <si>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</si>
  <si>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</si>
  <si>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</si>
  <si>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</si>
  <si>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</si>
  <si>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</si>
  <si>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</si>
  <si>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</si>
  <si>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</si>
  <si>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</si>
  <si>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</si>
  <si>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</si>
  <si>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</si>
  <si>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</si>
  <si>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</si>
  <si>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</si>
  <si>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</si>
  <si>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</si>
  <si>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</si>
  <si>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</si>
  <si>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</si>
  <si>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</si>
  <si>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</si>
  <si>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</si>
  <si>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</si>
  <si>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</si>
  <si>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</si>
  <si>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</si>
  <si>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</si>
  <si>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</si>
  <si>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</si>
  <si>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</si>
  <si>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</si>
  <si>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</si>
  <si>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</si>
  <si>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</si>
  <si>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</si>
  <si>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</si>
  <si>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</si>
  <si>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</si>
  <si>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</si>
  <si>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</si>
  <si>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</si>
  <si>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</si>
  <si>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</si>
  <si>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</si>
  <si>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</si>
  <si>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</si>
  <si>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</si>
  <si>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</si>
  <si>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</si>
  <si>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</si>
  <si>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</si>
  <si>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</si>
  <si>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</si>
  <si>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</si>
  <si>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</si>
  <si>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</si>
  <si>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</si>
  <si>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</si>
  <si>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</si>
  <si>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</si>
  <si>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</si>
  <si>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</si>
  <si>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</si>
  <si>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</si>
  <si>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</si>
  <si>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</si>
  <si>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</si>
  <si>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</si>
  <si>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</si>
  <si>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</si>
  <si>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</si>
  <si>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</si>
  <si>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</si>
  <si>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</si>
  <si>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</si>
  <si>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</si>
  <si>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</si>
  <si>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</si>
  <si>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</si>
  <si>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</si>
  <si>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</si>
  <si>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</si>
  <si>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</si>
  <si>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</si>
  <si>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</si>
  <si>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</si>
  <si>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</si>
  <si>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</si>
  <si>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</si>
  <si>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</si>
  <si>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</si>
  <si>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</si>
  <si>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</si>
  <si>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</si>
  <si>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</si>
  <si>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</si>
  <si>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</si>
  <si>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</si>
  <si>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</si>
  <si>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</si>
  <si>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</si>
  <si>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</si>
  <si>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</si>
  <si>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</si>
  <si>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</si>
  <si>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</si>
  <si>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</si>
  <si>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</si>
  <si>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</si>
  <si>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</si>
  <si>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</si>
  <si>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</si>
  <si>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</si>
  <si>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</si>
  <si>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</si>
  <si>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</si>
  <si>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</si>
  <si>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</si>
  <si>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</si>
  <si>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</si>
  <si>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</si>
  <si>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</si>
  <si>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</si>
  <si>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</si>
  <si>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</si>
  <si>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</si>
  <si>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</si>
  <si>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</si>
  <si>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</si>
  <si>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</si>
  <si>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</si>
  <si>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</si>
  <si>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</si>
  <si>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</si>
  <si>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</si>
  <si>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</si>
  <si>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</si>
  <si>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</si>
  <si>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</si>
  <si>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</si>
  <si>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</si>
  <si>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</si>
  <si>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</si>
  <si>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</si>
  <si>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</si>
  <si>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</si>
  <si>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</si>
  <si>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</si>
  <si>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</si>
  <si>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</si>
  <si>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</si>
  <si>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</si>
  <si>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</si>
  <si>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</si>
  <si>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</si>
  <si>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</si>
  <si>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</si>
  <si>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</si>
  <si>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</si>
  <si>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</si>
  <si>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</si>
  <si>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</si>
  <si>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</si>
  <si>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</si>
  <si>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</si>
  <si>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</si>
  <si>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</si>
  <si>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</si>
  <si>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</si>
  <si>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</si>
  <si>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</si>
  <si>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</si>
  <si>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</si>
  <si>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</si>
  <si>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</si>
  <si>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</si>
  <si>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</si>
  <si>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</si>
  <si>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</si>
  <si>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</si>
  <si>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</si>
  <si>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</si>
  <si>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</si>
  <si>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</si>
  <si>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</si>
  <si>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</si>
  <si>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</si>
  <si>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</si>
  <si>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</si>
  <si>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</si>
  <si>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</si>
  <si>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</si>
  <si>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</si>
  <si>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</si>
  <si>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</si>
  <si>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</si>
  <si>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</si>
  <si>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</si>
  <si>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</si>
  <si>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</si>
  <si>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</si>
  <si>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</si>
  <si>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</si>
  <si>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</si>
  <si>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</si>
  <si>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</si>
  <si>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</si>
  <si>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</si>
  <si>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</si>
  <si>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</si>
  <si>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</si>
  <si>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</si>
  <si>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</si>
  <si>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</si>
  <si>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</si>
  <si>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</si>
  <si>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</si>
  <si>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</si>
  <si>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</si>
  <si>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</si>
  <si>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</si>
  <si>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</si>
  <si>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</si>
  <si>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</si>
  <si>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</si>
  <si>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</si>
  <si>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</si>
  <si>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</si>
  <si>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</si>
  <si>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</si>
  <si>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</si>
  <si>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</si>
  <si>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</si>
  <si>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</si>
  <si>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</si>
  <si>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</si>
  <si>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</si>
  <si>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</si>
  <si>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</si>
  <si>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</si>
  <si>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</si>
  <si>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</si>
  <si>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</si>
  <si>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</si>
  <si>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</si>
  <si>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</si>
  <si>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</si>
  <si>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</si>
  <si>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</si>
  <si>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</si>
  <si>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</si>
  <si>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</si>
  <si>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</si>
  <si>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</si>
  <si>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</si>
  <si>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</si>
  <si>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</si>
  <si>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</si>
  <si>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</si>
  <si>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</si>
  <si>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</si>
  <si>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</si>
  <si>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</si>
  <si>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</si>
  <si>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</si>
  <si>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</si>
  <si>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</si>
  <si>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</si>
  <si>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</si>
  <si>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</si>
  <si>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</si>
  <si>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</si>
  <si>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</si>
  <si>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</si>
  <si>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</si>
  <si>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</si>
  <si>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</si>
  <si>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</si>
  <si>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</si>
  <si>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</si>
  <si>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</si>
  <si>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</si>
  <si>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</si>
  <si>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</si>
  <si>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</si>
  <si>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</si>
  <si>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</si>
  <si>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</si>
  <si>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</si>
  <si>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</si>
  <si>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</si>
  <si>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</si>
  <si>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</si>
  <si>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</si>
  <si>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</si>
  <si>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</si>
  <si>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</si>
  <si>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</si>
  <si>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</si>
  <si>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</si>
  <si>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</si>
  <si>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</si>
  <si>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</si>
  <si>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</si>
  <si>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</si>
  <si>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</si>
  <si>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</si>
  <si>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</si>
  <si>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</si>
  <si>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</si>
  <si>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</si>
  <si>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</si>
  <si>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</si>
  <si>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</si>
  <si>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</si>
  <si>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</si>
  <si>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</si>
  <si>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</si>
  <si>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</si>
  <si>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</si>
  <si>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</si>
  <si>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</si>
  <si>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</si>
  <si>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</si>
  <si>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</si>
  <si>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</si>
  <si>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</si>
  <si>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</si>
  <si>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</si>
  <si>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</si>
  <si>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</si>
  <si>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</si>
  <si>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</si>
  <si>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</si>
  <si>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</si>
  <si>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</si>
  <si>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</si>
  <si>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</si>
  <si>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</si>
  <si>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</si>
  <si>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</si>
  <si>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</si>
  <si>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</si>
  <si>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</si>
  <si>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</si>
  <si>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</si>
  <si>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</si>
  <si>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</si>
  <si>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</si>
  <si>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</si>
  <si>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</si>
  <si>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</si>
  <si>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</si>
  <si>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</si>
  <si>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</si>
  <si>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</si>
  <si>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</si>
  <si>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</si>
  <si>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</si>
  <si>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</si>
  <si>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</si>
  <si>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</si>
  <si>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</si>
  <si>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</si>
  <si>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</si>
  <si>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</si>
  <si>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</si>
  <si>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</si>
  <si>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</si>
  <si>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</si>
  <si>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</si>
  <si>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</si>
  <si>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</si>
  <si>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</si>
  <si>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</si>
  <si>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</si>
  <si>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</si>
  <si>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</si>
  <si>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</si>
  <si>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</si>
  <si>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</si>
  <si>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</si>
  <si>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</si>
  <si>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</si>
  <si>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</si>
  <si>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</si>
  <si>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</si>
  <si>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</si>
  <si>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</si>
  <si>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</si>
  <si>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</si>
  <si>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</si>
  <si>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</si>
  <si>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</si>
  <si>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</si>
  <si>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</si>
  <si>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</si>
  <si>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</si>
  <si>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</si>
  <si>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</si>
  <si>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</si>
  <si>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</si>
  <si>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</si>
  <si>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</si>
  <si>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</si>
  <si>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</si>
  <si>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</si>
  <si>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</si>
  <si>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</si>
  <si>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</si>
  <si>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</si>
  <si>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</si>
  <si>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</si>
  <si>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</si>
  <si>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</si>
  <si>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</si>
  <si>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</si>
  <si>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</si>
  <si>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</si>
  <si>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</si>
  <si>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</si>
  <si>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</si>
  <si>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</si>
  <si>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</si>
  <si>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</si>
  <si>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</si>
  <si>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</si>
  <si>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</si>
  <si>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</si>
  <si>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</si>
  <si>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</si>
  <si>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</si>
  <si>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</si>
  <si>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</si>
  <si>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</si>
  <si>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</si>
  <si>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</si>
  <si>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</si>
  <si>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</si>
  <si>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</si>
  <si>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</si>
  <si>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</si>
  <si>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</si>
  <si>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</si>
  <si>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</si>
  <si>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</si>
  <si>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</si>
  <si>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</si>
  <si>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</si>
  <si>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</si>
  <si>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</si>
  <si>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</si>
  <si>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</si>
  <si>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</si>
  <si>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</si>
  <si>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</si>
  <si>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</si>
  <si>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</si>
  <si>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</si>
  <si>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</si>
  <si>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</si>
  <si>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</si>
  <si>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</si>
  <si>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</si>
  <si>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</si>
  <si>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</si>
  <si>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</si>
  <si>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</si>
  <si>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</si>
  <si>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</si>
  <si>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</si>
  <si>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</si>
  <si>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</si>
  <si>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</si>
  <si>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</si>
  <si>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</si>
  <si>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</si>
  <si>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</si>
  <si>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</si>
  <si>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</si>
  <si>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</si>
  <si>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</si>
  <si>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</si>
  <si>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</si>
  <si>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</si>
  <si>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</si>
  <si>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</si>
  <si>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</si>
  <si>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</si>
  <si>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</si>
  <si>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</si>
  <si>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</si>
  <si>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</si>
  <si>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</si>
  <si>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</si>
  <si>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</si>
  <si>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</si>
  <si>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</si>
  <si>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</si>
  <si>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</si>
  <si>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</si>
  <si>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</si>
  <si>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</si>
  <si>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</si>
  <si>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</si>
  <si>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</si>
  <si>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</si>
  <si>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</si>
  <si>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</si>
  <si>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</si>
  <si>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</si>
  <si>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</si>
  <si>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</si>
  <si>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</si>
  <si>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</si>
  <si>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</si>
  <si>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</si>
  <si>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</si>
  <si>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</si>
  <si>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</si>
  <si>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</si>
  <si>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</si>
  <si>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</si>
  <si>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</si>
  <si>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</si>
  <si>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</si>
  <si>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</si>
  <si>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</si>
  <si>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</si>
  <si>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</si>
  <si>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</si>
  <si>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</si>
  <si>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</si>
  <si>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</si>
  <si>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</si>
  <si>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</si>
  <si>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</si>
  <si>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</si>
  <si>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</si>
  <si>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</si>
  <si>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</si>
  <si>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</si>
  <si>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</si>
  <si>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</si>
  <si>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</si>
  <si>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</si>
  <si>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</si>
  <si>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</si>
  <si>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</si>
  <si>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</si>
  <si>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</si>
  <si>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</si>
  <si>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</si>
  <si>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</si>
  <si>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</si>
  <si>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</si>
  <si>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</si>
  <si>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</si>
  <si>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</si>
  <si>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</si>
  <si>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</si>
  <si>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</si>
  <si>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</si>
  <si>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</si>
  <si>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</si>
  <si>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</si>
  <si>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</si>
  <si>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</si>
  <si>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</si>
  <si>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</si>
  <si>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</si>
  <si>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</si>
  <si>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</si>
  <si>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</si>
  <si>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</si>
  <si>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</si>
  <si>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</si>
  <si>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</si>
  <si>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</si>
  <si>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</si>
  <si>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</si>
  <si>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</si>
  <si>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</si>
  <si>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</si>
  <si>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</si>
  <si>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</si>
  <si>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</si>
  <si>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</si>
  <si>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</si>
  <si>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</si>
  <si>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</si>
  <si>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</si>
  <si>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</si>
  <si>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</si>
  <si>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</si>
  <si>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</si>
  <si>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</si>
  <si>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</si>
  <si>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</si>
  <si>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</si>
  <si>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</si>
  <si>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</si>
  <si>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</si>
  <si>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</si>
  <si>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</si>
  <si>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</si>
  <si>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</si>
  <si>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</si>
  <si>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</si>
  <si>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</si>
  <si>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</si>
  <si>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</si>
  <si>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</si>
  <si>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</si>
  <si>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</si>
  <si>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</si>
  <si>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</si>
  <si>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</si>
  <si>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</si>
  <si>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</si>
  <si>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</si>
  <si>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</si>
  <si>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</si>
  <si>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</si>
  <si>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</si>
  <si>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</si>
  <si>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</si>
  <si>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</si>
  <si>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</si>
  <si>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</si>
  <si>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</si>
  <si>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</si>
  <si>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</si>
  <si>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</si>
  <si>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</si>
  <si>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</si>
  <si>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</si>
  <si>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</si>
  <si>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</si>
  <si>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</si>
  <si>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</si>
  <si>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</si>
  <si>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</si>
  <si>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</si>
  <si>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</si>
  <si>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</si>
  <si>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</si>
  <si>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</si>
  <si>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</si>
  <si>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</si>
  <si>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</si>
  <si>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</si>
  <si>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</si>
  <si>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</si>
  <si>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</si>
  <si>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</si>
  <si>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</si>
  <si>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</si>
  <si>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</si>
  <si>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</si>
  <si>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</si>
  <si>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</si>
  <si>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</si>
  <si>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</si>
  <si>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</si>
  <si>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</si>
  <si>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</si>
  <si>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</si>
  <si>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</si>
  <si>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</si>
  <si>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</si>
  <si>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</si>
  <si>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</si>
  <si>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</si>
  <si>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</si>
  <si>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</si>
  <si>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</si>
  <si>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</si>
  <si>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</si>
  <si>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</si>
  <si>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</si>
  <si>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</si>
  <si>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</si>
  <si>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</si>
  <si>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</si>
  <si>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</si>
  <si>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</si>
  <si>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</si>
  <si>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</si>
  <si>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</si>
  <si>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</si>
  <si>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</si>
  <si>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</si>
  <si>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</si>
  <si>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</si>
  <si>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</si>
  <si>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</si>
  <si>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</si>
  <si>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</si>
  <si>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</si>
  <si>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</si>
  <si>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</si>
  <si>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</si>
  <si>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</si>
  <si>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</si>
  <si>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</si>
  <si>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</si>
  <si>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</si>
  <si>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</si>
  <si>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</si>
  <si>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</si>
  <si>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</si>
  <si>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</si>
  <si>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</si>
  <si>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</si>
  <si>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</si>
  <si>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</si>
  <si>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</si>
  <si>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</si>
  <si>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</si>
  <si>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</si>
  <si>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</si>
  <si>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</si>
  <si>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</si>
  <si>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</si>
  <si>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</si>
  <si>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</si>
  <si>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</si>
  <si>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</si>
  <si>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</si>
  <si>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</si>
  <si>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</si>
  <si>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</si>
  <si>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</si>
  <si>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</si>
  <si>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</si>
  <si>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</si>
  <si>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</si>
  <si>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</si>
  <si>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</si>
  <si>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</si>
  <si>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</si>
  <si>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</si>
  <si>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</si>
  <si>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</si>
  <si>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</si>
  <si>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</si>
  <si>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</si>
  <si>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</si>
  <si>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</si>
  <si>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</si>
  <si>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</si>
  <si>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</si>
  <si>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</si>
  <si>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</si>
  <si>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</si>
  <si>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</si>
  <si>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</si>
  <si>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</si>
  <si>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</si>
  <si>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</si>
  <si>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</si>
  <si>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</si>
  <si>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</si>
  <si>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</si>
  <si>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</si>
  <si>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</si>
  <si>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</si>
  <si>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</si>
  <si>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</si>
  <si>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</si>
  <si>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</si>
  <si>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</si>
  <si>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</si>
  <si>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</si>
  <si>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</si>
  <si>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</si>
  <si>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</si>
  <si>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</si>
  <si>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</si>
  <si>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</si>
  <si>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</si>
  <si>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</si>
  <si>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</si>
  <si>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</si>
  <si>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</si>
  <si>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</si>
  <si>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</si>
  <si>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</si>
  <si>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</si>
  <si>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</si>
  <si>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</si>
  <si>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</si>
  <si>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</si>
  <si>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</si>
  <si>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</si>
  <si>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</si>
  <si>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</si>
  <si>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</si>
  <si>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</si>
  <si>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</si>
  <si>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</si>
  <si>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</si>
  <si>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</si>
  <si>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</si>
  <si>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</si>
  <si>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</si>
  <si>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</si>
  <si>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</si>
  <si>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</si>
  <si>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</si>
  <si>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</si>
  <si>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</si>
  <si>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</si>
  <si>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</si>
  <si>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</si>
  <si>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</si>
  <si>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</si>
  <si>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</si>
  <si>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</si>
  <si>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</si>
  <si>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</si>
  <si>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</si>
  <si>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</si>
  <si>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</si>
  <si>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</si>
  <si>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</si>
  <si>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</si>
  <si>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</si>
  <si>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</si>
  <si>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</si>
  <si>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</si>
  <si>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</si>
  <si>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</si>
  <si>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</si>
  <si>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</si>
  <si>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</si>
  <si>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</si>
  <si>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</si>
  <si>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</si>
  <si>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</si>
  <si>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</si>
  <si>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</si>
  <si>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</si>
  <si>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</si>
  <si>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</si>
  <si>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</si>
  <si>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</si>
  <si>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</si>
  <si>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</si>
  <si>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</si>
  <si>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</si>
  <si>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</si>
  <si>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</si>
  <si>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</si>
  <si>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</si>
  <si>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</si>
  <si>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</si>
  <si>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</si>
  <si>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</si>
  <si>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</si>
  <si>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</si>
  <si>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</si>
  <si>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</si>
  <si>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</si>
  <si>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</si>
  <si>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</si>
  <si>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</si>
  <si>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</si>
  <si>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</si>
  <si>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</si>
  <si>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</si>
  <si>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</si>
  <si>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</si>
  <si>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</si>
  <si>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</si>
  <si>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</si>
  <si>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</si>
  <si>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</si>
  <si>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</si>
  <si>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</si>
  <si>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</si>
  <si>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</si>
  <si>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</si>
  <si>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</si>
  <si>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</si>
  <si>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</si>
  <si>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</si>
  <si>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</si>
  <si>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</si>
  <si>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</si>
  <si>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</si>
  <si>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</si>
  <si>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</si>
  <si>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</si>
  <si>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</si>
  <si>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</si>
  <si>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</si>
  <si>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</si>
  <si>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</si>
  <si>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</si>
  <si>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</si>
  <si>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</si>
  <si>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</si>
  <si>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</si>
  <si>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</si>
  <si>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</si>
  <si>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</si>
  <si>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</si>
  <si>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</si>
  <si>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</si>
  <si>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</si>
  <si>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</si>
  <si>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</si>
  <si>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</si>
  <si>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</si>
  <si>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</si>
  <si>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</si>
  <si>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</si>
  <si>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</si>
  <si>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</si>
  <si>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</si>
  <si>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</si>
  <si>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</si>
  <si>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</si>
  <si>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</si>
  <si>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</si>
  <si>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</si>
  <si>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</si>
  <si>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</si>
  <si>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</si>
  <si>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</si>
  <si>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</si>
  <si>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</si>
  <si>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</si>
  <si>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</si>
  <si>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</si>
  <si>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</si>
  <si>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</si>
  <si>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</si>
  <si>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</si>
  <si>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</si>
  <si>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</si>
  <si>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</si>
  <si>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</si>
  <si>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</si>
  <si>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</si>
  <si>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</si>
  <si>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</si>
  <si>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</si>
  <si>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</si>
  <si>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</si>
  <si>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</si>
  <si>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</si>
  <si>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</si>
  <si>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</si>
  <si>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</si>
  <si>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</si>
  <si>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</si>
  <si>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</si>
  <si>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</si>
  <si>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</si>
  <si>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</si>
  <si>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</si>
  <si>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</si>
  <si>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</si>
  <si>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</si>
  <si>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</si>
  <si>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</si>
  <si>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</si>
  <si>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</si>
  <si>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</si>
  <si>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</si>
  <si>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</si>
  <si>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</si>
  <si>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</si>
  <si>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</si>
  <si>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</si>
  <si>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</si>
  <si>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</si>
  <si>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</si>
  <si>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</si>
  <si>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</si>
  <si>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</si>
  <si>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</si>
  <si>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</si>
  <si>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</si>
  <si>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</si>
  <si>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</si>
  <si>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</si>
  <si>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</si>
  <si>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</si>
  <si>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</si>
  <si>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</si>
  <si>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</si>
  <si>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</si>
  <si>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</si>
  <si>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</si>
  <si>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</si>
  <si>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</si>
  <si>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</si>
  <si>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</si>
  <si>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</si>
  <si>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</si>
  <si>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</si>
  <si>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</si>
  <si>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</si>
  <si>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</si>
  <si>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</si>
  <si>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</si>
  <si>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</si>
  <si>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</si>
  <si>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</si>
  <si>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</si>
  <si>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</si>
  <si>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</si>
  <si>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</si>
  <si>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</si>
  <si>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</si>
  <si>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</si>
  <si>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</si>
  <si>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</si>
  <si>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</si>
  <si>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</si>
  <si>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</si>
  <si>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</si>
  <si>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</si>
  <si>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</si>
  <si>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</si>
  <si>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</si>
  <si>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</si>
  <si>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</si>
  <si>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</si>
  <si>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</si>
  <si>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</si>
  <si>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</si>
  <si>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</si>
  <si>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</si>
  <si>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</si>
  <si>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</si>
  <si>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</si>
  <si>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</si>
  <si>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</si>
  <si>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</si>
  <si>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</si>
  <si>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</si>
  <si>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</si>
  <si>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</si>
  <si>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</si>
  <si>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</si>
  <si>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</si>
  <si>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</si>
  <si>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</si>
  <si>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</si>
  <si>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</si>
  <si>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</si>
  <si>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</si>
  <si>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</si>
  <si>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</si>
  <si>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</si>
  <si>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</si>
  <si>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</si>
  <si>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</si>
  <si>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</si>
  <si>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</si>
  <si>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</si>
  <si>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</si>
  <si>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</si>
  <si>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</si>
  <si>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</si>
  <si>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</si>
  <si>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</si>
  <si>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</si>
  <si>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</si>
  <si>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</si>
  <si>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</si>
  <si>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</si>
  <si>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</si>
  <si>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</si>
  <si>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</si>
  <si>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</si>
  <si>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</si>
  <si>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</si>
  <si>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</si>
  <si>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</si>
  <si>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</si>
  <si>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</si>
  <si>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</si>
  <si>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</si>
  <si>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</si>
  <si>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</si>
  <si>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</si>
  <si>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</si>
  <si>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</si>
  <si>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</si>
  <si>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</si>
  <si>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</si>
  <si>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</si>
  <si>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</si>
  <si>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</si>
  <si>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</si>
  <si>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</si>
  <si>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</si>
  <si>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</si>
  <si>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</si>
  <si>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</si>
  <si>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</si>
  <si>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</si>
  <si>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</si>
  <si>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</si>
  <si>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</si>
  <si>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</si>
  <si>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</si>
  <si>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</si>
  <si>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</si>
  <si>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</si>
  <si>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</si>
  <si>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</si>
  <si>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</si>
  <si>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</si>
  <si>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</si>
  <si>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</si>
  <si>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</si>
  <si>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</si>
  <si>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</si>
  <si>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</si>
  <si>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</si>
  <si>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</si>
  <si>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</si>
  <si>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</si>
  <si>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</si>
  <si>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</si>
  <si>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</si>
  <si>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</si>
  <si>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</si>
  <si>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</si>
  <si>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</si>
  <si>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</si>
  <si>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</si>
  <si>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</si>
  <si>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</si>
  <si>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</si>
  <si>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</si>
  <si>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</si>
  <si>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</si>
  <si>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</si>
  <si>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</si>
  <si>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</si>
  <si>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</si>
  <si>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</si>
  <si>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</si>
  <si>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</si>
  <si>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</si>
  <si>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</si>
  <si>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</si>
  <si>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</si>
  <si>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</si>
  <si>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</si>
  <si>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</si>
  <si>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</si>
  <si>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</si>
  <si>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</si>
  <si>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</si>
  <si>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</si>
  <si>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</si>
  <si>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</si>
  <si>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</si>
  <si>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</si>
  <si>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</si>
  <si>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</si>
  <si>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</si>
  <si>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</si>
  <si>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</si>
  <si>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</si>
  <si>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</si>
  <si>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</si>
  <si>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</si>
  <si>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</si>
  <si>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</si>
  <si>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</si>
  <si>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</si>
  <si>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</si>
  <si>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</si>
  <si>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</si>
  <si>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</si>
  <si>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</si>
  <si>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</si>
  <si>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</si>
  <si>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</si>
  <si>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</si>
  <si>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</si>
  <si>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</si>
  <si>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</si>
  <si>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</si>
  <si>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</si>
  <si>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</si>
  <si>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</si>
  <si>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</si>
  <si>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</si>
  <si>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</si>
  <si>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</si>
  <si>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</si>
  <si>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</si>
  <si>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</si>
  <si>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</si>
  <si>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</si>
  <si>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</si>
  <si>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</si>
  <si>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</si>
  <si>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</si>
  <si>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</si>
  <si>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</si>
  <si>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</si>
  <si>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</si>
  <si>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</si>
  <si>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</si>
  <si>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</si>
  <si>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</si>
  <si>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</si>
  <si>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</si>
  <si>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</si>
  <si>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</si>
  <si>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</si>
  <si>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</si>
  <si>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</si>
  <si>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</si>
  <si>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</si>
  <si>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</si>
  <si>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</si>
  <si>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</si>
  <si>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</si>
  <si>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</si>
  <si>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</si>
  <si>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</si>
  <si>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</si>
  <si>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</si>
  <si>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</si>
  <si>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</si>
  <si>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</si>
  <si>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</si>
  <si>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</si>
  <si>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</si>
  <si>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</si>
  <si>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</si>
  <si>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</si>
  <si>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</si>
  <si>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</si>
  <si>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</si>
  <si>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</si>
  <si>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</si>
  <si>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</si>
  <si>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</si>
  <si>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</si>
  <si>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</si>
  <si>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</si>
  <si>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</si>
  <si>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</si>
  <si>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</si>
  <si>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</si>
  <si>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</si>
  <si>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</si>
  <si>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</si>
  <si>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</si>
  <si>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</si>
  <si>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</si>
  <si>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</si>
  <si>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</si>
  <si>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</si>
  <si>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</si>
  <si>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</si>
  <si>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</si>
  <si>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</si>
  <si>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</si>
  <si>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</si>
  <si>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</si>
  <si>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</si>
  <si>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</si>
  <si>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</si>
  <si>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</si>
  <si>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</si>
  <si>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</si>
  <si>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</si>
  <si>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</si>
  <si>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</si>
  <si>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</si>
  <si>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</si>
  <si>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</si>
  <si>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</si>
  <si>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</si>
  <si>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</si>
  <si>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</si>
  <si>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</si>
  <si>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</si>
  <si>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</si>
  <si>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</si>
  <si>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</si>
  <si>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</si>
  <si>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</si>
  <si>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</si>
  <si>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</si>
  <si>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</si>
  <si>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</si>
  <si>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</si>
  <si>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</si>
  <si>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</si>
  <si>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</si>
  <si>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</si>
  <si>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</si>
  <si>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</si>
  <si>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</si>
  <si>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</si>
  <si>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</si>
  <si>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</si>
  <si>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</si>
  <si>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</si>
  <si>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</si>
  <si>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</si>
  <si>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</si>
  <si>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</si>
  <si>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</si>
  <si>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</si>
  <si>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</si>
  <si>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</si>
  <si>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</si>
  <si>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</si>
  <si>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</si>
  <si>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</si>
  <si>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</si>
  <si>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</si>
  <si>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</si>
  <si>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</si>
  <si>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</si>
  <si>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</si>
  <si>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</si>
  <si>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</si>
  <si>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</si>
  <si>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</si>
  <si>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</si>
  <si>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</si>
  <si>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</si>
  <si>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</si>
  <si>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</si>
  <si>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</si>
  <si>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</si>
  <si>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</si>
  <si>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</si>
  <si>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</si>
  <si>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</si>
  <si>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</si>
  <si>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</si>
  <si>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</si>
  <si>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</si>
  <si>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</si>
  <si>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</si>
  <si>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</si>
  <si>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</si>
  <si>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</si>
  <si>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</si>
  <si>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</si>
  <si>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</si>
  <si>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</si>
  <si>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</si>
  <si>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</si>
  <si>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</si>
  <si>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</si>
  <si>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</si>
  <si>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</si>
  <si>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</si>
  <si>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</si>
  <si>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</si>
  <si>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</si>
  <si>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</si>
  <si>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</si>
  <si>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</si>
  <si>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</si>
  <si>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</si>
  <si>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</si>
  <si>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</si>
  <si>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</si>
  <si>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</si>
  <si>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</si>
  <si>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</si>
  <si>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</si>
  <si>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</si>
  <si>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</si>
  <si>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</si>
  <si>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</si>
  <si>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</si>
  <si>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</si>
  <si>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</si>
  <si>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</si>
  <si>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</si>
  <si>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</si>
  <si>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</si>
  <si>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</si>
  <si>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</si>
  <si>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</si>
  <si>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</si>
  <si>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</si>
  <si>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</si>
  <si>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</si>
  <si>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</si>
  <si>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</si>
  <si>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</si>
  <si>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</si>
  <si>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</si>
  <si>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</si>
  <si>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</si>
  <si>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</si>
  <si>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</si>
  <si>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</si>
  <si>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</si>
  <si>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</si>
  <si>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</si>
  <si>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</si>
  <si>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</si>
  <si>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</si>
  <si>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</si>
  <si>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</si>
  <si>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</si>
  <si>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</si>
  <si>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</si>
  <si>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</si>
  <si>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</si>
  <si>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</si>
  <si>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</si>
  <si>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</si>
  <si>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</si>
  <si>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</si>
  <si>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</si>
  <si>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</si>
  <si>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</si>
  <si>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</si>
  <si>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</si>
  <si>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</si>
  <si>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</si>
  <si>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</si>
  <si>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</si>
  <si>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</si>
  <si>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</si>
  <si>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</si>
  <si>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</si>
  <si>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</si>
  <si>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</si>
  <si>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</si>
  <si>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</si>
  <si>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</si>
  <si>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</si>
  <si>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</si>
  <si>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</si>
  <si>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</si>
  <si>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</si>
  <si>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</si>
  <si>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</si>
  <si>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</si>
  <si>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</si>
  <si>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</si>
  <si>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</si>
  <si>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</si>
  <si>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</si>
  <si>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</si>
  <si>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</si>
  <si>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</si>
  <si>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</si>
  <si>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</si>
  <si>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</si>
  <si>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</si>
  <si>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</si>
  <si>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</si>
  <si>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</si>
  <si>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</si>
  <si>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</si>
  <si>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</si>
  <si>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</si>
  <si>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</si>
  <si>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</si>
  <si>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</si>
  <si>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</si>
  <si>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</si>
  <si>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</si>
  <si>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</si>
  <si>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</si>
  <si>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</si>
  <si>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</si>
  <si>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</si>
  <si>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</si>
  <si>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</si>
  <si>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</si>
  <si>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</si>
  <si>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</si>
  <si>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</si>
  <si>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</si>
  <si>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</si>
  <si>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</si>
  <si>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</si>
  <si>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</si>
  <si>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</si>
  <si>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</si>
  <si>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</si>
  <si>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</si>
  <si>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</si>
  <si>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</si>
  <si>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</si>
  <si>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</si>
  <si>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</si>
  <si>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</si>
  <si>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</si>
  <si>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</si>
  <si>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</si>
  <si>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</si>
  <si>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</si>
  <si>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</si>
  <si>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</si>
  <si>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</si>
  <si>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</si>
  <si>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</si>
  <si>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</si>
  <si>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</si>
  <si>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</si>
  <si>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</si>
  <si>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</si>
  <si>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</si>
  <si>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</si>
  <si>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</si>
  <si>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</si>
  <si>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</si>
  <si>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</si>
  <si>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</si>
  <si>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</si>
  <si>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</si>
  <si>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</si>
  <si>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</si>
  <si>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</si>
  <si>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</si>
  <si>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</si>
  <si>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</si>
  <si>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</si>
  <si>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</si>
  <si>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</si>
  <si>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</si>
  <si>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</si>
  <si>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</si>
  <si>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</si>
  <si>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</si>
  <si>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</si>
  <si>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</si>
  <si>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</si>
  <si>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</si>
  <si>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</si>
  <si>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</si>
  <si>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</si>
  <si>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</si>
  <si>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</si>
  <si>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</si>
  <si>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</si>
  <si>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</si>
  <si>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</si>
  <si>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</si>
  <si>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</si>
  <si>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</si>
  <si>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</si>
  <si>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</si>
  <si>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</si>
  <si>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</si>
  <si>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</si>
  <si>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</si>
  <si>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</si>
  <si>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</si>
  <si>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</si>
  <si>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</si>
  <si>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</si>
  <si>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</si>
  <si>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</si>
  <si>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</si>
  <si>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</si>
  <si>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</si>
  <si>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</si>
  <si>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</si>
  <si>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</si>
  <si>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</si>
  <si>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</si>
  <si>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</si>
  <si>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</si>
  <si>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</si>
  <si>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</si>
  <si>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</si>
  <si>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</si>
  <si>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</si>
  <si>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</si>
  <si>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</si>
  <si>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</si>
  <si>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</si>
  <si>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</si>
  <si>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</si>
  <si>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</si>
  <si>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</si>
  <si>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</si>
  <si>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</si>
  <si>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</si>
  <si>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</si>
  <si>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</si>
  <si>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</si>
  <si>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</si>
  <si>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</si>
  <si>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</si>
  <si>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</si>
  <si>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</si>
  <si>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</si>
  <si>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</si>
  <si>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</si>
  <si>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</si>
  <si>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</si>
  <si>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</si>
  <si>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</si>
  <si>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</si>
  <si>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</si>
  <si>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</si>
  <si>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</si>
  <si>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</si>
  <si>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</si>
  <si>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</si>
  <si>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</si>
  <si>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</si>
  <si>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</si>
  <si>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</si>
  <si>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</si>
  <si>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</si>
  <si>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</si>
  <si>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</si>
  <si>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</si>
  <si>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</si>
  <si>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</si>
  <si>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</si>
  <si>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</si>
  <si>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</si>
  <si>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</si>
  <si>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</si>
  <si>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</si>
  <si>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</si>
  <si>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</si>
  <si>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</si>
  <si>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</si>
  <si>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</si>
  <si>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</si>
  <si>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</si>
  <si>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</si>
  <si>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</si>
  <si>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</si>
  <si>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</si>
  <si>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</si>
  <si>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</si>
  <si>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</si>
  <si>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</si>
  <si>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</si>
  <si>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</si>
  <si>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</si>
  <si>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</si>
  <si>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</si>
  <si>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</si>
  <si>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</si>
  <si>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</si>
  <si>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</si>
  <si>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</si>
  <si>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</si>
  <si>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</si>
  <si>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</si>
  <si>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</si>
  <si>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</si>
  <si>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</si>
  <si>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</si>
  <si>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</si>
  <si>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</si>
  <si>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</si>
  <si>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</si>
  <si>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</si>
  <si>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</si>
  <si>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</si>
  <si>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</si>
  <si>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</si>
  <si>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</si>
  <si>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</si>
  <si>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</si>
  <si>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</si>
  <si>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</si>
  <si>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</si>
  <si>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</si>
  <si>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</si>
  <si>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</si>
  <si>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</si>
  <si>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</si>
  <si>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</si>
  <si>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</si>
  <si>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</si>
  <si>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</si>
  <si>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</si>
  <si>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</si>
  <si>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</si>
  <si>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</si>
  <si>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</si>
  <si>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</si>
  <si>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</si>
  <si>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</si>
  <si>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</si>
  <si>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</si>
  <si>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</si>
  <si>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</si>
  <si>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</si>
  <si>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</si>
  <si>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</si>
  <si>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</si>
  <si>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</si>
  <si>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</si>
  <si>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</si>
  <si>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</si>
  <si>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</si>
  <si>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</si>
  <si>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</si>
  <si>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</si>
  <si>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</si>
  <si>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</si>
  <si>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</si>
  <si>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</si>
  <si>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</si>
  <si>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</si>
  <si>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</si>
  <si>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</si>
  <si>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</si>
  <si>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</si>
  <si>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</si>
  <si>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</si>
  <si>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</si>
  <si>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</si>
  <si>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</si>
  <si>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</si>
  <si>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</si>
  <si>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</si>
  <si>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</si>
  <si>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</si>
  <si>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</si>
  <si>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</si>
  <si>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</si>
  <si>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</si>
  <si>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</si>
  <si>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</si>
  <si>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</si>
  <si>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</si>
  <si>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</si>
  <si>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</si>
  <si>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</si>
  <si>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</si>
  <si>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</si>
  <si>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</si>
  <si>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</si>
  <si>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</si>
  <si>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</si>
  <si>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</si>
  <si>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</si>
  <si>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</si>
  <si>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</si>
  <si>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</si>
  <si>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</si>
  <si>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</si>
  <si>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</si>
  <si>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</si>
  <si>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</si>
  <si>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</si>
  <si>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</si>
  <si>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</si>
  <si>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</si>
  <si>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</si>
  <si>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</si>
  <si>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</si>
  <si>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</si>
  <si>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</si>
  <si>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</si>
  <si>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</si>
  <si>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</si>
  <si>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</si>
  <si>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</si>
  <si>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</si>
  <si>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</si>
  <si>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</si>
  <si>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</si>
  <si>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</si>
  <si>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</si>
  <si>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</si>
  <si>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</si>
  <si>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</si>
  <si>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</si>
  <si>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</si>
  <si>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</si>
  <si>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</si>
  <si>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</si>
  <si>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</si>
  <si>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</si>
  <si>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</si>
  <si>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</si>
  <si>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</si>
  <si>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</si>
  <si>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</si>
  <si>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</si>
  <si>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</si>
  <si>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</si>
  <si>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</si>
  <si>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</si>
  <si>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</si>
  <si>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</si>
  <si>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</si>
  <si>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</si>
  <si>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</si>
  <si>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</si>
  <si>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</si>
  <si>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</si>
  <si>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</si>
  <si>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</si>
  <si>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</si>
  <si>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</si>
  <si>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</si>
  <si>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</si>
  <si>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</si>
  <si>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</si>
  <si>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</si>
  <si>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</si>
  <si>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</si>
  <si>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</si>
  <si>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</si>
  <si>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</si>
  <si>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</si>
  <si>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</si>
  <si>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</si>
  <si>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</si>
  <si>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</si>
  <si>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</si>
  <si>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</si>
  <si>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</si>
  <si>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</si>
  <si>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</si>
  <si>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</si>
  <si>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</si>
  <si>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</si>
  <si>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</si>
  <si>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</si>
  <si>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</si>
  <si>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</si>
  <si>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</si>
  <si>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</si>
  <si>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</si>
  <si>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</si>
  <si>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</si>
  <si>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</si>
  <si>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</si>
  <si>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</si>
  <si>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</si>
  <si>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</si>
  <si>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</si>
  <si>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</si>
  <si>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</si>
  <si>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</si>
  <si>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</si>
  <si>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</si>
  <si>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</si>
  <si>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</si>
  <si>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</si>
  <si>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</si>
  <si>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</si>
  <si>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</si>
  <si>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</si>
  <si>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</si>
  <si>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</si>
  <si>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</si>
  <si>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</si>
  <si>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</si>
  <si>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</si>
  <si>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</si>
  <si>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</si>
  <si>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</si>
  <si>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</si>
  <si>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</si>
  <si>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</si>
  <si>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</si>
  <si>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</si>
  <si>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</si>
  <si>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</si>
  <si>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</si>
  <si>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</si>
  <si>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</si>
  <si>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</si>
  <si>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</si>
  <si>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</si>
  <si>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</si>
  <si>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</si>
  <si>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</si>
  <si>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</si>
  <si>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</si>
  <si>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</si>
  <si>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</si>
  <si>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</si>
  <si>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</si>
  <si>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</si>
  <si>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</si>
  <si>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</si>
  <si>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</si>
  <si>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</si>
  <si>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</si>
  <si>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</si>
  <si>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</si>
  <si>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</si>
  <si>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</si>
  <si>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</si>
  <si>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</si>
  <si>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</si>
  <si>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</si>
  <si>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</si>
  <si>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</si>
  <si>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</si>
  <si>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</si>
  <si>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</si>
  <si>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</si>
  <si>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</si>
  <si>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</si>
  <si>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</si>
  <si>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</si>
  <si>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</si>
  <si>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</si>
  <si>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</si>
  <si>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</si>
  <si>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</si>
  <si>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</si>
  <si>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</si>
  <si>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</si>
  <si>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</si>
  <si>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</si>
  <si>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</si>
  <si>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</si>
  <si>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</si>
  <si>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</si>
  <si>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</si>
  <si>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</si>
  <si>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</si>
  <si>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</si>
  <si>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</si>
  <si>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</si>
  <si>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</si>
  <si>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</si>
  <si>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</si>
  <si>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</si>
  <si>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</si>
  <si>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</si>
  <si>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</si>
  <si>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</si>
  <si>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</si>
  <si>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</si>
  <si>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</si>
  <si>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</si>
  <si>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</si>
  <si>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</si>
  <si>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</si>
  <si>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</si>
  <si>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</si>
  <si>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</si>
  <si>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</si>
  <si>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</si>
  <si>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</si>
  <si>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</si>
  <si>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</si>
  <si>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</si>
  <si>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</si>
  <si>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</si>
  <si>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</si>
  <si>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</si>
  <si>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</si>
  <si>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</si>
  <si>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</si>
  <si>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</si>
  <si>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</si>
  <si>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</si>
  <si>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</si>
  <si>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</si>
  <si>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</si>
  <si>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</si>
  <si>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</si>
  <si>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</si>
  <si>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</si>
  <si>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</si>
  <si>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</si>
  <si>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</si>
  <si>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</si>
  <si>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</si>
  <si>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</si>
  <si>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</si>
  <si>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</si>
  <si>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</si>
  <si>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</si>
  <si>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</si>
  <si>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</si>
  <si>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</si>
  <si>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</si>
  <si>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</si>
  <si>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</si>
  <si>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</si>
  <si>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</si>
  <si>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</si>
  <si>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</si>
  <si>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</si>
  <si>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</si>
  <si>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</si>
  <si>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</si>
  <si>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</si>
  <si>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</si>
  <si>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</si>
  <si>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</si>
  <si>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</si>
  <si>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</si>
  <si>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</si>
  <si>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</si>
  <si>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</si>
  <si>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</si>
  <si>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</si>
  <si>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</si>
  <si>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</si>
  <si>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</si>
  <si>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</si>
  <si>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</si>
  <si>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</si>
  <si>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</si>
  <si>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</si>
  <si>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</si>
  <si>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</si>
  <si>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</si>
  <si>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</si>
  <si>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</si>
  <si>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</si>
  <si>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</si>
  <si>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</si>
  <si>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</si>
  <si>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</si>
  <si>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</si>
  <si>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</si>
  <si>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</si>
  <si>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</si>
  <si>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</si>
  <si>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</si>
  <si>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</si>
  <si>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</si>
  <si>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</si>
  <si>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</si>
  <si>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</si>
  <si>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</si>
  <si>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</si>
  <si>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</si>
  <si>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</si>
  <si>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</si>
  <si>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</si>
  <si>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</si>
  <si>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</si>
  <si>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</si>
  <si>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</si>
  <si>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</si>
  <si>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</si>
  <si>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</si>
  <si>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</si>
  <si>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</si>
  <si>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</si>
  <si>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</si>
  <si>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</si>
  <si>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</si>
  <si>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</si>
  <si>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</si>
  <si>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</si>
  <si>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</si>
  <si>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</si>
  <si>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</si>
  <si>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</si>
  <si>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</si>
  <si>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</si>
  <si>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</si>
  <si>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</si>
  <si>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</si>
  <si>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</si>
  <si>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</si>
  <si>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</si>
  <si>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</si>
  <si>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</si>
  <si>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</si>
  <si>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</si>
  <si>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</si>
  <si>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</si>
  <si>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</si>
  <si>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</si>
  <si>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</si>
  <si>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</si>
  <si>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</si>
  <si>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</si>
  <si>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</si>
  <si>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</si>
  <si>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</si>
  <si>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</si>
  <si>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</si>
  <si>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</si>
  <si>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</si>
  <si>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</si>
  <si>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</si>
  <si>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</si>
  <si>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</si>
  <si>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</si>
  <si>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</si>
  <si>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</si>
  <si>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</si>
  <si>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</si>
  <si>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</si>
  <si>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</si>
  <si>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</si>
  <si>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</si>
  <si>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</si>
  <si>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</si>
  <si>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</si>
  <si>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</si>
  <si>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</si>
  <si>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</si>
  <si>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</si>
  <si>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</si>
  <si>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</si>
  <si>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</si>
  <si>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</si>
  <si>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</si>
  <si>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</si>
  <si>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</si>
  <si>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</si>
  <si>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</si>
  <si>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</si>
  <si>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</si>
  <si>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</si>
  <si>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</si>
  <si>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</si>
  <si>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</si>
  <si>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</si>
  <si>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</si>
  <si>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</si>
  <si>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</si>
  <si>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</si>
  <si>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</si>
  <si>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</si>
  <si>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</si>
  <si>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</si>
  <si>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</si>
  <si>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</si>
  <si>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</si>
  <si>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</si>
  <si>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</si>
  <si>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</si>
  <si>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</si>
  <si>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</si>
  <si>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</si>
  <si>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</si>
  <si>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</si>
  <si>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</si>
  <si>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</si>
  <si>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</si>
  <si>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</si>
  <si>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</si>
  <si>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</si>
  <si>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</si>
  <si>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</si>
  <si>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</si>
  <si>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</si>
  <si>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</si>
  <si>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</si>
  <si>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</si>
  <si>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</si>
  <si>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</si>
  <si>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</si>
  <si>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</si>
  <si>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</si>
  <si>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</si>
  <si>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</si>
  <si>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</si>
  <si>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</si>
  <si>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</si>
  <si>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</si>
  <si>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</si>
  <si>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</si>
  <si>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</si>
  <si>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</si>
  <si>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</si>
  <si>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</si>
  <si>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</si>
  <si>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</si>
  <si>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</si>
  <si>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</si>
  <si>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</si>
  <si>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</si>
  <si>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</si>
  <si>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</si>
  <si>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</si>
  <si>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</si>
  <si>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</si>
  <si>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</si>
  <si>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</si>
  <si>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</si>
  <si>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</si>
  <si>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</si>
  <si>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</si>
  <si>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</si>
  <si>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</si>
  <si>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</si>
  <si>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</si>
  <si>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</si>
  <si>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</si>
  <si>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</si>
  <si>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</si>
  <si>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</si>
  <si>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</si>
  <si>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</si>
  <si>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</si>
  <si>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</si>
  <si>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</si>
  <si>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</si>
  <si>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</si>
  <si>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</si>
  <si>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</si>
  <si>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</si>
  <si>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</si>
  <si>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</si>
  <si>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</si>
  <si>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</si>
  <si>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</si>
  <si>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</si>
  <si>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</si>
  <si>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</si>
  <si>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</si>
  <si>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</si>
  <si>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</si>
  <si>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</si>
  <si>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</si>
  <si>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</si>
  <si>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</si>
  <si>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</si>
  <si>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</si>
  <si>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</si>
  <si>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</si>
  <si>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</si>
  <si>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</si>
  <si>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</si>
  <si>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</si>
  <si>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</si>
  <si>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</si>
  <si>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</si>
  <si>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</si>
  <si>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</si>
  <si>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</si>
  <si>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</si>
  <si>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</si>
  <si>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</si>
  <si>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</si>
  <si>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</si>
  <si>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</si>
  <si>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</si>
  <si>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</si>
  <si>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</si>
  <si>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</si>
  <si>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</si>
  <si>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</si>
  <si>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</si>
  <si>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</si>
  <si>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</si>
  <si>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</si>
  <si>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</si>
  <si>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</si>
  <si>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</si>
  <si>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</si>
  <si>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</si>
  <si>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</si>
  <si>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</si>
  <si>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</si>
  <si>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</si>
  <si>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</si>
  <si>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</si>
  <si>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</si>
  <si>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</si>
  <si>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</si>
  <si>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</si>
  <si>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</si>
  <si>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</si>
  <si>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</si>
  <si>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</si>
  <si>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</si>
  <si>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</si>
  <si>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</si>
  <si>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</si>
  <si>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</si>
  <si>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</si>
  <si>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</si>
  <si>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</si>
  <si>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</si>
  <si>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</si>
  <si>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</si>
  <si>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</si>
  <si>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</si>
  <si>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</si>
  <si>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</si>
  <si>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</si>
  <si>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</si>
  <si>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</si>
  <si>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</si>
  <si>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</si>
  <si>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</si>
  <si>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</si>
  <si>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</si>
  <si>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</si>
  <si>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</si>
  <si>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</si>
  <si>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</si>
  <si>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</si>
  <si>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</si>
  <si>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</si>
  <si>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</si>
  <si>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</si>
  <si>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</si>
  <si>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</si>
  <si>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</si>
  <si>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</si>
  <si>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</si>
  <si>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</si>
  <si>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</si>
  <si>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</si>
  <si>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</si>
  <si>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</si>
  <si>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</si>
  <si>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</si>
  <si>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</si>
  <si>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</si>
  <si>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</si>
  <si>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</si>
  <si>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</si>
  <si>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</si>
  <si>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</si>
  <si>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</si>
  <si>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</si>
  <si>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</si>
  <si>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</si>
  <si>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</si>
  <si>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</si>
  <si>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</si>
  <si>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</si>
  <si>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</si>
  <si>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</si>
  <si>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</si>
  <si>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</si>
  <si>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</si>
  <si>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</si>
  <si>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</si>
  <si>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</si>
  <si>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</si>
  <si>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</si>
  <si>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</si>
  <si>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</si>
  <si>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</si>
  <si>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</si>
  <si>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</si>
  <si>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</si>
  <si>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</si>
  <si>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</si>
  <si>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</si>
  <si>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</si>
  <si>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</si>
  <si>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</si>
  <si>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</si>
  <si>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</si>
  <si>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</si>
  <si>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</si>
  <si>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</si>
  <si>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</si>
  <si>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</si>
  <si>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</si>
  <si>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</si>
  <si>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</si>
  <si>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</si>
  <si>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</si>
  <si>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</si>
  <si>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</si>
  <si>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</si>
  <si>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</si>
  <si>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</si>
  <si>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</si>
  <si>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</si>
  <si>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</si>
  <si>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</si>
  <si>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</si>
  <si>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</si>
  <si>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</si>
  <si>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</si>
  <si>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</si>
  <si>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</si>
  <si>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</si>
  <si>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</si>
  <si>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</si>
  <si>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</si>
  <si>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</si>
  <si>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</si>
  <si>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</si>
  <si>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</si>
  <si>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</si>
  <si>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</si>
  <si>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</si>
  <si>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</si>
  <si>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</si>
  <si>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</si>
  <si>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</si>
  <si>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</si>
  <si>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</si>
  <si>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</si>
  <si>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</si>
  <si>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</si>
  <si>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</si>
  <si>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</si>
  <si>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</si>
  <si>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</si>
  <si>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</si>
  <si>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</si>
  <si>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</si>
  <si>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</si>
  <si>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</si>
  <si>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</si>
  <si>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</si>
  <si>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</si>
  <si>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</si>
  <si>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</si>
  <si>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</si>
  <si>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</si>
  <si>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</si>
  <si>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</si>
  <si>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</si>
  <si>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</si>
  <si>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</si>
  <si>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</si>
  <si>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</si>
  <si>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</si>
  <si>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</si>
  <si>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</si>
  <si>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</si>
  <si>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</si>
  <si>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</si>
  <si>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</si>
  <si>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</si>
  <si>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</si>
  <si>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</si>
  <si>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</si>
  <si>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</si>
  <si>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</si>
  <si>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</si>
  <si>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</si>
  <si>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</si>
  <si>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</si>
  <si>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</si>
  <si>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</si>
  <si>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</si>
  <si>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</si>
  <si>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</si>
  <si>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</si>
  <si>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</si>
  <si>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</si>
  <si>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</si>
  <si>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</si>
  <si>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</si>
  <si>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</si>
  <si>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</si>
  <si>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</si>
  <si>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</si>
  <si>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</si>
  <si>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</si>
  <si>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</si>
  <si>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</si>
  <si>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</si>
  <si>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</si>
  <si>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</si>
  <si>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</si>
  <si>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</si>
  <si>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</si>
  <si>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</si>
  <si>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</si>
  <si>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</si>
  <si>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</si>
  <si>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</si>
  <si>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</si>
  <si>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</si>
  <si>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</si>
  <si>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</si>
  <si>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</si>
  <si>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</si>
  <si>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</si>
  <si>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</si>
  <si>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</si>
  <si>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</si>
  <si>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</si>
  <si>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</si>
  <si>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</si>
  <si>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</si>
  <si>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</si>
  <si>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</si>
  <si>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</si>
  <si>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</si>
  <si>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</si>
  <si>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</si>
  <si>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</si>
  <si>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</si>
  <si>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</si>
  <si>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</si>
  <si>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</si>
  <si>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</si>
  <si>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</si>
  <si>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</si>
  <si>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</si>
  <si>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</si>
  <si>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</si>
  <si>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</si>
  <si>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</si>
  <si>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</si>
  <si>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</si>
  <si>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</si>
  <si>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</si>
  <si>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</si>
  <si>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</si>
  <si>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</si>
  <si>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</si>
  <si>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</si>
  <si>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</si>
  <si>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</si>
  <si>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</si>
  <si>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</si>
  <si>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</si>
  <si>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</si>
  <si>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</si>
  <si>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</si>
  <si>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</si>
  <si>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</si>
  <si>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</si>
  <si>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</si>
  <si>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</si>
  <si>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</si>
  <si>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</si>
  <si>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</si>
  <si>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</si>
  <si>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</si>
  <si>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</si>
  <si>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</si>
  <si>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</si>
  <si>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</si>
  <si>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</si>
  <si>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</si>
  <si>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</si>
  <si>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</si>
  <si>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</si>
  <si>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</si>
  <si>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</si>
  <si>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</si>
  <si>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</si>
  <si>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</si>
  <si>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</si>
  <si>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</si>
  <si>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</si>
  <si>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</si>
  <si>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</si>
  <si>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</si>
  <si>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</si>
  <si>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</si>
  <si>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</si>
  <si>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</si>
  <si>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</si>
  <si>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</si>
  <si>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</si>
  <si>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</si>
  <si>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</si>
  <si>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</si>
  <si>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</si>
  <si>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</si>
  <si>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</si>
  <si>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</si>
  <si>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</si>
  <si>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</si>
  <si>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</si>
  <si>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</si>
  <si>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</si>
  <si>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</si>
  <si>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</si>
  <si>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</si>
  <si>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</si>
  <si>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</si>
  <si>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</si>
  <si>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</si>
  <si>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</si>
  <si>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</si>
  <si>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</si>
  <si>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</si>
  <si>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</si>
  <si>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</si>
  <si>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</si>
  <si>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</si>
  <si>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</si>
  <si>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</si>
  <si>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</si>
  <si>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</si>
  <si>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</si>
  <si>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</si>
  <si>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</si>
  <si>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</si>
  <si>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</si>
  <si>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</si>
  <si>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</si>
  <si>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</si>
  <si>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</si>
  <si>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</si>
  <si>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</si>
  <si>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</si>
  <si>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</si>
  <si>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</si>
  <si>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</si>
  <si>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</si>
  <si>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</si>
  <si>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</si>
  <si>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</si>
  <si>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</si>
  <si>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</si>
  <si>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</si>
  <si>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</si>
  <si>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</si>
  <si>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</si>
  <si>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</si>
  <si>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</si>
  <si>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</si>
  <si>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</si>
  <si>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</si>
  <si>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</si>
  <si>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</si>
  <si>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</si>
  <si>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</si>
  <si>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</si>
  <si>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</si>
  <si>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</si>
  <si>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</si>
  <si>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</si>
  <si>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</si>
  <si>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</si>
  <si>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</si>
  <si>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</si>
  <si>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</si>
  <si>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</si>
  <si>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</si>
  <si>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</si>
  <si>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</si>
  <si>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</si>
  <si>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</si>
  <si>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</si>
  <si>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</si>
  <si>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</si>
  <si>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</si>
  <si>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</si>
  <si>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</si>
  <si>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</si>
  <si>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</si>
  <si>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</si>
  <si>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</si>
  <si>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</si>
  <si>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</si>
  <si>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</si>
  <si>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</si>
  <si>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</si>
  <si>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</si>
  <si>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</si>
  <si>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</si>
  <si>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</si>
  <si>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</si>
  <si>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</si>
  <si>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</si>
  <si>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</si>
  <si>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</si>
  <si>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</si>
  <si>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</si>
  <si>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</si>
  <si>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</si>
  <si>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</si>
  <si>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</si>
  <si>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</si>
  <si>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</si>
  <si>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</si>
  <si>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</si>
  <si>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</si>
  <si>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</si>
  <si>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</si>
  <si>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</si>
  <si>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</si>
  <si>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</si>
  <si>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</si>
  <si>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</si>
  <si>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</si>
  <si>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</si>
  <si>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</si>
  <si>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</si>
  <si>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</si>
  <si>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</si>
  <si>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</si>
  <si>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</si>
  <si>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</si>
  <si>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</si>
  <si>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</si>
  <si>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</si>
  <si>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</si>
  <si>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</si>
  <si>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</si>
  <si>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</si>
  <si>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</si>
  <si>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</si>
  <si>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</si>
  <si>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</si>
  <si>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</si>
  <si>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</si>
  <si>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</si>
  <si>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</si>
  <si>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</si>
  <si>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</si>
  <si>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</si>
  <si>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</si>
  <si>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</si>
  <si>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</si>
  <si>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</si>
  <si>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</si>
  <si>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</si>
  <si>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</si>
  <si>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</si>
  <si>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</si>
  <si>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</si>
  <si>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</si>
  <si>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</si>
  <si>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</si>
  <si>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</si>
  <si>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</si>
  <si>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</si>
  <si>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</si>
  <si>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</si>
  <si>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</si>
  <si>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</si>
  <si>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</si>
  <si>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</si>
  <si>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</si>
  <si>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</si>
  <si>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</si>
  <si>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</si>
  <si>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</si>
  <si>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</si>
  <si>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</si>
  <si>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</si>
  <si>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</si>
  <si>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</si>
  <si>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</si>
  <si>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</si>
  <si>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</si>
  <si>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</si>
  <si>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</si>
  <si>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</si>
  <si>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</si>
  <si>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</si>
  <si>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</si>
  <si>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</si>
  <si>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</si>
  <si>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</si>
  <si>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</si>
  <si>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</si>
  <si>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</si>
  <si>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</si>
  <si>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</si>
  <si>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</si>
  <si>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</si>
  <si>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</si>
  <si>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</si>
  <si>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</si>
  <si>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</si>
  <si>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</si>
  <si>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</si>
  <si>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</si>
  <si>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</si>
  <si>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</si>
  <si>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</si>
  <si>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</si>
  <si>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</si>
  <si>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</si>
  <si>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</si>
  <si>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</si>
  <si>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</si>
  <si>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</si>
  <si>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</si>
  <si>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</si>
  <si>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</si>
  <si>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</si>
  <si>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</si>
  <si>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</si>
  <si>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</si>
  <si>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</si>
  <si>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</si>
  <si>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</si>
  <si>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</si>
  <si>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</si>
  <si>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</si>
  <si>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</si>
  <si>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</si>
  <si>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</si>
  <si>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</si>
  <si>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</si>
  <si>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</si>
  <si>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</si>
  <si>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</si>
  <si>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</si>
  <si>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</si>
  <si>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</si>
  <si>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</si>
  <si>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</si>
  <si>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</si>
  <si>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</si>
  <si>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</si>
  <si>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</si>
  <si>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</si>
  <si>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</si>
  <si>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</si>
  <si>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</si>
  <si>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</si>
  <si>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</si>
  <si>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</si>
  <si>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</si>
  <si>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</si>
  <si>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</si>
  <si>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</si>
  <si>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</si>
  <si>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</si>
  <si>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</si>
  <si>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</si>
  <si>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</si>
  <si>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</si>
  <si>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</si>
  <si>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</si>
  <si>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</si>
  <si>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</si>
  <si>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</si>
  <si>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</si>
  <si>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</si>
  <si>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</si>
  <si>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</si>
  <si>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</si>
  <si>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</si>
  <si>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</si>
  <si>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</si>
  <si>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</si>
  <si>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</si>
  <si>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</si>
  <si>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</si>
  <si>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</si>
  <si>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</si>
  <si>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</si>
  <si>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</si>
  <si>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</si>
  <si>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</si>
  <si>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</si>
  <si>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</si>
  <si>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</si>
  <si>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</si>
  <si>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</si>
  <si>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</si>
  <si>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</si>
  <si>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</si>
  <si>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</si>
  <si>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</si>
  <si>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</si>
  <si>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</si>
  <si>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</si>
  <si>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</si>
  <si>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</si>
  <si>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</si>
  <si>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</si>
  <si>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</si>
  <si>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</si>
  <si>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</si>
  <si>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</si>
  <si>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</si>
  <si>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</si>
  <si>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</si>
  <si>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</si>
  <si>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</si>
  <si>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</si>
  <si>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</si>
  <si>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</si>
  <si>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</si>
  <si>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</si>
  <si>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</si>
  <si>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</si>
  <si>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</si>
  <si>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</si>
  <si>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</si>
  <si>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</si>
  <si>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</si>
  <si>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</si>
  <si>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</si>
  <si>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</si>
  <si>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</si>
  <si>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</si>
  <si>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</si>
  <si>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</si>
  <si>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</si>
  <si>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</si>
  <si>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</si>
  <si>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</si>
  <si>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</si>
  <si>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</si>
  <si>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</si>
  <si>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</si>
  <si>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</si>
  <si>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</si>
  <si>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</si>
  <si>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</si>
  <si>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</si>
  <si>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</si>
  <si>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</si>
  <si>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</si>
  <si>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</si>
  <si>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</si>
  <si>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</si>
  <si>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</si>
  <si>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</si>
  <si>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</si>
  <si>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</si>
  <si>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</si>
  <si>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</si>
  <si>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</si>
  <si>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</si>
  <si>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</si>
  <si>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</si>
  <si>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</si>
  <si>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</si>
  <si>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</si>
  <si>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</si>
  <si>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</si>
  <si>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</si>
  <si>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</si>
  <si>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</si>
  <si>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</si>
  <si>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</si>
  <si>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</si>
  <si>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</si>
  <si>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</si>
  <si>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</si>
  <si>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</si>
  <si>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</si>
  <si>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</si>
  <si>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</si>
  <si>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</si>
  <si>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</si>
  <si>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</si>
  <si>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</si>
  <si>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</si>
  <si>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</si>
  <si>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</si>
  <si>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</si>
  <si>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</si>
  <si>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</si>
  <si>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</si>
  <si>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</si>
  <si>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</si>
  <si>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</si>
  <si>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</si>
  <si>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</si>
  <si>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</si>
  <si>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</si>
  <si>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</si>
  <si>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</si>
  <si>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</si>
  <si>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</si>
  <si>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</si>
  <si>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</si>
  <si>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</si>
  <si>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</si>
  <si>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</si>
  <si>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</si>
  <si>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</si>
  <si>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</si>
  <si>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</si>
  <si>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</si>
  <si>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</si>
  <si>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</si>
  <si>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</si>
  <si>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</si>
  <si>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</si>
  <si>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</si>
  <si>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</si>
  <si>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</si>
  <si>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</si>
  <si>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</si>
  <si>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</si>
  <si>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</si>
  <si>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</si>
  <si>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</si>
  <si>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</si>
  <si>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</si>
  <si>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</si>
  <si>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</si>
  <si>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</si>
  <si>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</si>
  <si>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</si>
  <si>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</si>
  <si>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</si>
  <si>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</si>
  <si>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</si>
  <si>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</si>
  <si>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</si>
  <si>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</si>
  <si>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</si>
  <si>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</si>
  <si>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</si>
  <si>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</si>
  <si>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</si>
  <si>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</si>
  <si>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</si>
  <si>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</si>
  <si>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</si>
  <si>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</si>
  <si>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</si>
  <si>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</si>
  <si>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</si>
  <si>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</si>
  <si>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</si>
  <si>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</si>
  <si>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</si>
  <si>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</si>
  <si>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</si>
  <si>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</si>
  <si>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</si>
  <si>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</si>
  <si>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</si>
  <si>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</si>
  <si>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</si>
  <si>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</si>
  <si>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</si>
  <si>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</si>
  <si>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</si>
  <si>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</si>
  <si>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</si>
  <si>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</si>
  <si>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</si>
  <si>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</si>
  <si>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</si>
  <si>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</si>
  <si>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</si>
  <si>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</si>
  <si>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</si>
  <si>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</si>
  <si>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</si>
  <si>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</si>
  <si>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</si>
  <si>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</si>
  <si>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</si>
  <si>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</si>
  <si>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</si>
  <si>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</si>
  <si>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</si>
  <si>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</si>
  <si>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</si>
  <si>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</si>
  <si>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</si>
  <si>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</si>
  <si>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</si>
  <si>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</si>
  <si>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</si>
  <si>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</si>
  <si>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</si>
  <si>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</si>
  <si>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</si>
  <si>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</si>
  <si>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</si>
  <si>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</si>
  <si>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</si>
  <si>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</si>
  <si>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</si>
  <si>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</si>
  <si>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</si>
  <si>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</si>
  <si>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</si>
  <si>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</si>
  <si>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</si>
  <si>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</si>
  <si>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</si>
  <si>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</si>
  <si>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</si>
  <si>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</si>
  <si>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</si>
  <si>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</si>
  <si>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</si>
  <si>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</si>
  <si>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</si>
  <si>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</si>
  <si>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</si>
  <si>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</si>
  <si>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</si>
  <si>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</si>
  <si>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</si>
  <si>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</si>
  <si>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</si>
  <si>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</si>
  <si>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</si>
  <si>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</si>
  <si>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</si>
  <si>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</si>
  <si>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</si>
  <si>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</si>
  <si>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</si>
  <si>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</si>
  <si>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</si>
  <si>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</si>
  <si>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</si>
  <si>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</si>
  <si>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</si>
  <si>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</si>
  <si>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</si>
  <si>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</si>
  <si>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</si>
  <si>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</si>
  <si>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</si>
  <si>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</si>
  <si>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</si>
  <si>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</si>
  <si>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</si>
  <si>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</si>
  <si>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</si>
  <si>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</si>
  <si>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</si>
  <si>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</si>
  <si>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</si>
  <si>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</si>
  <si>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</si>
  <si>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</si>
  <si>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</si>
  <si>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</si>
  <si>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</si>
  <si>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</si>
  <si>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</si>
  <si>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</si>
  <si>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</si>
  <si>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</si>
  <si>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</si>
  <si>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</si>
  <si>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</si>
  <si>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</si>
  <si>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</si>
  <si>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</si>
  <si>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</si>
  <si>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</si>
  <si>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</si>
  <si>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</si>
  <si>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</si>
  <si>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</si>
  <si>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</si>
  <si>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</si>
  <si>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</si>
  <si>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</si>
  <si>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</si>
  <si>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</si>
  <si>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</si>
  <si>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</si>
  <si>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</si>
  <si>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</si>
  <si>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</si>
  <si>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</si>
  <si>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</si>
  <si>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</si>
  <si>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</si>
  <si>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</si>
  <si>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</si>
  <si>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</si>
  <si>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</si>
  <si>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</si>
  <si>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</si>
  <si>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</si>
  <si>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</si>
  <si>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</si>
  <si>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</si>
  <si>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</si>
  <si>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</si>
  <si>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</si>
  <si>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</si>
  <si>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</si>
  <si>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</si>
  <si>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</si>
  <si>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</si>
  <si>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</si>
  <si>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</si>
  <si>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</si>
  <si>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</si>
  <si>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</si>
  <si>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</si>
  <si>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</si>
  <si>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</si>
  <si>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</si>
  <si>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</si>
  <si>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</si>
  <si>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</si>
  <si>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</si>
  <si>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</si>
  <si>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</si>
  <si>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</si>
  <si>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</si>
  <si>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</si>
  <si>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</si>
  <si>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</si>
  <si>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</si>
  <si>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</si>
  <si>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</si>
  <si>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</si>
  <si>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</si>
  <si>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</si>
  <si>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</si>
  <si>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</si>
  <si>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</si>
  <si>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</si>
  <si>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</si>
  <si>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</si>
  <si>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</si>
  <si>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</si>
  <si>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</si>
  <si>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</si>
  <si>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</si>
  <si>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</si>
  <si>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</si>
  <si>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</si>
  <si>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</si>
  <si>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</si>
  <si>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</si>
  <si>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</si>
  <si>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</si>
  <si>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</si>
  <si>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</si>
  <si>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</si>
  <si>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</si>
  <si>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</si>
  <si>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</si>
  <si>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</si>
  <si>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</si>
  <si>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</si>
  <si>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</si>
  <si>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</si>
  <si>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</si>
  <si>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</si>
  <si>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</si>
  <si>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</si>
  <si>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</si>
  <si>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</si>
  <si>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</si>
  <si>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</si>
  <si>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</si>
  <si>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</si>
  <si>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</si>
  <si>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</si>
  <si>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</si>
  <si>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</si>
  <si>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</si>
  <si>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</si>
  <si>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</si>
  <si>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</si>
  <si>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</si>
  <si>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</si>
  <si>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</si>
  <si>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</si>
  <si>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</si>
  <si>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</si>
  <si>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</si>
  <si>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</si>
  <si>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</si>
  <si>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</si>
  <si>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</si>
  <si>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</si>
  <si>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</si>
  <si>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</si>
  <si>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</si>
  <si>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</si>
  <si>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</si>
  <si>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</si>
  <si>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</si>
  <si>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</si>
  <si>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</si>
  <si>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</si>
  <si>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</si>
  <si>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</si>
  <si>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</si>
  <si>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</si>
  <si>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</si>
  <si>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</si>
  <si>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</si>
  <si>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</si>
  <si>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</si>
  <si>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</si>
  <si>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</si>
  <si>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</si>
  <si>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</si>
  <si>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</si>
  <si>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</si>
  <si>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</si>
  <si>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</si>
  <si>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</si>
  <si>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</si>
  <si>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</si>
  <si>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</si>
  <si>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</si>
  <si>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</si>
  <si>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</si>
  <si>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</si>
  <si>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</si>
  <si>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</si>
  <si>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</si>
  <si>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</si>
  <si>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</si>
  <si>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</si>
  <si>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</si>
  <si>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</si>
  <si>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</si>
  <si>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</si>
  <si>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</si>
  <si>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</si>
  <si>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</si>
  <si>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</si>
  <si>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</si>
  <si>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</si>
  <si>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</si>
  <si>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</si>
  <si>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</si>
  <si>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</si>
  <si>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</si>
  <si>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</si>
  <si>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</si>
  <si>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</si>
  <si>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</si>
  <si>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</si>
  <si>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</si>
  <si>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</si>
  <si>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</si>
  <si>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</si>
  <si>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</si>
  <si>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</si>
  <si>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</si>
  <si>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</si>
  <si>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</si>
  <si>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</si>
  <si>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</si>
  <si>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</si>
  <si>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</si>
  <si>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</si>
  <si>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</si>
  <si>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</si>
  <si>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</si>
  <si>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</si>
  <si>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</si>
  <si>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</si>
  <si>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</si>
  <si>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</si>
  <si>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</si>
  <si>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</si>
  <si>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</si>
  <si>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</si>
  <si>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</si>
  <si>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</si>
  <si>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</si>
  <si>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</si>
  <si>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</si>
  <si>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</si>
  <si>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</si>
  <si>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</si>
  <si>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</si>
  <si>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</si>
  <si>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</si>
  <si>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</si>
  <si>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</si>
  <si>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</si>
  <si>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</si>
  <si>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</si>
  <si>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</si>
  <si>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</si>
  <si>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</si>
  <si>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</si>
  <si>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</si>
  <si>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</si>
  <si>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</si>
  <si>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</si>
  <si>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</si>
  <si>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</si>
  <si>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</si>
  <si>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</si>
  <si>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</si>
  <si>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</si>
  <si>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</si>
  <si>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</si>
  <si>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</si>
  <si>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</si>
  <si>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</si>
  <si>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</si>
  <si>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</si>
  <si>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</si>
  <si>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</si>
  <si>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</si>
  <si>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</si>
  <si>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</si>
  <si>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</si>
  <si>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</si>
  <si>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</si>
  <si>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</si>
  <si>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</si>
  <si>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</si>
  <si>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</si>
  <si>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</si>
  <si>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</si>
  <si>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</si>
  <si>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</si>
  <si>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</si>
  <si>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</si>
  <si>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</si>
  <si>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</si>
  <si>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</si>
  <si>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</si>
  <si>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</si>
  <si>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</si>
  <si>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</si>
  <si>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</si>
  <si>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</si>
  <si>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</si>
  <si>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</si>
  <si>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</si>
  <si>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</si>
  <si>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</si>
  <si>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</si>
  <si>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</si>
  <si>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</si>
  <si>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</si>
  <si>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</si>
  <si>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</si>
  <si>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</si>
  <si>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</si>
  <si>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</si>
  <si>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</si>
  <si>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</si>
  <si>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</si>
  <si>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</si>
  <si>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</si>
  <si>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</si>
  <si>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</si>
  <si>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</si>
  <si>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</si>
  <si>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</si>
  <si>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</si>
  <si>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</si>
  <si>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</si>
  <si>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</si>
  <si>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</si>
  <si>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</si>
  <si>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</si>
  <si>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</si>
  <si>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</si>
  <si>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</si>
  <si>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</si>
  <si>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</si>
  <si>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</si>
  <si>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</si>
  <si>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</si>
  <si>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</si>
  <si>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</si>
  <si>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</si>
  <si>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</si>
  <si>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</si>
  <si>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</si>
  <si>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</si>
  <si>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</si>
  <si>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</si>
  <si>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</si>
  <si>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</si>
  <si>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</si>
  <si>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</si>
  <si>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</si>
  <si>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</si>
  <si>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</si>
  <si>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</si>
  <si>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</si>
  <si>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</si>
  <si>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</si>
  <si>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</si>
  <si>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</si>
  <si>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</si>
  <si>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</si>
  <si>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</si>
  <si>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</si>
  <si>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</si>
  <si>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</si>
  <si>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</si>
  <si>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</si>
  <si>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</si>
  <si>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</si>
  <si>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</si>
  <si>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</si>
  <si>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</si>
  <si>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</si>
  <si>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</si>
  <si>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</si>
  <si>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</si>
  <si>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</si>
  <si>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</si>
  <si>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</si>
  <si>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</si>
  <si>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</si>
  <si>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</si>
  <si>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</si>
  <si>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</si>
  <si>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</si>
  <si>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</si>
  <si>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</si>
  <si>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</si>
  <si>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</si>
  <si>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</si>
  <si>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</si>
  <si>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</si>
  <si>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</si>
  <si>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</si>
  <si>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</si>
  <si>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</si>
  <si>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</si>
  <si>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</si>
  <si>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</si>
  <si>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</si>
  <si>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</si>
  <si>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</si>
  <si>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</si>
  <si>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</si>
  <si>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</si>
  <si>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</si>
  <si>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</si>
  <si>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</si>
  <si>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</si>
  <si>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</si>
  <si>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</si>
  <si>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</si>
  <si>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</si>
  <si>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</si>
  <si>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</si>
  <si>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</si>
  <si>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</si>
  <si>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</si>
  <si>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</si>
  <si>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</si>
  <si>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</si>
  <si>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</si>
  <si>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</si>
  <si>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</si>
  <si>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</si>
  <si>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</si>
  <si>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</si>
  <si>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</si>
  <si>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</si>
  <si>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</si>
  <si>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</si>
  <si>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</si>
  <si>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</si>
  <si>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</si>
  <si>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</si>
  <si>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</si>
  <si>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</si>
  <si>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</si>
  <si>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</si>
  <si>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</si>
  <si>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</si>
  <si>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</si>
  <si>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</si>
  <si>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</si>
  <si>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</si>
  <si>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</si>
  <si>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</si>
  <si>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</si>
  <si>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</si>
  <si>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</si>
  <si>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</si>
  <si>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</si>
  <si>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</si>
  <si>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</si>
  <si>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</si>
  <si>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</si>
  <si>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</si>
  <si>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</si>
  <si>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</si>
  <si>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</si>
  <si>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</si>
  <si>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</si>
  <si>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</si>
  <si>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</si>
  <si>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</si>
  <si>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</si>
  <si>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</si>
  <si>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</si>
  <si>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</si>
  <si>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</si>
  <si>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</si>
  <si>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</si>
  <si>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</si>
  <si>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</si>
  <si>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</si>
  <si>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</si>
  <si>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</si>
  <si>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</si>
  <si>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</si>
  <si>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</si>
  <si>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</si>
  <si>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</si>
  <si>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</si>
  <si>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</si>
  <si>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</si>
  <si>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</si>
  <si>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</si>
  <si>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</si>
  <si>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</si>
  <si>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</si>
  <si>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</si>
  <si>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</si>
  <si>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</si>
  <si>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</si>
  <si>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</si>
  <si>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</si>
  <si>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</si>
  <si>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</si>
  <si>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</si>
  <si>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</si>
  <si>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</si>
  <si>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</si>
  <si>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</si>
  <si>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</si>
  <si>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</si>
  <si>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</si>
  <si>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</si>
  <si>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</si>
  <si>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</si>
  <si>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</si>
  <si>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</si>
  <si>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</si>
  <si>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</si>
  <si>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</si>
  <si>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</si>
  <si>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</si>
  <si>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</si>
  <si>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</si>
  <si>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</si>
  <si>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</si>
  <si>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</si>
  <si>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</si>
  <si>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</si>
  <si>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</si>
  <si>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</si>
  <si>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</si>
  <si>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</si>
  <si>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</si>
  <si>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</si>
  <si>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</si>
  <si>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</si>
  <si>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</si>
  <si>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</si>
  <si>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</si>
  <si>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</si>
  <si>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</si>
  <si>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</si>
  <si>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</si>
  <si>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</si>
  <si>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</si>
  <si>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</si>
  <si>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</si>
  <si>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</si>
  <si>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</si>
  <si>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</si>
  <si>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</si>
  <si>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</si>
  <si>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</si>
  <si>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</si>
  <si>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</si>
  <si>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</si>
  <si>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</si>
  <si>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</si>
  <si>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</si>
  <si>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</si>
  <si>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</si>
  <si>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</si>
  <si>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</si>
  <si>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</si>
  <si>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</si>
  <si>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</si>
  <si>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</si>
  <si>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</si>
  <si>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</si>
  <si>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</si>
  <si>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</si>
  <si>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</si>
  <si>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</si>
  <si>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</si>
  <si>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</si>
  <si>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</si>
  <si>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</si>
  <si>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</si>
  <si>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</si>
  <si>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</si>
  <si>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</si>
  <si>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</si>
  <si>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</si>
  <si>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</si>
  <si>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</si>
  <si>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</si>
  <si>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</si>
  <si>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</si>
  <si>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</si>
  <si>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</si>
  <si>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</si>
  <si>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</si>
  <si>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</si>
  <si>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</si>
  <si>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</si>
  <si>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</si>
  <si>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</si>
  <si>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</si>
  <si>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</si>
  <si>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</si>
  <si>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</si>
  <si>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</si>
  <si>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</si>
  <si>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</si>
  <si>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</si>
  <si>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</si>
  <si>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</si>
  <si>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</si>
  <si>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</si>
  <si>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</si>
  <si>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</si>
  <si>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</si>
  <si>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</si>
  <si>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</si>
  <si>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</si>
  <si>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</si>
  <si>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</si>
  <si>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</si>
  <si>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</si>
  <si>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</si>
  <si>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</si>
  <si>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</si>
  <si>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</si>
  <si>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</si>
  <si>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</si>
  <si>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</si>
  <si>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</si>
  <si>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</si>
  <si>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</si>
  <si>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</si>
  <si>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</si>
  <si>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</si>
  <si>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</si>
  <si>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</si>
  <si>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</si>
  <si>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</si>
  <si>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</si>
  <si>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</si>
  <si>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</si>
  <si>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</si>
  <si>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</si>
  <si>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</si>
  <si>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</si>
  <si>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</si>
  <si>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</si>
  <si>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</si>
  <si>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</si>
  <si>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</si>
  <si>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</si>
  <si>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</si>
  <si>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</si>
  <si>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</si>
  <si>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</si>
  <si>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</si>
  <si>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</si>
  <si>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</si>
  <si>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</si>
  <si>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</si>
  <si>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</si>
  <si>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</si>
  <si>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</si>
  <si>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</si>
  <si>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</si>
  <si>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</si>
  <si>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</si>
  <si>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</si>
  <si>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</si>
  <si>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</si>
  <si>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</si>
  <si>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</si>
  <si>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</si>
  <si>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</si>
  <si>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</si>
  <si>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</si>
  <si>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</si>
  <si>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</si>
  <si>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</si>
  <si>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</si>
  <si>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</si>
  <si>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</si>
  <si>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</si>
  <si>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</si>
  <si>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</si>
  <si>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</si>
  <si>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</si>
  <si>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</si>
  <si>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</si>
  <si>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</si>
  <si>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</si>
  <si>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</si>
  <si>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</si>
  <si>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</si>
  <si>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</si>
  <si>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</si>
  <si>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</si>
  <si>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</si>
  <si>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</si>
  <si>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</si>
  <si>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</si>
  <si>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</si>
  <si>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</si>
  <si>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</si>
  <si>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</si>
  <si>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</si>
  <si>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</si>
  <si>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</si>
  <si>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</si>
  <si>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</si>
  <si>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</si>
  <si>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</si>
  <si>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</si>
  <si>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</si>
  <si>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</si>
  <si>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</si>
  <si>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</si>
  <si>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</si>
  <si>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</si>
  <si>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</si>
  <si>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</si>
  <si>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</si>
  <si>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</si>
  <si>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</si>
  <si>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</si>
  <si>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</si>
  <si>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</si>
  <si>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</si>
  <si>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</si>
  <si>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</si>
  <si>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</si>
  <si>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</si>
  <si>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</si>
  <si>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</si>
  <si>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</si>
  <si>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</si>
  <si>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</si>
  <si>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</si>
  <si>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</si>
  <si>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</si>
  <si>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</si>
  <si>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</si>
  <si>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</si>
  <si>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</si>
  <si>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</si>
  <si>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</si>
  <si>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</si>
  <si>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</si>
  <si>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</si>
  <si>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</si>
  <si>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</si>
  <si>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</si>
  <si>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</si>
  <si>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</si>
  <si>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</si>
  <si>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</si>
  <si>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</si>
  <si>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</si>
  <si>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</si>
  <si>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</si>
  <si>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</si>
  <si>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</si>
  <si>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</si>
  <si>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</si>
  <si>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</si>
  <si>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</si>
  <si>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</si>
  <si>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</si>
  <si>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</si>
  <si>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</si>
  <si>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</si>
  <si>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</si>
  <si>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</si>
  <si>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</si>
  <si>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</si>
  <si>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</si>
  <si>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</si>
  <si>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</si>
  <si>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</si>
  <si>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</si>
  <si>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</si>
  <si>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</si>
  <si>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</si>
  <si>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</si>
  <si>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</si>
  <si>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</si>
  <si>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</si>
  <si>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</si>
  <si>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</si>
  <si>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</si>
  <si>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</si>
  <si>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</si>
  <si>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</si>
  <si>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</si>
  <si>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</si>
  <si>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</si>
  <si>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</si>
  <si>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</si>
  <si>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</si>
  <si>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</si>
  <si>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</si>
  <si>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</si>
  <si>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</si>
  <si>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</si>
  <si>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</si>
  <si>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</si>
  <si>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</si>
  <si>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</si>
  <si>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</si>
  <si>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</si>
  <si>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</si>
  <si>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</si>
  <si>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</si>
  <si>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</si>
  <si>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</si>
  <si>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</si>
  <si>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</si>
  <si>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</si>
  <si>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</si>
  <si>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</si>
  <si>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</si>
  <si>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</si>
  <si>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</si>
  <si>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</si>
  <si>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</si>
  <si>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</si>
  <si>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</si>
  <si>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</si>
  <si>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</si>
  <si>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</si>
  <si>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</si>
  <si>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</si>
  <si>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</si>
  <si>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</si>
  <si>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</si>
  <si>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</si>
  <si>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</si>
  <si>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</si>
  <si>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</si>
  <si>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</si>
  <si>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</si>
  <si>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</si>
  <si>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</si>
  <si>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</si>
  <si>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</si>
  <si>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</si>
  <si>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</si>
  <si>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</si>
  <si>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</si>
  <si>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</si>
  <si>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</si>
  <si>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</si>
  <si>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</si>
  <si>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</si>
  <si>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</si>
  <si>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</si>
  <si>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</si>
  <si>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</si>
  <si>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</si>
  <si>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</si>
  <si>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</si>
  <si>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</si>
  <si>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</si>
  <si>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</si>
  <si>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</si>
  <si>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</si>
  <si>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</si>
  <si>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</si>
  <si>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</si>
  <si>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</si>
  <si>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</si>
  <si>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</si>
  <si>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</si>
  <si>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</si>
  <si>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</si>
  <si>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</si>
  <si>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</si>
  <si>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</si>
  <si>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</si>
  <si>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</si>
  <si>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</si>
  <si>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</si>
  <si>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</si>
  <si>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</si>
  <si>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</si>
  <si>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</si>
  <si>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</si>
  <si>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</si>
  <si>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</si>
  <si>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</si>
  <si>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</si>
  <si>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</si>
  <si>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</si>
  <si>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</si>
  <si>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</si>
  <si>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</si>
  <si>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</si>
  <si>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</si>
  <si>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</si>
  <si>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</si>
  <si>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</si>
  <si>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</si>
  <si>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</si>
  <si>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</si>
  <si>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</si>
  <si>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</si>
  <si>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</si>
  <si>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</si>
  <si>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</si>
  <si>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</si>
  <si>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</si>
  <si>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</si>
  <si>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</si>
  <si>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</si>
  <si>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</si>
  <si>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</si>
  <si>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</si>
  <si>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</si>
  <si>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</si>
  <si>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</si>
  <si>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</si>
  <si>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</si>
  <si>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</si>
  <si>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</si>
  <si>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</si>
  <si>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</si>
  <si>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</si>
  <si>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</si>
  <si>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</si>
  <si>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</si>
  <si>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</si>
  <si>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</si>
  <si>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</si>
  <si>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</si>
  <si>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</si>
  <si>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</si>
  <si>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</si>
  <si>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</si>
  <si>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</si>
  <si>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</si>
  <si>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</si>
  <si>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</si>
  <si>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</si>
  <si>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</si>
  <si>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</si>
  <si>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</si>
  <si>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</si>
  <si>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</si>
  <si>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</si>
  <si>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</si>
  <si>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</si>
  <si>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</si>
  <si>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</si>
  <si>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</si>
  <si>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</si>
  <si>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</si>
  <si>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</si>
  <si>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</si>
  <si>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</si>
  <si>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</si>
  <si>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</si>
  <si>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</si>
  <si>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</si>
  <si>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</si>
  <si>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</si>
  <si>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</si>
  <si>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</si>
  <si>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</si>
  <si>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</si>
  <si>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</si>
  <si>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</si>
  <si>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</si>
  <si>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</si>
  <si>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</si>
  <si>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</si>
  <si>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</si>
  <si>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</si>
  <si>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</si>
  <si>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</si>
  <si>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</si>
  <si>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</si>
  <si>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</si>
  <si>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</si>
  <si>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</si>
  <si>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</si>
  <si>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</si>
  <si>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</si>
  <si>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</si>
  <si>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</si>
  <si>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</si>
  <si>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</si>
  <si>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</si>
  <si>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</si>
  <si>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</si>
  <si>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</si>
  <si>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</si>
  <si>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</si>
  <si>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</si>
  <si>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</si>
  <si>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</si>
  <si>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</si>
  <si>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</si>
  <si>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</si>
  <si>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</si>
  <si>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</si>
  <si>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</si>
  <si>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</si>
  <si>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</si>
  <si>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</si>
  <si>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</si>
  <si>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</si>
  <si>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</si>
  <si>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</si>
  <si>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</si>
  <si>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</si>
  <si>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</si>
  <si>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</si>
  <si>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</si>
  <si>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</si>
  <si>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</si>
  <si>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</si>
  <si>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</si>
  <si>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</si>
  <si>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</si>
  <si>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</si>
  <si>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</si>
  <si>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</si>
  <si>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</si>
  <si>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</si>
  <si>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</si>
  <si>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</si>
  <si>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</si>
  <si>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</si>
  <si>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</si>
  <si>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</si>
  <si>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</si>
  <si>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</si>
  <si>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</si>
  <si>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</si>
  <si>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</si>
  <si>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</si>
  <si>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</si>
  <si>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</si>
  <si>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</si>
  <si>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</si>
  <si>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</si>
  <si>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</si>
  <si>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</si>
  <si>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</si>
  <si>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</si>
  <si>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</si>
  <si>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</si>
  <si>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</si>
  <si>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</si>
  <si>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</si>
  <si>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</si>
  <si>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</si>
  <si>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</si>
  <si>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</si>
  <si>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</si>
  <si>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</si>
  <si>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</si>
  <si>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</si>
  <si>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</si>
  <si>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</si>
  <si>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</si>
  <si>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</si>
  <si>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</si>
  <si>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</si>
  <si>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</si>
  <si>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</si>
  <si>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</si>
  <si>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</si>
  <si>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</si>
  <si>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</si>
  <si>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</si>
  <si>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</si>
  <si>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</si>
  <si>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</si>
  <si>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</si>
  <si>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</si>
  <si>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</si>
  <si>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</si>
  <si>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</si>
  <si>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</si>
  <si>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</si>
  <si>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</si>
  <si>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</si>
  <si>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</si>
  <si>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</si>
  <si>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</si>
  <si>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</si>
  <si>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</si>
  <si>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</si>
  <si>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</si>
  <si>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</si>
  <si>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</si>
  <si>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</si>
  <si>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</si>
  <si>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</si>
  <si>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</si>
  <si>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</si>
  <si>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</si>
  <si>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</si>
  <si>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</si>
  <si>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</si>
  <si>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</si>
  <si>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</si>
  <si>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</si>
  <si>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</si>
  <si>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</si>
  <si>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</si>
  <si>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</si>
  <si>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</si>
  <si>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</si>
  <si>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</si>
  <si>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</si>
  <si>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</si>
  <si>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</si>
  <si>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</si>
  <si>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</si>
  <si>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</si>
  <si>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</si>
  <si>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</si>
  <si>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</si>
  <si>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</si>
  <si>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</si>
  <si>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</si>
  <si>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</si>
  <si>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</si>
  <si>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</si>
  <si>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</si>
  <si>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</si>
  <si>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</si>
  <si>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</si>
  <si>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</si>
  <si>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</si>
  <si>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</si>
  <si>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</si>
  <si>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</si>
  <si>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</si>
  <si>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</si>
  <si>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</si>
  <si>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</si>
  <si>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</si>
  <si>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</si>
  <si>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</si>
  <si>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</si>
  <si>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</si>
  <si>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</si>
  <si>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</si>
  <si>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</si>
  <si>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</si>
  <si>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</si>
  <si>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</si>
  <si>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</si>
  <si>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</si>
  <si>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</si>
  <si>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</si>
  <si>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</si>
  <si>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</si>
  <si>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</si>
  <si>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</si>
  <si>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</si>
  <si>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</si>
  <si>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</si>
  <si>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</si>
  <si>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</si>
  <si>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</si>
  <si>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</si>
  <si>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</si>
  <si>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</si>
  <si>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</si>
  <si>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</si>
  <si>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</si>
  <si>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</si>
  <si>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</si>
  <si>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</si>
  <si>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</si>
  <si>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</si>
  <si>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</si>
  <si>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</si>
  <si>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</si>
  <si>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</si>
  <si>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</si>
  <si>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</si>
  <si>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</si>
  <si>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</si>
  <si>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</si>
  <si>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</si>
  <si>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</si>
  <si>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</si>
  <si>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</si>
  <si>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</si>
  <si>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</si>
  <si>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</si>
  <si>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</si>
  <si>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</si>
  <si>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</si>
  <si>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</si>
  <si>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</si>
  <si>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</si>
  <si>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</si>
  <si>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</si>
  <si>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</si>
  <si>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</si>
  <si>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</si>
  <si>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</si>
  <si>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</si>
  <si>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</si>
  <si>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</si>
  <si>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</si>
  <si>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</si>
  <si>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</si>
  <si>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</si>
  <si>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</si>
  <si>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</si>
  <si>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</si>
  <si>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</si>
  <si>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</si>
  <si>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</si>
  <si>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</si>
  <si>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</si>
  <si>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</si>
  <si>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</si>
  <si>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</si>
  <si>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</si>
  <si>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</si>
  <si>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</si>
  <si>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</si>
  <si>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</si>
  <si>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</si>
  <si>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</si>
  <si>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</si>
  <si>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</si>
  <si>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</si>
  <si>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</si>
  <si>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</si>
  <si>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</si>
  <si>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</si>
  <si>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</si>
  <si>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</si>
  <si>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</si>
  <si>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</si>
  <si>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</si>
  <si>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</si>
  <si>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</si>
  <si>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</si>
  <si>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</si>
  <si>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</si>
  <si>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</si>
  <si>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</si>
  <si>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</si>
  <si>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</si>
  <si>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</si>
  <si>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</si>
  <si>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</si>
  <si>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</si>
  <si>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</si>
  <si>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</si>
  <si>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</si>
  <si>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</si>
  <si>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</si>
  <si>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</si>
  <si>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</si>
  <si>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</si>
  <si>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</si>
  <si>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</si>
  <si>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</si>
  <si>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</si>
  <si>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</si>
  <si>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</si>
  <si>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</si>
  <si>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</si>
  <si>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</si>
  <si>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</si>
  <si>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</si>
  <si>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</si>
  <si>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</si>
  <si>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</si>
  <si>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</si>
  <si>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</si>
  <si>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</si>
  <si>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</si>
  <si>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</si>
  <si>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</si>
  <si>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</si>
  <si>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</si>
  <si>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</si>
  <si>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</si>
  <si>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</si>
  <si>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</si>
  <si>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</si>
  <si>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</si>
  <si>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</si>
  <si>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</si>
  <si>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</si>
  <si>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</si>
  <si>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</si>
  <si>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</si>
  <si>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</si>
  <si>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</si>
  <si>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</si>
  <si>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</si>
  <si>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</si>
  <si>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</si>
  <si>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</si>
  <si>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</si>
  <si>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</si>
  <si>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</si>
  <si>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</si>
  <si>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</si>
  <si>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</si>
  <si>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</si>
  <si>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</si>
  <si>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</si>
  <si>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</si>
  <si>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</si>
  <si>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</si>
  <si>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</si>
  <si>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</si>
  <si>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</si>
  <si>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</si>
  <si>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</si>
  <si>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</si>
  <si>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</si>
  <si>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</si>
  <si>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</si>
  <si>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</si>
  <si>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</si>
  <si>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</si>
  <si>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</si>
  <si>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</si>
  <si>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</si>
  <si>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</si>
  <si>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</si>
  <si>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</si>
  <si>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</si>
  <si>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</si>
  <si>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</si>
  <si>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</si>
  <si>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</si>
  <si>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</si>
  <si>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</si>
  <si>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</si>
  <si>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</si>
  <si>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</si>
  <si>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</si>
  <si>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</si>
  <si>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</si>
  <si>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</si>
  <si>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</si>
  <si>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</si>
  <si>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</si>
  <si>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</si>
  <si>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</si>
  <si>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</si>
  <si>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</si>
  <si>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</si>
  <si>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</si>
  <si>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</si>
  <si>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</si>
  <si>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</si>
  <si>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</si>
  <si>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</si>
  <si>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</si>
  <si>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</si>
  <si>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</si>
  <si>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</si>
  <si>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</si>
  <si>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</si>
  <si>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</si>
  <si>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</si>
  <si>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</si>
  <si>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</si>
  <si>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</si>
  <si>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</si>
  <si>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</si>
  <si>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</si>
  <si>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</si>
  <si>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</si>
  <si>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</si>
  <si>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</si>
  <si>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</si>
  <si>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</si>
  <si>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</si>
  <si>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</si>
  <si>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</si>
  <si>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</si>
  <si>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</si>
  <si>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</si>
  <si>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</si>
  <si>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</si>
  <si>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</si>
  <si>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</si>
  <si>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</si>
  <si>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</si>
  <si>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</si>
  <si>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</si>
  <si>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</si>
  <si>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</si>
  <si>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</si>
  <si>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</si>
  <si>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</si>
  <si>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</si>
  <si>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</si>
  <si>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</si>
  <si>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</si>
  <si>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</si>
  <si>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</si>
  <si>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</si>
  <si>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</si>
  <si>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</si>
  <si>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</si>
  <si>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</si>
  <si>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</si>
  <si>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</si>
  <si>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</si>
  <si>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</si>
  <si>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</si>
  <si>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</si>
  <si>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</si>
  <si>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</si>
  <si>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</si>
  <si>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</si>
  <si>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</si>
  <si>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</si>
  <si>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</si>
  <si>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</si>
  <si>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</si>
  <si>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</si>
  <si>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</si>
  <si>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</si>
  <si>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</si>
  <si>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</si>
  <si>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</si>
  <si>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</si>
  <si>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</si>
  <si>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</si>
  <si>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</si>
  <si>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</si>
  <si>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</si>
  <si>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</si>
  <si>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</si>
  <si>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</si>
  <si>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</si>
  <si>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</si>
  <si>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</si>
  <si>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</si>
  <si>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</si>
  <si>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</si>
  <si>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</si>
  <si>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</si>
  <si>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</si>
  <si>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</si>
  <si>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</si>
  <si>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</si>
  <si>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</si>
  <si>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</si>
  <si>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</si>
  <si>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</si>
  <si>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</si>
  <si>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</si>
  <si>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</si>
  <si>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</si>
  <si>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</si>
  <si>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</si>
  <si>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</si>
  <si>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</si>
  <si>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</si>
  <si>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</si>
  <si>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</si>
  <si>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</si>
  <si>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</si>
  <si>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</si>
  <si>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</si>
  <si>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</si>
  <si>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</si>
  <si>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</si>
  <si>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</si>
  <si>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</si>
  <si>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</si>
  <si>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</si>
  <si>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</si>
  <si>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</si>
  <si>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</si>
  <si>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</si>
  <si>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</si>
  <si>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</si>
  <si>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</si>
  <si>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</si>
  <si>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</si>
  <si>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</si>
  <si>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</si>
  <si>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</si>
  <si>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</si>
  <si>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</si>
  <si>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</si>
  <si>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</si>
  <si>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</si>
  <si>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</si>
  <si>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</si>
  <si>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</si>
  <si>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</si>
  <si>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</si>
  <si>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</si>
  <si>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</si>
  <si>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</si>
  <si>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</si>
  <si>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</si>
  <si>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</si>
  <si>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</si>
  <si>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</si>
  <si>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</si>
  <si>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</si>
  <si>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</si>
  <si>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</si>
  <si>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</si>
  <si>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</si>
  <si>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</si>
  <si>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</si>
  <si>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</si>
  <si>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</si>
  <si>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</si>
  <si>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</si>
  <si>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</si>
  <si>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</si>
  <si>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</si>
  <si>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</si>
  <si>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</si>
  <si>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</si>
  <si>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</si>
  <si>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</si>
  <si>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</si>
  <si>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</si>
  <si>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</si>
  <si>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</si>
  <si>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</si>
  <si>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</si>
  <si>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</si>
  <si>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</si>
  <si>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</si>
  <si>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</si>
  <si>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</si>
  <si>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</si>
  <si>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</si>
  <si>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</si>
  <si>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</si>
  <si>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</si>
  <si>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</si>
  <si>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</si>
  <si>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</si>
  <si>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</si>
  <si>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</si>
  <si>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</si>
  <si>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</si>
  <si>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</si>
  <si>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</si>
  <si>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</si>
  <si>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</si>
  <si>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</si>
  <si>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</si>
  <si>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</si>
  <si>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</si>
  <si>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</si>
  <si>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</si>
  <si>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</si>
  <si>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</si>
  <si>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</si>
  <si>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</si>
  <si>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</si>
  <si>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</si>
  <si>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</si>
  <si>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</si>
  <si>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</si>
  <si>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</si>
  <si>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</si>
  <si>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</si>
  <si>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</si>
  <si>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</si>
  <si>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</si>
  <si>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</si>
  <si>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</si>
  <si>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</si>
  <si>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</si>
  <si>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</si>
  <si>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</si>
  <si>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</si>
  <si>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</si>
  <si>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</si>
  <si>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</si>
  <si>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</si>
  <si>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</si>
  <si>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</si>
  <si>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</si>
  <si>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</si>
  <si>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</si>
  <si>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</si>
  <si>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</si>
  <si>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</si>
  <si>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</si>
  <si>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</si>
  <si>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</si>
  <si>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</si>
  <si>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</si>
  <si>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</si>
  <si>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</si>
  <si>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</si>
  <si>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</si>
  <si>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</si>
  <si>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</si>
  <si>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</si>
  <si>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</si>
  <si>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</si>
  <si>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</si>
  <si>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</si>
  <si>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</si>
  <si>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</si>
  <si>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</si>
  <si>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</si>
  <si>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</si>
  <si>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</si>
  <si>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</si>
  <si>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</si>
  <si>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</si>
  <si>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</si>
  <si>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</si>
  <si>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</si>
  <si>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</si>
  <si>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</si>
  <si>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</si>
  <si>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</si>
  <si>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</si>
  <si>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</si>
  <si>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</si>
  <si>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</si>
  <si>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</si>
  <si>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</si>
  <si>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</si>
  <si>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</si>
  <si>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</si>
  <si>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</si>
  <si>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</si>
  <si>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</si>
  <si>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</si>
  <si>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</si>
  <si>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</si>
  <si>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</si>
  <si>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</si>
  <si>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</si>
  <si>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</si>
  <si>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</si>
  <si>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</si>
  <si>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</si>
  <si>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</si>
  <si>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</si>
  <si>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</si>
  <si>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</si>
  <si>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</si>
  <si>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</si>
  <si>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</si>
  <si>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</si>
  <si>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</si>
  <si>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</si>
  <si>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</si>
  <si>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</si>
  <si>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</si>
  <si>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</si>
  <si>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</si>
  <si>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</si>
  <si>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</si>
  <si>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</si>
  <si>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</si>
  <si>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</si>
  <si>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</si>
  <si>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</si>
  <si>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</si>
  <si>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</si>
  <si>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</si>
  <si>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</si>
  <si>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</si>
  <si>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</si>
  <si>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</si>
  <si>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</si>
  <si>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</si>
  <si>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</si>
  <si>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</si>
  <si>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</si>
  <si>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</si>
  <si>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</si>
  <si>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</si>
  <si>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</si>
  <si>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</si>
  <si>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</si>
  <si>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</si>
  <si>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</si>
  <si>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</si>
  <si>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</si>
  <si>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</si>
  <si>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</si>
  <si>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</si>
  <si>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</si>
  <si>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</si>
  <si>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</si>
  <si>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</si>
  <si>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</si>
  <si>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</si>
  <si>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</si>
  <si>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</si>
  <si>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</si>
  <si>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</si>
  <si>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</si>
  <si>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</si>
  <si>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</si>
  <si>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</si>
  <si>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</si>
  <si>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</si>
  <si>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</si>
  <si>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</si>
  <si>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</si>
  <si>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</si>
  <si>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</si>
  <si>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</si>
  <si>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</si>
  <si>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</si>
  <si>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</si>
  <si>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</si>
  <si>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</si>
  <si>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</si>
  <si>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</si>
  <si>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</si>
  <si>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</si>
  <si>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</si>
  <si>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</si>
  <si>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</si>
  <si>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</si>
  <si>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</si>
  <si>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</si>
  <si>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</si>
  <si>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</si>
  <si>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</si>
  <si>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</si>
  <si>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</si>
  <si>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</si>
  <si>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</si>
  <si>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</si>
  <si>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</si>
  <si>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</si>
  <si>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</si>
  <si>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</si>
  <si>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</si>
  <si>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</si>
  <si>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</si>
  <si>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</si>
  <si>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</si>
  <si>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</si>
  <si>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</si>
  <si>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</si>
  <si>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</si>
  <si>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</si>
  <si>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</si>
  <si>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</si>
  <si>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</si>
  <si>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</si>
  <si>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</si>
  <si>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</si>
  <si>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</si>
  <si>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</si>
  <si>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</si>
  <si>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</si>
  <si>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</si>
  <si>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</si>
  <si>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</si>
  <si>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</si>
  <si>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</si>
  <si>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</si>
  <si>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</si>
  <si>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</si>
  <si>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</si>
  <si>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</si>
  <si>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</si>
  <si>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</si>
  <si>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</si>
  <si>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</si>
  <si>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</si>
  <si>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</si>
  <si>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</si>
  <si>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</si>
  <si>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</si>
  <si>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</si>
  <si>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</si>
  <si>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</si>
  <si>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</si>
  <si>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</si>
  <si>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</si>
  <si>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</si>
  <si>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</si>
  <si>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</si>
  <si>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</si>
  <si>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</si>
  <si>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</si>
  <si>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</si>
  <si>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</si>
  <si>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</si>
  <si>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</si>
  <si>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</si>
  <si>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</si>
  <si>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</si>
  <si>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</si>
  <si>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</si>
  <si>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</si>
  <si>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</si>
  <si>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</si>
  <si>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</si>
  <si>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</si>
  <si>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</si>
  <si>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</si>
  <si>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</si>
  <si>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</si>
  <si>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</si>
  <si>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</si>
  <si>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</si>
  <si>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</si>
  <si>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</si>
  <si>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</si>
  <si>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</si>
  <si>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</si>
  <si>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</si>
  <si>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</si>
  <si>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</si>
  <si>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</si>
  <si>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</si>
  <si>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</si>
  <si>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</si>
  <si>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</si>
  <si>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</si>
  <si>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</si>
  <si>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</si>
  <si>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</si>
  <si>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</si>
  <si>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</si>
  <si>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</si>
  <si>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</si>
  <si>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</si>
  <si>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</si>
  <si>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</si>
  <si>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</si>
  <si>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</si>
  <si>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</si>
  <si>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</si>
  <si>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</si>
  <si>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</si>
  <si>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</si>
  <si>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</si>
  <si>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</si>
  <si>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</si>
  <si>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</si>
  <si>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</si>
  <si>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</si>
  <si>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</si>
  <si>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</si>
  <si>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</si>
  <si>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</si>
  <si>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</si>
  <si>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</si>
  <si>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</si>
  <si>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</si>
  <si>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</si>
  <si>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</si>
  <si>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</si>
  <si>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</si>
  <si>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</si>
  <si>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</si>
  <si>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</si>
  <si>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</si>
  <si>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</si>
  <si>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</si>
  <si>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</si>
  <si>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</si>
  <si>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</si>
  <si>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</si>
  <si>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</si>
  <si>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</si>
  <si>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</si>
  <si>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</si>
  <si>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</si>
  <si>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</si>
  <si>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</si>
  <si>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</si>
  <si>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</si>
  <si>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</si>
  <si>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</si>
  <si>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</si>
  <si>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</si>
  <si>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</si>
  <si>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</si>
  <si>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</si>
  <si>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</si>
  <si>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</si>
  <si>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</si>
  <si>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</si>
  <si>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</si>
  <si>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</si>
  <si>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</si>
  <si>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</si>
  <si>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</si>
  <si>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</si>
  <si>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</si>
  <si>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</si>
  <si>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</si>
  <si>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</si>
  <si>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</si>
  <si>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</si>
  <si>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</si>
  <si>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</si>
  <si>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</si>
  <si>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</si>
  <si>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</si>
  <si>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</si>
  <si>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</si>
  <si>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</si>
  <si>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</si>
  <si>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</si>
  <si>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</si>
  <si>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</si>
  <si>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</si>
  <si>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</si>
  <si>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</si>
  <si>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</si>
  <si>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</si>
  <si>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</si>
  <si>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</si>
  <si>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</si>
  <si>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</si>
  <si>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</si>
  <si>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</si>
  <si>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</si>
  <si>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</si>
  <si>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</si>
  <si>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</si>
  <si>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</si>
  <si>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</si>
  <si>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</si>
  <si>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</si>
  <si>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</si>
  <si>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</si>
  <si>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</si>
  <si>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</si>
  <si>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</si>
  <si>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</si>
  <si>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</si>
  <si>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</si>
  <si>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</si>
  <si>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</si>
  <si>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</si>
  <si>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</si>
  <si>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</si>
  <si>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</si>
  <si>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</si>
  <si>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</si>
  <si>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</si>
  <si>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</si>
  <si>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</si>
  <si>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</si>
  <si>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</si>
  <si>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</si>
  <si>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</si>
  <si>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</si>
  <si>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</si>
  <si>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</si>
  <si>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</si>
  <si>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</si>
  <si>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</si>
  <si>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</si>
  <si>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</si>
  <si>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</si>
  <si>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</si>
  <si>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</si>
  <si>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</si>
  <si>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</si>
  <si>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</si>
  <si>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</si>
  <si>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</si>
  <si>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</si>
  <si>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</si>
  <si>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</si>
  <si>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</si>
  <si>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</si>
  <si>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</si>
  <si>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</si>
  <si>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</si>
  <si>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</si>
  <si>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</si>
  <si>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</si>
  <si>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</si>
  <si>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</si>
  <si>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</si>
  <si>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</si>
  <si>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</si>
  <si>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</si>
  <si>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</si>
  <si>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</si>
  <si>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</si>
  <si>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</si>
  <si>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</si>
  <si>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</si>
  <si>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</si>
  <si>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</si>
  <si>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</si>
  <si>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</si>
  <si>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</si>
  <si>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</si>
  <si>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</si>
  <si>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</si>
  <si>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</si>
  <si>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</si>
  <si>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</si>
  <si>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</si>
  <si>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</si>
  <si>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</si>
  <si>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</si>
  <si>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</si>
  <si>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</si>
  <si>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</si>
  <si>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</si>
  <si>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</si>
  <si>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</si>
  <si>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</si>
  <si>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</si>
  <si>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</si>
  <si>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</si>
  <si>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</si>
  <si>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</si>
  <si>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</si>
  <si>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</si>
  <si>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</si>
  <si>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</si>
  <si>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</si>
  <si>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</si>
  <si>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</si>
  <si>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</si>
  <si>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</si>
  <si>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</si>
  <si>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</si>
  <si>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</si>
  <si>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</si>
  <si>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</si>
  <si>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</si>
  <si>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</si>
  <si>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</si>
  <si>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</si>
  <si>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</si>
  <si>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</si>
  <si>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</si>
  <si>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</si>
  <si>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</si>
  <si>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</si>
  <si>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</si>
  <si>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</si>
  <si>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</si>
  <si>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</si>
  <si>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</si>
  <si>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</si>
  <si>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</si>
  <si>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</si>
  <si>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</si>
  <si>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</si>
  <si>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</si>
  <si>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</si>
  <si>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</si>
  <si>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</si>
  <si>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</si>
  <si>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</si>
  <si>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</si>
  <si>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</si>
  <si>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</si>
  <si>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</si>
  <si>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</si>
  <si>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</si>
  <si>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</si>
  <si>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</si>
  <si>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</si>
  <si>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</si>
  <si>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</si>
  <si>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</si>
  <si>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</si>
  <si>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</si>
  <si>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</si>
  <si>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</si>
  <si>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</si>
  <si>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</si>
  <si>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</si>
  <si>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</si>
  <si>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</si>
  <si>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</si>
  <si>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</si>
  <si>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</si>
  <si>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</si>
  <si>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</si>
  <si>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</si>
  <si>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</si>
  <si>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</si>
  <si>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</si>
  <si>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</si>
  <si>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</si>
  <si>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</si>
  <si>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</si>
  <si>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</si>
  <si>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</si>
  <si>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</si>
  <si>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</si>
  <si>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</si>
  <si>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</si>
  <si>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</si>
  <si>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</si>
  <si>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</si>
  <si>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</si>
  <si>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</si>
  <si>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</si>
  <si>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</si>
  <si>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</si>
  <si>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</si>
  <si>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</si>
  <si>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</si>
  <si>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</si>
  <si>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</si>
  <si>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</si>
  <si>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</si>
  <si>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</si>
  <si>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</si>
  <si>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</si>
  <si>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</si>
  <si>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</si>
  <si>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</si>
  <si>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</si>
  <si>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</si>
  <si>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</si>
  <si>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</si>
  <si>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</si>
  <si>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</si>
  <si>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</si>
  <si>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</si>
  <si>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</si>
  <si>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</si>
  <si>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</si>
  <si>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</si>
  <si>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</si>
  <si>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</si>
  <si>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</si>
  <si>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</si>
  <si>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</si>
  <si>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</si>
  <si>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</si>
  <si>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</si>
  <si>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</si>
  <si>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</si>
  <si>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</si>
  <si>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</si>
  <si>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</si>
  <si>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</si>
  <si>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</si>
  <si>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</si>
  <si>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</si>
  <si>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</si>
  <si>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</si>
  <si>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</si>
  <si>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</si>
  <si>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</si>
  <si>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</si>
  <si>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</si>
  <si>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</si>
  <si>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</si>
  <si>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</si>
  <si>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</si>
  <si>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</si>
  <si>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</si>
  <si>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</si>
  <si>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</si>
  <si>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</si>
  <si>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</si>
  <si>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</si>
  <si>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</si>
  <si>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</si>
  <si>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</si>
  <si>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</si>
  <si>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</si>
  <si>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</si>
  <si>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</si>
  <si>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</si>
  <si>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</si>
  <si>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</si>
  <si>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</si>
  <si>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</si>
  <si>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</si>
  <si>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</si>
  <si>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</si>
  <si>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</si>
  <si>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</si>
  <si>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</si>
  <si>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</si>
  <si>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</si>
  <si>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</si>
  <si>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</si>
  <si>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</si>
  <si>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</si>
  <si>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</si>
  <si>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</si>
  <si>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</si>
  <si>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</si>
  <si>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</si>
  <si>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</si>
  <si>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</si>
  <si>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</si>
  <si>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</si>
  <si>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</si>
  <si>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</si>
  <si>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</si>
  <si>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</si>
  <si>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</si>
  <si>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</si>
  <si>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</si>
  <si>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</si>
  <si>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</si>
  <si>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</si>
  <si>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</si>
  <si>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</si>
  <si>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</si>
  <si>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</si>
  <si>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</si>
  <si>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</si>
  <si>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</si>
  <si>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</si>
  <si>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</si>
  <si>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</si>
  <si>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</si>
  <si>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</si>
  <si>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</si>
  <si>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</si>
  <si>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</si>
  <si>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</si>
  <si>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</si>
  <si>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</si>
  <si>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</si>
  <si>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</si>
  <si>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</si>
  <si>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</si>
  <si>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</si>
  <si>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</si>
  <si>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</si>
  <si>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</si>
  <si>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</si>
  <si>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</si>
  <si>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</si>
  <si>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</si>
  <si>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</si>
  <si>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</si>
  <si>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</si>
  <si>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</si>
  <si>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</si>
  <si>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</si>
  <si>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</si>
  <si>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</si>
  <si>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</si>
  <si>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</si>
  <si>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</si>
  <si>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</si>
  <si>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</si>
  <si>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</si>
  <si>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</si>
  <si>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</si>
  <si>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</si>
  <si>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</si>
  <si>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</si>
  <si>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</si>
  <si>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</si>
  <si>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</si>
  <si>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</si>
  <si>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</si>
  <si>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</si>
  <si>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</si>
  <si>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</si>
  <si>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</si>
  <si>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</si>
  <si>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</si>
  <si>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</si>
  <si>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</si>
  <si>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</si>
  <si>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</si>
  <si>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</si>
  <si>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</si>
  <si>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</si>
  <si>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</si>
  <si>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</si>
  <si>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</si>
  <si>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</si>
  <si>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</si>
  <si>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</si>
  <si>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</si>
  <si>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</si>
  <si>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</si>
  <si>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</si>
  <si>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</si>
  <si>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</si>
  <si>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</si>
  <si>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</si>
  <si>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</si>
  <si>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</si>
  <si>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</si>
  <si>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</si>
  <si>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</si>
  <si>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</si>
  <si>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</si>
  <si>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</si>
  <si>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</si>
  <si>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</si>
  <si>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</si>
  <si>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</si>
  <si>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</si>
  <si>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</si>
  <si>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</si>
  <si>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</si>
  <si>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</si>
  <si>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</si>
  <si>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</si>
  <si>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</si>
  <si>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</si>
  <si>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</si>
  <si>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</si>
  <si>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</si>
  <si>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</si>
  <si>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</si>
  <si>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</si>
  <si>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</si>
  <si>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</si>
  <si>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</si>
  <si>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</si>
  <si>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</si>
  <si>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</si>
  <si>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</si>
  <si>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</si>
  <si>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</si>
  <si>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</si>
  <si>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</si>
  <si>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</si>
  <si>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</si>
  <si>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</si>
  <si>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</si>
  <si>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</si>
  <si>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</si>
  <si>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</si>
  <si>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</si>
  <si>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</si>
  <si>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</si>
  <si>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</si>
  <si>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</si>
  <si>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</si>
  <si>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</si>
  <si>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</si>
  <si>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</si>
  <si>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</si>
  <si>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</si>
  <si>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</si>
  <si>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</si>
  <si>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</si>
  <si>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</si>
  <si>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</si>
  <si>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</si>
  <si>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</si>
  <si>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</si>
  <si>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</si>
  <si>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</si>
  <si>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</si>
  <si>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</si>
  <si>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</si>
  <si>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</si>
  <si>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</si>
  <si>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</si>
  <si>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</si>
  <si>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</si>
  <si>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</si>
  <si>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</si>
  <si>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</si>
  <si>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</si>
  <si>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</si>
  <si>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</si>
  <si>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</si>
  <si>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</si>
  <si>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</si>
  <si>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</si>
  <si>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</si>
  <si>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</si>
  <si>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</si>
  <si>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</si>
  <si>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</si>
  <si>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</si>
  <si>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</si>
  <si>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</si>
  <si>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</si>
  <si>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</si>
  <si>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</si>
  <si>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</si>
  <si>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</si>
  <si>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</si>
  <si>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</si>
  <si>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</si>
  <si>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</si>
  <si>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</si>
  <si>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</si>
  <si>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</si>
  <si>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</si>
  <si>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</si>
  <si>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</si>
  <si>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</si>
  <si>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</si>
  <si>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</si>
  <si>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</si>
  <si>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</si>
  <si>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</si>
  <si>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</si>
  <si>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</si>
  <si>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</si>
  <si>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</si>
  <si>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</si>
  <si>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</si>
  <si>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</si>
  <si>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</si>
  <si>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</si>
  <si>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</si>
  <si>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</si>
  <si>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</si>
  <si>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</si>
  <si>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</si>
  <si>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</si>
  <si>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</si>
  <si>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</si>
  <si>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</si>
  <si>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</si>
  <si>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</si>
  <si>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</si>
  <si>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</si>
  <si>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</si>
  <si>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</si>
  <si>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</si>
  <si>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</si>
  <si>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</si>
  <si>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</si>
  <si>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</si>
  <si>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</si>
  <si>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</si>
  <si>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</si>
  <si>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</si>
  <si>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</si>
  <si>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</si>
  <si>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</si>
  <si>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</si>
  <si>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</si>
  <si>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</si>
  <si>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</si>
  <si>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</si>
  <si>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</si>
  <si>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</si>
  <si>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</si>
  <si>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</si>
  <si>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</si>
  <si>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</si>
  <si>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</si>
  <si>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</si>
  <si>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</si>
  <si>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</si>
  <si>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</si>
  <si>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</si>
  <si>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</si>
  <si>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</si>
  <si>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</si>
  <si>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</si>
  <si>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</si>
  <si>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</si>
  <si>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</si>
  <si>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</si>
  <si>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</si>
  <si>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</si>
  <si>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</si>
  <si>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</si>
  <si>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</si>
  <si>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</si>
  <si>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</si>
  <si>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</si>
  <si>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</si>
  <si>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</si>
  <si>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</si>
  <si>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</si>
  <si>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</si>
  <si>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</si>
  <si>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</si>
  <si>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</si>
  <si>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</si>
  <si>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</si>
  <si>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</si>
  <si>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</si>
  <si>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</si>
  <si>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</si>
  <si>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</si>
  <si>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</si>
  <si>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</si>
  <si>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</si>
  <si>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</si>
  <si>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</si>
  <si>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</si>
  <si>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</si>
  <si>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</si>
  <si>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</si>
  <si>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</si>
  <si>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</si>
  <si>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</si>
  <si>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</si>
  <si>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</si>
  <si>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</si>
  <si>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</si>
  <si>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</si>
  <si>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</si>
  <si>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</si>
  <si>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</si>
  <si>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</si>
  <si>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</si>
  <si>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</si>
  <si>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</si>
  <si>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</si>
  <si>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</si>
  <si>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</si>
  <si>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</si>
  <si>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</si>
  <si>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</si>
  <si>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</si>
  <si>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</si>
  <si>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</si>
  <si>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</si>
  <si>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</si>
  <si>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</si>
  <si>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</si>
  <si>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</si>
  <si>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</si>
  <si>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</si>
  <si>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</si>
  <si>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</si>
  <si>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</si>
  <si>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</si>
  <si>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</si>
  <si>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</si>
  <si>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</si>
  <si>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</si>
  <si>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</si>
  <si>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</si>
  <si>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</si>
  <si>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</si>
  <si>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</si>
  <si>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</si>
  <si>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</si>
  <si>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</si>
  <si>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</si>
  <si>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</si>
  <si>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</si>
  <si>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</si>
  <si>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</si>
  <si>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</si>
  <si>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</si>
  <si>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</si>
  <si>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</si>
  <si>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</si>
  <si>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</si>
  <si>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</si>
  <si>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</si>
  <si>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</si>
  <si>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</si>
  <si>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</si>
  <si>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</si>
  <si>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</si>
  <si>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</si>
  <si>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</si>
  <si>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</si>
  <si>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</si>
  <si>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</si>
  <si>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</si>
  <si>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</si>
  <si>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</si>
  <si>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</si>
  <si>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</si>
  <si>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</si>
  <si>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</si>
  <si>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</si>
  <si>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</si>
  <si>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</si>
  <si>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</si>
  <si>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</si>
  <si>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</si>
  <si>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</si>
  <si>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</si>
  <si>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</si>
  <si>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</si>
  <si>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</si>
  <si>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</si>
  <si>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</si>
  <si>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</si>
  <si>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</si>
  <si>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</si>
  <si>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</si>
  <si>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</si>
  <si>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</si>
  <si>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</si>
  <si>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</si>
  <si>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</si>
  <si>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</si>
  <si>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</si>
  <si>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</si>
  <si>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</si>
  <si>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</si>
  <si>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</si>
  <si>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</si>
  <si>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</si>
  <si>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</si>
  <si>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</si>
  <si>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</si>
  <si>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</si>
  <si>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</si>
  <si>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</si>
  <si>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</si>
  <si>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</si>
  <si>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</si>
  <si>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</si>
  <si>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</si>
  <si>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</si>
  <si>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</si>
  <si>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</si>
  <si>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</si>
  <si>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</si>
  <si>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</si>
  <si>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</si>
  <si>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</si>
  <si>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</si>
  <si>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</si>
  <si>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</si>
  <si>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</si>
  <si>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</si>
  <si>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</si>
  <si>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</si>
  <si>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</si>
  <si>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</si>
  <si>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</si>
  <si>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</si>
  <si>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</si>
  <si>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</si>
  <si>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</si>
  <si>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</si>
  <si>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</si>
  <si>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</si>
  <si>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</si>
  <si>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</si>
  <si>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</si>
  <si>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</si>
  <si>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</si>
  <si>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</si>
  <si>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</si>
  <si>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</si>
  <si>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</si>
  <si>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</si>
  <si>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</si>
  <si>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</si>
  <si>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</si>
  <si>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</si>
  <si>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</si>
  <si>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</si>
  <si>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</si>
  <si>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</si>
  <si>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</si>
  <si>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</si>
  <si>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</si>
  <si>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</si>
  <si>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</si>
  <si>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</si>
  <si>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</si>
  <si>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</si>
  <si>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</si>
  <si>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</si>
  <si>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</si>
  <si>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</si>
  <si>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</si>
  <si>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</si>
  <si>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</si>
  <si>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</si>
  <si>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</si>
  <si>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</si>
  <si>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</si>
  <si>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</si>
  <si>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</si>
  <si>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</si>
  <si>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</si>
  <si>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</si>
  <si>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</si>
  <si>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</si>
  <si>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</si>
  <si>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</si>
  <si>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</si>
  <si>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</si>
  <si>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</si>
  <si>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</si>
  <si>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</si>
  <si>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</si>
  <si>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</si>
  <si>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</si>
  <si>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</si>
  <si>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</si>
  <si>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</si>
  <si>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</si>
  <si>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</si>
  <si>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</si>
  <si>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</si>
  <si>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</si>
  <si>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</si>
  <si>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</si>
  <si>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</si>
  <si>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</si>
  <si>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</si>
  <si>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</si>
  <si>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</si>
  <si>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</si>
  <si>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</si>
  <si>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</si>
  <si>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</si>
  <si>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</si>
  <si>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</si>
  <si>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</si>
  <si>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</si>
  <si>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</si>
  <si>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</si>
  <si>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</si>
  <si>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</si>
  <si>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</si>
  <si>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</si>
  <si>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</si>
  <si>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</si>
  <si>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</si>
  <si>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</si>
  <si>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</si>
  <si>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</si>
  <si>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</si>
  <si>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</si>
  <si>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</si>
  <si>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</si>
  <si>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</si>
  <si>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</si>
  <si>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</si>
  <si>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</si>
  <si>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</si>
  <si>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</si>
  <si>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</si>
  <si>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</si>
  <si>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</si>
  <si>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</si>
  <si>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</si>
  <si>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</si>
  <si>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</si>
  <si>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</si>
  <si>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</si>
  <si>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</si>
  <si>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</si>
  <si>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</si>
  <si>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</si>
  <si>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</si>
  <si>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</si>
  <si>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</si>
  <si>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</si>
  <si>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</si>
  <si>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</si>
  <si>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</si>
  <si>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</si>
  <si>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</si>
  <si>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</si>
  <si>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</si>
  <si>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</si>
  <si>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</si>
  <si>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</si>
  <si>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</si>
  <si>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</si>
  <si>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</si>
  <si>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</si>
  <si>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</si>
  <si>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</si>
  <si>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</si>
  <si>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</si>
  <si>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</si>
  <si>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</si>
  <si>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</si>
  <si>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</si>
  <si>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</si>
  <si>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</si>
  <si>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</si>
  <si>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</si>
  <si>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</si>
  <si>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</si>
  <si>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</si>
  <si>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</si>
  <si>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</si>
  <si>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</si>
  <si>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</si>
  <si>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</si>
  <si>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</si>
  <si>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</si>
  <si>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</si>
  <si>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</si>
  <si>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</si>
  <si>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</si>
  <si>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</si>
  <si>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</si>
  <si>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</si>
  <si>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</si>
  <si>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</si>
  <si>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</si>
  <si>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</si>
  <si>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</si>
  <si>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</si>
  <si>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</si>
  <si>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</si>
  <si>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</si>
  <si>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</si>
  <si>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</si>
  <si>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</si>
  <si>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</si>
  <si>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</si>
  <si>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</si>
  <si>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</si>
  <si>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</si>
  <si>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</si>
  <si>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</si>
  <si>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</si>
  <si>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</si>
  <si>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</si>
  <si>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</si>
  <si>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</si>
  <si>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</si>
  <si>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</si>
  <si>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</si>
  <si>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</si>
  <si>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</si>
  <si>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</si>
  <si>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</si>
  <si>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</si>
  <si>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</si>
  <si>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</si>
  <si>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</si>
  <si>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</si>
  <si>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</si>
  <si>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</si>
  <si>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</si>
  <si>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</si>
  <si>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</si>
  <si>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</si>
  <si>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</si>
  <si>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</si>
  <si>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</si>
  <si>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</si>
  <si>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</si>
  <si>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</si>
  <si>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</si>
  <si>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</si>
  <si>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</si>
  <si>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</si>
  <si>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</si>
  <si>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</si>
  <si>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</si>
  <si>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</si>
  <si>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</si>
  <si>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</si>
  <si>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</si>
  <si>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</si>
  <si>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</si>
  <si>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</si>
  <si>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</si>
  <si>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</si>
  <si>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</si>
  <si>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</si>
  <si>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</si>
  <si>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</si>
  <si>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</si>
  <si>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</si>
  <si>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</si>
  <si>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</si>
  <si>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</si>
  <si>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</si>
  <si>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</si>
  <si>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</si>
  <si>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</si>
  <si>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</si>
  <si>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</si>
  <si>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</si>
  <si>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</si>
  <si>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</si>
  <si>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</si>
  <si>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</si>
  <si>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</si>
  <si>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</si>
  <si>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</si>
  <si>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</si>
  <si>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</si>
  <si>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</si>
  <si>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</si>
  <si>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</si>
  <si>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</si>
  <si>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</si>
  <si>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</si>
  <si>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</si>
  <si>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</si>
  <si>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</si>
  <si>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</si>
  <si>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</si>
  <si>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</si>
  <si>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</si>
  <si>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</si>
  <si>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</si>
  <si>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</si>
  <si>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</si>
  <si>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</si>
  <si>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</si>
  <si>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</si>
  <si>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</si>
  <si>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</si>
  <si>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</si>
  <si>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</si>
  <si>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</si>
  <si>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</si>
  <si>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</si>
  <si>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</si>
  <si>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</si>
  <si>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</si>
  <si>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</si>
  <si>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</si>
  <si>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</si>
  <si>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</si>
  <si>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</si>
  <si>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</si>
  <si>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</si>
  <si>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</si>
  <si>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</si>
  <si>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</si>
  <si>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</si>
  <si>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</si>
  <si>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</si>
  <si>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</si>
  <si>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</si>
  <si>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</si>
  <si>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</si>
  <si>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</si>
  <si>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</si>
  <si>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</si>
  <si>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</si>
  <si>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</si>
  <si>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</si>
  <si>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</si>
  <si>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</si>
  <si>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</si>
  <si>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</si>
  <si>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</si>
  <si>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</si>
  <si>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</si>
  <si>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</si>
  <si>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</si>
  <si>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</si>
  <si>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</si>
  <si>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</si>
  <si>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</si>
  <si>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</si>
  <si>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</si>
  <si>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</si>
  <si>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</si>
  <si>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</si>
  <si>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</si>
  <si>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</si>
  <si>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</si>
  <si>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</si>
  <si>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</si>
  <si>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</si>
  <si>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</si>
  <si>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</si>
  <si>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</si>
  <si>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</si>
  <si>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</si>
  <si>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</si>
  <si>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</si>
  <si>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</si>
  <si>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</si>
  <si>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</si>
  <si>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</si>
  <si>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</si>
  <si>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</si>
  <si>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</si>
  <si>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</si>
  <si>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</si>
  <si>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</si>
  <si>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</si>
  <si>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</si>
  <si>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</si>
  <si>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</si>
  <si>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</si>
  <si>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</si>
  <si>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</si>
  <si>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</si>
  <si>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</si>
  <si>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</si>
  <si>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</si>
  <si>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</si>
  <si>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</si>
  <si>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</si>
  <si>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</si>
  <si>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</si>
  <si>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</si>
  <si>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</si>
  <si>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</si>
  <si>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</si>
  <si>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</si>
  <si>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</si>
  <si>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</si>
  <si>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</si>
  <si>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</si>
  <si>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</si>
  <si>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</si>
  <si>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</si>
  <si>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</si>
  <si>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</si>
  <si>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</si>
  <si>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</si>
  <si>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</si>
  <si>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</si>
  <si>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</si>
  <si>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</si>
  <si>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</si>
  <si>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</si>
  <si>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</si>
  <si>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</si>
  <si>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</si>
  <si>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</si>
  <si>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</si>
  <si>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</si>
  <si>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</si>
  <si>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</si>
  <si>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</si>
  <si>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</si>
  <si>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</si>
  <si>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</si>
  <si>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</si>
  <si>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</si>
  <si>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</si>
  <si>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</si>
  <si>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</si>
  <si>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</si>
  <si>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</si>
  <si>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</si>
  <si>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</si>
  <si>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</si>
  <si>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</si>
  <si>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</si>
  <si>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</si>
  <si>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</si>
  <si>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</si>
  <si>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</si>
  <si>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</si>
  <si>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</si>
  <si>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</si>
  <si>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</si>
  <si>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</si>
  <si>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</si>
  <si>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</si>
  <si>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</si>
  <si>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</si>
  <si>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</si>
  <si>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</si>
  <si>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</si>
  <si>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</si>
  <si>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</si>
  <si>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</si>
  <si>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</si>
  <si>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</si>
  <si>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</si>
  <si>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</si>
  <si>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</si>
  <si>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</si>
  <si>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</si>
  <si>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</si>
  <si>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</si>
  <si>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</si>
  <si>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</si>
  <si>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</si>
  <si>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</si>
  <si>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</si>
  <si>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</si>
  <si>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</si>
  <si>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</si>
  <si>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</si>
  <si>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</si>
  <si>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</si>
  <si>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</si>
  <si>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</si>
  <si>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</si>
  <si>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</si>
  <si>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</si>
  <si>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</si>
  <si>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</si>
  <si>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</si>
  <si>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</si>
  <si>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</si>
  <si>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</si>
  <si>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</si>
  <si>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</si>
  <si>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</si>
  <si>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</si>
  <si>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</si>
  <si>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</si>
  <si>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</si>
  <si>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</si>
  <si>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</si>
  <si>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</si>
  <si>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</si>
  <si>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</si>
  <si>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</si>
  <si>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</si>
  <si>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</si>
  <si>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</si>
  <si>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</si>
  <si>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</si>
  <si>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</si>
  <si>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</si>
  <si>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</si>
  <si>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</si>
  <si>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</si>
  <si>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</si>
  <si>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</si>
  <si>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</si>
  <si>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</si>
  <si>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</si>
  <si>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</si>
  <si>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</si>
  <si>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</si>
  <si>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</si>
  <si>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</si>
  <si>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</si>
  <si>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</si>
  <si>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</si>
  <si>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</si>
  <si>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</si>
  <si>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</si>
  <si>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</si>
  <si>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</si>
  <si>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</si>
  <si>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</si>
  <si>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</si>
  <si>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</si>
  <si>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</si>
  <si>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</si>
  <si>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</si>
  <si>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</si>
  <si>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</si>
  <si>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</si>
  <si>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</si>
  <si>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</si>
  <si>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</si>
  <si>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</si>
  <si>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</si>
  <si>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</si>
  <si>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</si>
  <si>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</si>
  <si>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</si>
  <si>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</si>
  <si>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</si>
  <si>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</si>
  <si>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</si>
  <si>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</si>
  <si>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</si>
  <si>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</si>
  <si>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</si>
  <si>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</si>
  <si>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</si>
  <si>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</si>
  <si>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</si>
  <si>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</si>
  <si>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</si>
  <si>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</si>
  <si>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</si>
  <si>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</si>
  <si>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</si>
  <si>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</si>
  <si>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</si>
  <si>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</si>
  <si>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</si>
  <si>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</si>
  <si>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</si>
  <si>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</si>
  <si>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</si>
  <si>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</si>
  <si>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</si>
  <si>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</si>
  <si>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</si>
  <si>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</si>
  <si>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</si>
  <si>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</si>
  <si>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</si>
  <si>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</si>
  <si>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</si>
  <si>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</si>
  <si>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</si>
  <si>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</si>
  <si>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</si>
  <si>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</si>
  <si>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</si>
  <si>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</si>
  <si>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</si>
  <si>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</si>
  <si>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</si>
  <si>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</si>
  <si>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</si>
  <si>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</si>
  <si>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</si>
  <si>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</si>
  <si>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</si>
  <si>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</si>
  <si>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</si>
  <si>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</si>
  <si>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</si>
  <si>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</si>
  <si>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</si>
  <si>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</si>
  <si>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</si>
  <si>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</si>
  <si>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</si>
  <si>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</si>
  <si>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</si>
  <si>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</si>
  <si>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</si>
  <si>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</si>
  <si>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</si>
  <si>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</si>
  <si>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</si>
  <si>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</si>
  <si>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</si>
  <si>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</si>
  <si>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</si>
  <si>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</si>
  <si>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</si>
  <si>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</si>
  <si>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</si>
  <si>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</si>
  <si>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</si>
  <si>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</si>
  <si>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</si>
  <si>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</si>
  <si>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</si>
  <si>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</si>
  <si>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</si>
  <si>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</si>
  <si>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</si>
  <si>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</si>
  <si>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</si>
  <si>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</si>
  <si>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</si>
  <si>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</si>
  <si>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</si>
  <si>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</si>
  <si>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</si>
  <si>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</si>
  <si>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</si>
  <si>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</si>
  <si>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</si>
  <si>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</si>
  <si>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</si>
  <si>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</si>
  <si>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</si>
  <si>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</si>
  <si>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</si>
  <si>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</si>
  <si>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</si>
  <si>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</si>
  <si>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</si>
  <si>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</si>
  <si>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</si>
  <si>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</si>
  <si>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</si>
  <si>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</si>
  <si>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</si>
  <si>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</si>
  <si>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</si>
  <si>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</si>
  <si>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</si>
  <si>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</si>
  <si>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</si>
  <si>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</si>
  <si>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</si>
  <si>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</si>
  <si>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</si>
  <si>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</si>
  <si>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</si>
  <si>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</si>
  <si>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</si>
  <si>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</si>
  <si>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</si>
  <si>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</si>
  <si>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</si>
  <si>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</si>
  <si>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</si>
  <si>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</si>
  <si>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</si>
  <si>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</si>
  <si>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</si>
  <si>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</si>
  <si>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</si>
  <si>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</si>
  <si>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</si>
  <si>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</si>
  <si>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</si>
  <si>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</si>
  <si>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</si>
  <si>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</si>
  <si>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</si>
  <si>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</si>
  <si>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</si>
  <si>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</si>
  <si>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</si>
  <si>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</si>
  <si>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</si>
  <si>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</si>
  <si>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</si>
  <si>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</si>
  <si>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</si>
  <si>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</si>
  <si>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</si>
  <si>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</si>
  <si>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</si>
  <si>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</si>
  <si>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</si>
  <si>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</si>
  <si>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</si>
  <si>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</si>
  <si>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</si>
  <si>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</si>
  <si>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</si>
  <si>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</si>
  <si>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</si>
  <si>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</si>
  <si>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</si>
  <si>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</si>
  <si>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</si>
  <si>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</si>
  <si>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</si>
  <si>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</si>
  <si>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</si>
  <si>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</si>
  <si>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</si>
  <si>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</si>
  <si>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</si>
  <si>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</si>
  <si>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</si>
  <si>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</si>
  <si>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</si>
  <si>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</si>
  <si>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</si>
  <si>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</si>
  <si>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</si>
  <si>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</si>
  <si>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</si>
  <si>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</si>
  <si>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</si>
  <si>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</si>
  <si>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</si>
  <si>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</si>
  <si>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</si>
  <si>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</si>
  <si>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</si>
  <si>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</si>
  <si>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</si>
  <si>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</si>
  <si>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</si>
  <si>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</si>
  <si>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</si>
  <si>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</si>
  <si>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</si>
  <si>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</si>
  <si>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</si>
  <si>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</si>
  <si>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</si>
  <si>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</si>
  <si>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</si>
  <si>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</si>
  <si>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</si>
  <si>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</si>
  <si>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</si>
  <si>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</si>
  <si>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</si>
  <si>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</si>
  <si>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</si>
  <si>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</si>
  <si>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</si>
  <si>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</si>
  <si>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</si>
  <si>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</si>
  <si>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</si>
  <si>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</si>
  <si>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</si>
  <si>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</si>
  <si>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</si>
  <si>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</si>
  <si>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</si>
  <si>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</si>
  <si>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</si>
  <si>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</si>
  <si>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</si>
  <si>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</si>
  <si>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</si>
  <si>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</si>
  <si>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</si>
  <si>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</si>
  <si>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</si>
  <si>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</si>
  <si>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</si>
  <si>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</si>
  <si>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</si>
  <si>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</si>
  <si>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</si>
  <si>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</si>
  <si>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</si>
  <si>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</si>
  <si>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</si>
  <si>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</si>
  <si>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</si>
  <si>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</si>
  <si>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</si>
  <si>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</si>
  <si>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</si>
  <si>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</si>
  <si>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</si>
  <si>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</si>
  <si>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</si>
  <si>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</si>
  <si>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</si>
  <si>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</si>
  <si>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</si>
  <si>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</si>
  <si>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</si>
  <si>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</si>
  <si>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</si>
  <si>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</si>
  <si>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</si>
  <si>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</si>
  <si>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</si>
  <si>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</si>
  <si>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</si>
  <si>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</si>
  <si>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</si>
  <si>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</si>
  <si>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</si>
  <si>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</si>
  <si>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</si>
  <si>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</si>
  <si>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</si>
  <si>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</si>
  <si>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</si>
  <si>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</si>
  <si>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</si>
  <si>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</si>
  <si>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</si>
  <si>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</si>
  <si>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</si>
  <si>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</si>
  <si>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</si>
  <si>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</si>
  <si>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</si>
  <si>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</si>
  <si>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</si>
  <si>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</si>
  <si>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</si>
  <si>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</si>
  <si>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</si>
  <si>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</si>
  <si>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</si>
  <si>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</si>
  <si>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</si>
  <si>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</si>
  <si>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</si>
  <si>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</si>
  <si>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</si>
  <si>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</si>
  <si>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</si>
  <si>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</si>
  <si>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</si>
  <si>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</si>
  <si>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</si>
  <si>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</si>
  <si>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</si>
  <si>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</si>
  <si>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</si>
  <si>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</si>
  <si>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</si>
  <si>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</si>
  <si>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</si>
  <si>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</si>
  <si>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</si>
  <si>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</si>
  <si>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</si>
  <si>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</si>
  <si>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</si>
  <si>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</si>
  <si>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</si>
  <si>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</si>
  <si>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</si>
  <si>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</si>
  <si>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</si>
  <si>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</si>
  <si>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</si>
  <si>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</si>
  <si>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</si>
  <si>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</si>
  <si>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</si>
  <si>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</si>
  <si>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</si>
  <si>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</si>
  <si>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</si>
  <si>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</si>
  <si>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</si>
  <si>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</si>
  <si>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</si>
  <si>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</si>
  <si>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</si>
  <si>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</si>
  <si>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</si>
  <si>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</si>
  <si>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</si>
  <si>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</si>
  <si>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</si>
  <si>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</si>
  <si>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</si>
  <si>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</si>
  <si>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</si>
  <si>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</si>
  <si>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</si>
  <si>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</si>
  <si>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</si>
  <si>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</si>
  <si>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</si>
  <si>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</si>
  <si>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</si>
  <si>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</si>
  <si>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</si>
  <si>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</si>
  <si>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</si>
  <si>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</si>
  <si>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</si>
  <si>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</si>
  <si>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</si>
  <si>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</si>
  <si>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</si>
  <si>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</si>
  <si>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</si>
  <si>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</si>
  <si>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</si>
  <si>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</si>
  <si>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</si>
  <si>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</si>
  <si>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</si>
  <si>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</si>
  <si>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</si>
  <si>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</si>
  <si>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</si>
  <si>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</si>
  <si>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</si>
  <si>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</si>
  <si>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</si>
  <si>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</si>
  <si>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</si>
  <si>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</si>
  <si>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</si>
  <si>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</si>
  <si>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</si>
  <si>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</si>
  <si>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</si>
  <si>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</si>
  <si>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</si>
  <si>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</si>
  <si>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</si>
  <si>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</si>
  <si>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</si>
  <si>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</si>
  <si>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</si>
  <si>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</si>
  <si>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</si>
  <si>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</si>
  <si>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</si>
  <si>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</si>
  <si>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</si>
  <si>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</si>
  <si>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</si>
  <si>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</si>
  <si>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</si>
  <si>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</si>
  <si>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</si>
  <si>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</si>
  <si>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</si>
  <si>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</si>
  <si>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</si>
  <si>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</si>
  <si>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</si>
  <si>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</si>
  <si>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</si>
  <si>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</si>
  <si>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</si>
  <si>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</si>
  <si>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</si>
  <si>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</si>
  <si>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</si>
  <si>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</si>
  <si>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</si>
  <si>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</si>
  <si>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</si>
  <si>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</si>
  <si>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</si>
  <si>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</si>
  <si>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</si>
  <si>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</si>
  <si>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</si>
  <si>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</si>
  <si>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</si>
  <si>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</si>
  <si>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</si>
  <si>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</si>
  <si>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</si>
  <si>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</si>
  <si>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</si>
  <si>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</si>
  <si>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</si>
  <si>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</si>
  <si>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</si>
  <si>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</si>
  <si>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</si>
  <si>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</si>
  <si>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</si>
  <si>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</si>
  <si>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</si>
  <si>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</si>
  <si>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</si>
  <si>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</si>
  <si>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</si>
  <si>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</si>
  <si>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</si>
  <si>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</si>
  <si>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</si>
  <si>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</si>
  <si>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</si>
  <si>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</si>
  <si>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</si>
  <si>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</si>
  <si>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</si>
  <si>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</si>
  <si>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</si>
  <si>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</si>
  <si>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</si>
  <si>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</si>
  <si>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</si>
  <si>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</si>
  <si>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</si>
  <si>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</si>
  <si>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</si>
  <si>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</si>
  <si>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</si>
  <si>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</si>
  <si>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</si>
  <si>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</si>
  <si>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</si>
  <si>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</si>
  <si>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</si>
  <si>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</si>
  <si>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</si>
  <si>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</si>
  <si>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</si>
  <si>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</si>
  <si>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</si>
  <si>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</si>
  <si>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</si>
  <si>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</si>
  <si>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</si>
  <si>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</si>
  <si>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</si>
  <si>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</si>
  <si>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</si>
  <si>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</si>
  <si>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</si>
  <si>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</si>
  <si>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</si>
  <si>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</si>
  <si>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</si>
  <si>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</si>
  <si>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</si>
  <si>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</si>
  <si>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</si>
  <si>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</si>
  <si>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</si>
  <si>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</si>
  <si>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</si>
  <si>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</si>
  <si>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</si>
  <si>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</si>
  <si>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</si>
  <si>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</si>
  <si>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</si>
  <si>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</si>
  <si>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</si>
  <si>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</si>
  <si>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</si>
  <si>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</si>
  <si>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</si>
  <si>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</si>
  <si>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</si>
  <si>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</si>
  <si>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</si>
  <si>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</si>
  <si>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</si>
  <si>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</si>
  <si>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</si>
  <si>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</si>
  <si>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</si>
  <si>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</si>
  <si>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</si>
  <si>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</si>
  <si>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</si>
  <si>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</si>
  <si>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</si>
  <si>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</si>
  <si>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</si>
  <si>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</si>
  <si>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</si>
  <si>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</si>
  <si>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</si>
  <si>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</si>
  <si>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</si>
  <si>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</si>
  <si>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</si>
  <si>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</si>
  <si>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</si>
  <si>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</si>
  <si>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</si>
  <si>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</si>
  <si>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</si>
  <si>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</si>
  <si>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</si>
  <si>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</si>
  <si>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</si>
  <si>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</si>
  <si>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</si>
  <si>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</si>
  <si>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</si>
  <si>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</si>
  <si>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</si>
  <si>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</si>
  <si>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</si>
  <si>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</si>
  <si>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</si>
  <si>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</si>
  <si>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</si>
  <si>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</si>
  <si>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</si>
  <si>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</si>
  <si>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</si>
  <si>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</si>
  <si>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</si>
  <si>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</si>
  <si>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</si>
  <si>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</si>
  <si>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</si>
  <si>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</si>
  <si>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</si>
  <si>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</si>
  <si>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</si>
  <si>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</si>
  <si>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</si>
  <si>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</si>
  <si>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</si>
  <si>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</si>
  <si>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</si>
  <si>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</si>
  <si>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</si>
  <si>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</si>
  <si>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</si>
  <si>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</si>
  <si>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</si>
  <si>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</si>
  <si>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</si>
  <si>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</si>
  <si>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</si>
  <si>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</si>
  <si>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</si>
  <si>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</si>
  <si>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</si>
  <si>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</si>
  <si>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</si>
  <si>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</si>
  <si>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</si>
  <si>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</si>
  <si>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</si>
  <si>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</si>
  <si>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</si>
  <si>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</si>
  <si>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</si>
  <si>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</si>
  <si>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</si>
  <si>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</si>
  <si>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</si>
  <si>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</si>
  <si>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</si>
  <si>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</si>
  <si>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</si>
  <si>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</si>
  <si>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</si>
  <si>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</si>
  <si>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</si>
  <si>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</si>
  <si>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</si>
  <si>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</si>
  <si>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</si>
  <si>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</si>
  <si>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</si>
  <si>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</si>
  <si>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</si>
  <si>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</si>
  <si>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</si>
  <si>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</si>
  <si>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</si>
  <si>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</si>
  <si>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</si>
  <si>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</si>
  <si>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</si>
  <si>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</si>
  <si>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</si>
  <si>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</si>
  <si>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</si>
  <si>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</si>
  <si>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</si>
  <si>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</si>
  <si>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</si>
  <si>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</si>
  <si>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</si>
  <si>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</si>
  <si>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</si>
  <si>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</si>
  <si>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</si>
  <si>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</si>
  <si>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</si>
  <si>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</si>
  <si>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</si>
  <si>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</si>
  <si>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</si>
  <si>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</si>
  <si>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</si>
  <si>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</si>
  <si>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</si>
  <si>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</si>
  <si>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</si>
  <si>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</si>
  <si>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</si>
  <si>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</si>
  <si>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</si>
  <si>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</si>
  <si>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</si>
  <si>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</si>
  <si>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</si>
  <si>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</si>
  <si>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</si>
  <si>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</si>
  <si>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</si>
  <si>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</si>
  <si>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</si>
  <si>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</si>
  <si>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</si>
  <si>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</si>
  <si>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</si>
  <si>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</si>
  <si>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</si>
  <si>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</si>
  <si>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</si>
  <si>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</si>
  <si>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</si>
  <si>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</si>
  <si>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</si>
  <si>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</si>
  <si>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</si>
  <si>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</si>
  <si>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</si>
  <si>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</si>
  <si>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</si>
  <si>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</si>
  <si>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</si>
  <si>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</si>
  <si>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</si>
  <si>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</si>
  <si>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</si>
  <si>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</si>
  <si>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</si>
  <si>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</si>
  <si>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</si>
  <si>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</si>
  <si>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</si>
  <si>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</si>
  <si>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</si>
  <si>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</si>
  <si>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</si>
  <si>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</si>
  <si>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</si>
  <si>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</si>
  <si>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</si>
  <si>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</si>
  <si>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</si>
  <si>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</si>
  <si>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</si>
  <si>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</si>
  <si>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</si>
  <si>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</si>
  <si>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</si>
  <si>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</si>
  <si>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</si>
  <si>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</si>
  <si>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</si>
  <si>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</si>
  <si>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</si>
  <si>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</si>
  <si>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</si>
  <si>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</si>
  <si>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</si>
  <si>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</si>
  <si>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</si>
  <si>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</si>
  <si>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</si>
  <si>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</si>
  <si>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</si>
  <si>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</si>
  <si>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</si>
  <si>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</si>
  <si>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</si>
  <si>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</si>
  <si>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</si>
  <si>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</si>
  <si>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</si>
  <si>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</si>
  <si>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</si>
  <si>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</si>
  <si>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</si>
  <si>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</si>
  <si>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</si>
  <si>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</si>
  <si>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</si>
  <si>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</si>
  <si>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</si>
  <si>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</si>
  <si>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</si>
  <si>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</si>
  <si>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</si>
  <si>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</si>
  <si>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</si>
  <si>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</si>
  <si>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</si>
  <si>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</si>
  <si>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</si>
  <si>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</si>
  <si>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</si>
  <si>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</si>
  <si>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</si>
  <si>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</si>
  <si>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</si>
  <si>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</si>
  <si>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</si>
  <si>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</si>
  <si>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</si>
  <si>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</si>
  <si>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</si>
  <si>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</si>
  <si>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</si>
  <si>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</si>
  <si>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</si>
  <si>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</si>
  <si>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</si>
  <si>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</si>
  <si>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</si>
  <si>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</si>
  <si>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</si>
  <si>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</si>
  <si>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</si>
  <si>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</si>
  <si>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</si>
  <si>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</si>
  <si>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</si>
  <si>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</si>
  <si>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</si>
  <si>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</si>
  <si>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</si>
  <si>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</si>
  <si>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</si>
  <si>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</si>
  <si>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</si>
  <si>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</si>
  <si>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</si>
  <si>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</si>
  <si>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</si>
  <si>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</si>
  <si>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</si>
  <si>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</si>
  <si>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</si>
  <si>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</si>
  <si>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</si>
  <si>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</si>
  <si>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</si>
  <si>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</si>
  <si>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</si>
  <si>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</si>
  <si>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</si>
  <si>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</si>
  <si>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</si>
  <si>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</si>
  <si>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</si>
  <si>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</si>
  <si>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</si>
  <si>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</si>
  <si>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</si>
  <si>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</si>
  <si>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</si>
  <si>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</si>
  <si>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</si>
  <si>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</si>
  <si>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</si>
  <si>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</si>
  <si>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</si>
  <si>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</si>
  <si>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</si>
  <si>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</si>
  <si>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</si>
  <si>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</si>
  <si>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</si>
  <si>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</si>
  <si>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</si>
  <si>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</si>
  <si>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</si>
  <si>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</si>
  <si>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</si>
  <si>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</si>
  <si>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</si>
  <si>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</si>
  <si>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</si>
  <si>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</si>
  <si>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</si>
  <si>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</si>
  <si>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</si>
  <si>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</si>
  <si>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</si>
  <si>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</si>
  <si>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</si>
  <si>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</si>
  <si>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</si>
  <si>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</si>
  <si>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</si>
  <si>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</si>
  <si>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</si>
  <si>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</si>
  <si>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</si>
  <si>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</si>
  <si>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</si>
  <si>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</si>
  <si>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</si>
  <si>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</si>
  <si>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</si>
  <si>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</si>
  <si>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</si>
  <si>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</si>
  <si>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</si>
  <si>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</si>
  <si>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</si>
  <si>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</si>
  <si>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</si>
  <si>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</si>
  <si>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</si>
  <si>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</si>
  <si>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</si>
  <si>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</si>
  <si>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</si>
  <si>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</si>
  <si>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</si>
  <si>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</si>
  <si>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</si>
  <si>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</si>
  <si>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</si>
  <si>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</si>
  <si>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</si>
  <si>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</si>
  <si>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</si>
  <si>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</si>
  <si>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</si>
  <si>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</si>
  <si>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</si>
  <si>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</si>
  <si>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</si>
  <si>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</si>
  <si>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</si>
  <si>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</si>
  <si>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</si>
  <si>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</si>
  <si>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</si>
  <si>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</si>
  <si>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</si>
  <si>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</si>
  <si>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</si>
  <si>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</si>
  <si>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</si>
  <si>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</si>
  <si>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</si>
  <si>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</si>
  <si>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</si>
  <si>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</si>
  <si>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</si>
  <si>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</si>
  <si>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</si>
  <si>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</si>
  <si>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</si>
  <si>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</si>
  <si>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</si>
  <si>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</si>
  <si>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</si>
  <si>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</si>
  <si>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</si>
  <si>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</si>
  <si>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</si>
  <si>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</si>
  <si>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</si>
  <si>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</si>
  <si>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</si>
  <si>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</si>
  <si>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</si>
  <si>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</si>
  <si>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</si>
  <si>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</si>
  <si>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</si>
  <si>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</si>
  <si>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</si>
  <si>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</si>
  <si>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</si>
  <si>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</si>
  <si>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</si>
  <si>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</si>
  <si>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</si>
  <si>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</si>
  <si>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</si>
  <si>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</si>
  <si>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</si>
  <si>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</si>
  <si>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</si>
  <si>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</si>
  <si>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</si>
  <si>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</si>
  <si>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</si>
  <si>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</si>
  <si>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</si>
  <si>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</si>
  <si>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</si>
  <si>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</si>
  <si>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</si>
  <si>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</si>
  <si>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</si>
  <si>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</si>
  <si>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</si>
  <si>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</si>
  <si>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</si>
  <si>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</si>
  <si>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</si>
  <si>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</si>
  <si>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</si>
  <si>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</si>
  <si>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</si>
  <si>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</si>
  <si>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</si>
  <si>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</si>
  <si>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</si>
  <si>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</si>
  <si>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</si>
  <si>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</si>
  <si>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</si>
  <si>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</si>
  <si>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</si>
  <si>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</si>
  <si>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</si>
  <si>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</si>
  <si>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</si>
  <si>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</si>
  <si>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</si>
  <si>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</si>
  <si>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</si>
  <si>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</si>
  <si>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</si>
  <si>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</si>
  <si>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</si>
  <si>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</si>
  <si>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</si>
  <si>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</si>
  <si>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</si>
  <si>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</si>
  <si>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</si>
  <si>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</si>
  <si>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</si>
  <si>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</si>
  <si>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</si>
  <si>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</si>
  <si>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</si>
  <si>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</si>
  <si>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</si>
  <si>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</si>
  <si>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</si>
  <si>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</si>
  <si>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</si>
  <si>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</si>
  <si>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</si>
  <si>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</si>
  <si>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</si>
  <si>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</si>
  <si>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</si>
  <si>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</si>
  <si>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</si>
  <si>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</si>
  <si>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</si>
  <si>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</si>
  <si>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</si>
  <si>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</si>
  <si>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</si>
  <si>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</si>
  <si>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</si>
  <si>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</si>
  <si>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</si>
  <si>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</si>
  <si>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</si>
  <si>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</si>
  <si>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</si>
  <si>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</si>
  <si>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</si>
  <si>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</si>
  <si>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</si>
  <si>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</si>
  <si>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</si>
  <si>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</si>
  <si>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</si>
  <si>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</si>
  <si>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</si>
  <si>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</si>
  <si>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</si>
  <si>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</si>
  <si>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</si>
  <si>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</si>
  <si>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</si>
  <si>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</si>
  <si>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</si>
  <si>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</si>
  <si>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</si>
  <si>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</si>
  <si>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</si>
  <si>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</si>
  <si>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</si>
  <si>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</si>
  <si>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</si>
  <si>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</si>
  <si>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</si>
  <si>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</si>
  <si>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</si>
  <si>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</si>
  <si>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</si>
  <si>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</si>
  <si>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</si>
  <si>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</si>
  <si>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</si>
  <si>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</si>
  <si>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</si>
  <si>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</si>
  <si>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</si>
  <si>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</si>
  <si>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</si>
  <si>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</si>
  <si>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</si>
  <si>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</si>
  <si>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</si>
  <si>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</si>
  <si>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</si>
  <si>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</si>
  <si>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</si>
  <si>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</si>
  <si>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</si>
  <si>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</si>
  <si>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</si>
  <si>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</si>
  <si>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</si>
  <si>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</si>
  <si>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</si>
  <si>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</si>
  <si>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</si>
  <si>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</si>
  <si>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</si>
  <si>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</si>
  <si>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</si>
  <si>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</si>
  <si>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</si>
  <si>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</si>
  <si>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</si>
  <si>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</si>
  <si>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</si>
  <si>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</si>
  <si>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</si>
  <si>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</si>
  <si>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</si>
  <si>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</si>
  <si>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</si>
  <si>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</si>
  <si>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</si>
  <si>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</si>
  <si>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</si>
  <si>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</si>
  <si>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</si>
  <si>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</si>
  <si>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</si>
  <si>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</si>
  <si>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</si>
  <si>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</si>
  <si>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</si>
  <si>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</si>
  <si>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</si>
  <si>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</si>
  <si>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</si>
  <si>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</si>
  <si>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</si>
  <si>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</si>
  <si>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</si>
  <si>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</si>
  <si>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</si>
  <si>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</si>
  <si>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</si>
  <si>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</si>
  <si>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</si>
  <si>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</si>
  <si>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</si>
  <si>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</si>
  <si>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</si>
  <si>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</si>
  <si>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</si>
  <si>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</si>
  <si>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</si>
  <si>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</si>
  <si>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</si>
  <si>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</si>
  <si>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</si>
  <si>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</si>
  <si>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</si>
  <si>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</si>
  <si>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</si>
  <si>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</si>
  <si>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</si>
  <si>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</si>
  <si>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</si>
  <si>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</si>
  <si>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</si>
  <si>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</si>
  <si>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</si>
  <si>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</si>
  <si>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</si>
  <si>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</si>
  <si>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</si>
  <si>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</si>
  <si>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</si>
  <si>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</si>
  <si>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</si>
  <si>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</si>
  <si>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</si>
  <si>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</si>
  <si>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</si>
  <si>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</si>
  <si>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</si>
  <si>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</si>
  <si>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</si>
  <si>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</si>
  <si>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</si>
  <si>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</si>
  <si>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</si>
  <si>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</si>
  <si>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</si>
  <si>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</si>
  <si>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</si>
  <si>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</si>
  <si>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</si>
  <si>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</si>
  <si>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</si>
  <si>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</si>
  <si>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</si>
  <si>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</si>
  <si>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</si>
  <si>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</si>
  <si>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</si>
  <si>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</si>
  <si>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</si>
  <si>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</si>
  <si>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</si>
  <si>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</si>
  <si>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</si>
  <si>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</si>
  <si>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</si>
  <si>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</si>
  <si>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</si>
  <si>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</si>
  <si>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</si>
  <si>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</si>
  <si>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</si>
  <si>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</si>
  <si>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</si>
  <si>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</si>
  <si>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</si>
  <si>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</si>
  <si>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</si>
  <si>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</si>
  <si>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</si>
  <si>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</si>
  <si>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</si>
  <si>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</si>
  <si>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</si>
  <si>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</si>
  <si>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</si>
  <si>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</si>
  <si>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</si>
  <si>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</si>
  <si>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</si>
  <si>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</si>
  <si>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</si>
  <si>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</si>
  <si>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</si>
  <si>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</si>
  <si>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</si>
  <si>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</si>
  <si>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</si>
  <si>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</si>
  <si>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</si>
  <si>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</si>
  <si>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</si>
  <si>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</si>
  <si>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</si>
  <si>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</si>
  <si>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</si>
  <si>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</si>
  <si>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</si>
  <si>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</si>
  <si>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</si>
  <si>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</si>
  <si>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</si>
  <si>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</si>
  <si>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</si>
  <si>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</si>
  <si>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</si>
  <si>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</si>
  <si>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</si>
  <si>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</si>
  <si>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</si>
  <si>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</si>
  <si>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</si>
  <si>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</si>
  <si>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</si>
  <si>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</si>
  <si>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</si>
  <si>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</si>
  <si>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</si>
  <si>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</si>
  <si>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</si>
  <si>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</si>
  <si>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</si>
  <si>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</si>
  <si>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</si>
  <si>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</si>
  <si>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</si>
  <si>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</si>
  <si>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</si>
  <si>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</si>
  <si>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</si>
  <si>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</si>
  <si>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</si>
  <si>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</si>
  <si>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</si>
  <si>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</si>
  <si>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</si>
  <si>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</si>
  <si>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</si>
  <si>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</si>
  <si>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</si>
  <si>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</si>
  <si>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</si>
  <si>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</si>
  <si>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</si>
  <si>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</si>
  <si>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</si>
  <si>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</si>
  <si>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</si>
  <si>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</si>
  <si>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</si>
  <si>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</si>
  <si>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</si>
  <si>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</si>
  <si>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</si>
  <si>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</si>
  <si>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</si>
  <si>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</si>
  <si>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</si>
  <si>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</si>
  <si>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</si>
  <si>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</si>
  <si>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</si>
  <si>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</si>
  <si>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</si>
  <si>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</si>
  <si>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</si>
  <si>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</si>
  <si>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</si>
  <si>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</si>
  <si>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</si>
  <si>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</si>
  <si>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</si>
  <si>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</si>
  <si>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</si>
  <si>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</si>
  <si>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</si>
  <si>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</si>
  <si>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</si>
  <si>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</si>
  <si>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</si>
  <si>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</si>
  <si>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</si>
  <si>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</si>
  <si>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</si>
  <si>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</si>
  <si>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</si>
  <si>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</si>
  <si>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</si>
  <si>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</si>
  <si>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</si>
  <si>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</si>
  <si>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</si>
  <si>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</si>
  <si>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</si>
  <si>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</si>
  <si>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</si>
  <si>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</si>
  <si>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</si>
  <si>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</si>
  <si>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</si>
  <si>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</si>
  <si>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</si>
  <si>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</si>
  <si>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</si>
  <si>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</si>
  <si>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</si>
  <si>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</si>
  <si>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</si>
  <si>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</si>
  <si>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</si>
  <si>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</si>
  <si>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</si>
  <si>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</si>
  <si>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</si>
  <si>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</si>
  <si>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</si>
  <si>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</si>
  <si>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</si>
  <si>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</si>
  <si>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</si>
  <si>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</si>
  <si>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</si>
  <si>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</si>
  <si>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</si>
  <si>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</si>
  <si>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</si>
  <si>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</si>
  <si>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</si>
  <si>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</si>
  <si>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</si>
  <si>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</si>
  <si>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</si>
  <si>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</si>
  <si>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</si>
  <si>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</si>
  <si>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</si>
  <si>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</si>
  <si>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</si>
  <si>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</si>
  <si>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</si>
  <si>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</si>
  <si>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</si>
  <si>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</si>
  <si>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</si>
  <si>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</si>
  <si>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</si>
  <si>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</si>
  <si>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</si>
  <si>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</si>
  <si>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</si>
  <si>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</si>
  <si>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</si>
  <si>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</si>
  <si>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</si>
  <si>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</si>
  <si>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</si>
  <si>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</si>
  <si>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</si>
  <si>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</si>
  <si>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</si>
  <si>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</si>
  <si>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</si>
  <si>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</si>
  <si>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</si>
  <si>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</si>
  <si>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</si>
  <si>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</si>
  <si>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</si>
  <si>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</si>
  <si>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</si>
  <si>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</si>
  <si>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</si>
  <si>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</si>
  <si>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</si>
  <si>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</si>
  <si>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</si>
  <si>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</si>
  <si>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</si>
  <si>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</si>
  <si>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</si>
  <si>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</si>
  <si>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</si>
  <si>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</si>
  <si>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</si>
  <si>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</si>
  <si>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</si>
  <si>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</si>
  <si>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</si>
  <si>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</si>
  <si>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</si>
  <si>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</si>
  <si>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</si>
  <si>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</si>
  <si>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</si>
  <si>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</si>
  <si>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</si>
  <si>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</si>
  <si>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</si>
  <si>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</si>
  <si>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</si>
  <si>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</si>
  <si>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</si>
  <si>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</si>
  <si>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</si>
  <si>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</si>
  <si>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</si>
  <si>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</si>
  <si>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</si>
  <si>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</si>
  <si>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</si>
  <si>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</si>
  <si>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</si>
  <si>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</si>
  <si>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</si>
  <si>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</si>
  <si>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</si>
  <si>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</si>
  <si>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</si>
  <si>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</si>
  <si>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</si>
  <si>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</si>
  <si>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</si>
  <si>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</si>
  <si>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</si>
  <si>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</si>
  <si>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</si>
  <si>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</si>
  <si>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</si>
  <si>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</si>
  <si>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</si>
  <si>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</si>
  <si>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</si>
  <si>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</si>
  <si>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</si>
  <si>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</si>
  <si>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</si>
  <si>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</si>
  <si>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</si>
  <si>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</si>
  <si>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</si>
  <si>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</si>
  <si>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</si>
  <si>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</si>
  <si>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</si>
  <si>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</si>
  <si>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</si>
  <si>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</si>
  <si>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</si>
  <si>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</si>
  <si>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</si>
  <si>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</si>
  <si>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</si>
  <si>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</si>
  <si>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</si>
  <si>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</si>
  <si>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</si>
  <si>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</si>
  <si>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</si>
  <si>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</si>
  <si>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</si>
  <si>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</si>
  <si>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</si>
  <si>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</si>
  <si>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</si>
  <si>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</si>
  <si>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</si>
  <si>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</si>
  <si>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</si>
  <si>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</si>
  <si>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</si>
  <si>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</si>
  <si>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</si>
  <si>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</si>
  <si>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</si>
  <si>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</si>
  <si>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</si>
  <si>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</si>
  <si>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</si>
  <si>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</si>
  <si>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</si>
  <si>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</si>
  <si>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</si>
  <si>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</si>
  <si>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</si>
  <si>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</si>
  <si>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</si>
  <si>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</si>
  <si>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</si>
  <si>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</si>
  <si>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</si>
  <si>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</si>
  <si>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</si>
  <si>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</si>
  <si>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</si>
  <si>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</si>
  <si>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</si>
  <si>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</si>
  <si>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</si>
  <si>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</si>
  <si>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</si>
  <si>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</si>
  <si>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</si>
  <si>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</si>
  <si>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</si>
  <si>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</si>
  <si>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</si>
  <si>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</si>
  <si>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</si>
  <si>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</si>
  <si>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</si>
  <si>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</si>
  <si>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</si>
  <si>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</si>
  <si>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</si>
  <si>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</si>
  <si>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</si>
  <si>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</si>
  <si>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</si>
  <si>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</si>
  <si>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</si>
  <si>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</si>
  <si>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</si>
  <si>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</si>
  <si>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</si>
  <si>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</si>
  <si>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</si>
  <si>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</si>
  <si>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</si>
  <si>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</si>
  <si>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</si>
  <si>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</si>
  <si>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</si>
  <si>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</si>
  <si>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</si>
  <si>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</si>
  <si>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</si>
  <si>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</si>
  <si>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</si>
  <si>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</si>
  <si>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</si>
  <si>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</si>
  <si>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</si>
  <si>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</si>
  <si>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</si>
  <si>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</si>
  <si>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</si>
  <si>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</si>
  <si>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</si>
  <si>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</si>
  <si>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</si>
  <si>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</si>
  <si>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</si>
  <si>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</si>
  <si>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</si>
  <si>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</si>
  <si>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</si>
  <si>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</si>
  <si>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</si>
  <si>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</si>
  <si>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</si>
  <si>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</si>
  <si>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</si>
  <si>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</si>
  <si>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</si>
  <si>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</si>
  <si>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</si>
  <si>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</si>
  <si>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</si>
  <si>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</si>
  <si>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</si>
  <si>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</si>
  <si>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</si>
  <si>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</si>
  <si>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</si>
  <si>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</si>
  <si>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</si>
  <si>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</si>
  <si>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</si>
  <si>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</si>
  <si>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</si>
  <si>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</si>
  <si>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</si>
  <si>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</si>
  <si>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</si>
  <si>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</si>
  <si>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</si>
  <si>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</si>
  <si>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</si>
  <si>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</si>
  <si>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</si>
  <si>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</si>
  <si>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</si>
  <si>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</si>
  <si>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</si>
  <si>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</si>
  <si>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</si>
  <si>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</si>
  <si>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</si>
  <si>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</si>
  <si>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</si>
  <si>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</si>
  <si>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</si>
  <si>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</si>
  <si>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</si>
  <si>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</si>
  <si>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</si>
  <si>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</si>
  <si>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</si>
  <si>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</si>
  <si>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</si>
  <si>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</si>
  <si>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</si>
  <si>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</si>
  <si>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</si>
  <si>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</si>
  <si>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</si>
  <si>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</si>
  <si>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</si>
  <si>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</si>
  <si>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</si>
  <si>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</si>
  <si>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</si>
  <si>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</si>
  <si>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</si>
  <si>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</si>
  <si>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</si>
  <si>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</si>
  <si>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</si>
  <si>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</si>
  <si>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</si>
  <si>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</si>
  <si>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</si>
  <si>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</si>
  <si>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</si>
  <si>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</si>
  <si>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</si>
  <si>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</si>
  <si>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</si>
  <si>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</si>
  <si>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</si>
  <si>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</si>
  <si>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</si>
  <si>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</si>
  <si>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</si>
  <si>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</si>
  <si>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</si>
  <si>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</si>
  <si>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</si>
  <si>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</si>
  <si>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</si>
  <si>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</si>
  <si>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</si>
  <si>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</si>
  <si>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</si>
  <si>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</si>
  <si>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</si>
  <si>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</si>
  <si>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</si>
  <si>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</si>
  <si>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</si>
  <si>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</si>
  <si>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</si>
  <si>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</si>
  <si>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</si>
  <si>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</si>
  <si>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</si>
  <si>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</si>
  <si>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</si>
  <si>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</si>
  <si>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</si>
  <si>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</si>
  <si>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</si>
  <si>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</si>
  <si>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</si>
  <si>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</si>
  <si>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</si>
  <si>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</si>
  <si>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</si>
  <si>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</si>
  <si>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</si>
  <si>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</si>
  <si>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</si>
  <si>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</si>
  <si>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</si>
  <si>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</si>
  <si>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</si>
  <si>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</si>
  <si>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</si>
  <si>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</si>
  <si>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</si>
  <si>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</si>
  <si>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</si>
  <si>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</si>
  <si>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</si>
  <si>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</si>
  <si>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</si>
  <si>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</si>
  <si>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</si>
  <si>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</si>
  <si>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</si>
  <si>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</si>
  <si>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</si>
  <si>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</si>
  <si>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</si>
  <si>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</si>
  <si>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</si>
  <si>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</si>
  <si>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</si>
  <si>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</si>
  <si>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</si>
  <si>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</si>
  <si>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</si>
  <si>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</si>
  <si>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</si>
  <si>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</si>
  <si>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</si>
  <si>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</si>
  <si>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</si>
  <si>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</si>
  <si>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</si>
  <si>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</si>
  <si>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</si>
  <si>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</si>
  <si>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</si>
  <si>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</si>
  <si>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</si>
  <si>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</si>
  <si>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</si>
  <si>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</si>
  <si>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</si>
  <si>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</si>
  <si>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</si>
  <si>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</si>
  <si>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</si>
  <si>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</si>
  <si>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</si>
  <si>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</si>
  <si>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</si>
  <si>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</si>
  <si>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</si>
  <si>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</si>
  <si>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</si>
  <si>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</si>
  <si>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</si>
  <si>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</si>
  <si>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</si>
  <si>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</si>
  <si>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</si>
  <si>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</si>
  <si>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</si>
  <si>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</si>
  <si>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</si>
  <si>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</si>
  <si>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</si>
  <si>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</si>
  <si>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</si>
  <si>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</si>
  <si>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</si>
  <si>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</si>
  <si>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</si>
  <si>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</si>
  <si>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</si>
  <si>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</si>
  <si>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</si>
  <si>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</si>
  <si>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</si>
  <si>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</si>
  <si>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</si>
  <si>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</si>
  <si>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</si>
  <si>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</si>
  <si>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</si>
  <si>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</si>
  <si>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</si>
  <si>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</si>
  <si>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</si>
  <si>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</si>
  <si>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</si>
  <si>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</si>
  <si>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</si>
  <si>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</si>
  <si>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</si>
  <si>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</si>
  <si>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</si>
  <si>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</si>
  <si>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</si>
  <si>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</si>
  <si>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</si>
  <si>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</si>
  <si>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</si>
  <si>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</si>
  <si>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</si>
  <si>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</si>
  <si>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</si>
  <si>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</si>
  <si>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</si>
  <si>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</si>
  <si>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</si>
  <si>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</si>
  <si>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</si>
  <si>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</si>
  <si>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</si>
  <si>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</si>
  <si>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</si>
  <si>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</si>
  <si>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</si>
  <si>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</si>
  <si>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</si>
  <si>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</si>
  <si>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</si>
  <si>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</si>
  <si>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</si>
  <si>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</si>
  <si>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</si>
  <si>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</si>
  <si>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</si>
  <si>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</si>
  <si>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</si>
  <si>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</si>
  <si>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</si>
  <si>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</si>
  <si>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</si>
  <si>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</si>
  <si>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</si>
  <si>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</si>
  <si>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</si>
  <si>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</si>
  <si>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</si>
  <si>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</si>
  <si>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</si>
  <si>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</si>
  <si>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</si>
  <si>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</si>
  <si>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</si>
  <si>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</si>
  <si>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</si>
  <si>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</si>
  <si>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</si>
  <si>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</si>
  <si>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</si>
  <si>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</si>
  <si>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</si>
  <si>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</si>
  <si>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</si>
  <si>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</si>
  <si>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</si>
  <si>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</si>
  <si>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</si>
  <si>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</si>
  <si>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</si>
  <si>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</si>
  <si>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</si>
  <si>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</si>
  <si>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</si>
  <si>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</si>
  <si>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</si>
  <si>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</si>
  <si>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</si>
  <si>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</si>
  <si>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</si>
  <si>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</si>
  <si>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</si>
  <si>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</si>
  <si>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</si>
  <si>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</si>
  <si>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</si>
  <si>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</si>
  <si>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</si>
  <si>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</si>
  <si>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</si>
  <si>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</si>
  <si>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</si>
  <si>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</si>
  <si>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</si>
  <si>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</si>
  <si>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</si>
  <si>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</si>
  <si>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</si>
  <si>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</si>
  <si>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</si>
  <si>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</si>
  <si>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</si>
  <si>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</si>
  <si>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</si>
  <si>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</si>
  <si>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</si>
  <si>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</si>
  <si>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</si>
  <si>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</si>
  <si>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</si>
  <si>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</si>
  <si>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</si>
  <si>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</si>
  <si>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</si>
  <si>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</si>
  <si>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</si>
  <si>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</si>
  <si>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</si>
  <si>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</si>
  <si>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</si>
  <si>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</si>
  <si>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</si>
  <si>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</si>
  <si>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</si>
  <si>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</si>
  <si>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</si>
  <si>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</si>
  <si>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</si>
  <si>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</si>
  <si>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</si>
  <si>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</si>
  <si>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</si>
  <si>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</si>
  <si>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</si>
  <si>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</si>
  <si>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</si>
  <si>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</si>
  <si>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</si>
  <si>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</si>
  <si>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</si>
  <si>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</si>
  <si>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</si>
  <si>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</si>
  <si>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</si>
  <si>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</si>
  <si>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</si>
  <si>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</si>
  <si>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</si>
  <si>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</si>
  <si>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</si>
  <si>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</si>
  <si>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</si>
  <si>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</si>
  <si>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</si>
  <si>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</si>
  <si>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</si>
  <si>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</si>
  <si>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</si>
  <si>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</si>
  <si>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</si>
  <si>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</si>
  <si>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</si>
  <si>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</si>
  <si>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</si>
  <si>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</si>
  <si>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</si>
  <si>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</si>
  <si>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</si>
  <si>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</si>
  <si>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</si>
  <si>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</si>
  <si>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</si>
  <si>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</si>
  <si>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</si>
  <si>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</si>
  <si>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</si>
  <si>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</si>
  <si>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</si>
  <si>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</si>
  <si>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</si>
  <si>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</si>
  <si>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</si>
  <si>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</si>
  <si>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</si>
  <si>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</si>
  <si>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</si>
  <si>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</si>
  <si>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</si>
  <si>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</si>
  <si>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</si>
  <si>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</si>
  <si>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</si>
  <si>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</si>
  <si>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</si>
  <si>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</si>
  <si>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</si>
  <si>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</si>
  <si>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</si>
  <si>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</si>
  <si>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</si>
  <si>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</si>
  <si>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</si>
  <si>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</si>
  <si>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</si>
  <si>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</si>
  <si>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</si>
  <si>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</si>
  <si>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</si>
  <si>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</si>
  <si>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</si>
  <si>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</si>
  <si>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</si>
  <si>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</si>
  <si>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</si>
  <si>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</si>
  <si>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</si>
  <si>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</si>
  <si>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</si>
  <si>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</si>
  <si>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</si>
  <si>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</si>
  <si>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</si>
  <si>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</si>
  <si>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</si>
  <si>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</si>
  <si>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</si>
  <si>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</si>
  <si>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</si>
  <si>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</si>
  <si>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</si>
  <si>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</si>
  <si>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</si>
  <si>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</si>
  <si>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</si>
  <si>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</si>
  <si>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</si>
  <si>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</si>
  <si>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</si>
  <si>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</si>
  <si>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</si>
  <si>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</si>
  <si>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</si>
  <si>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</si>
  <si>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</si>
  <si>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</si>
  <si>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</si>
  <si>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</si>
  <si>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</si>
  <si>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</si>
  <si>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</si>
  <si>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</si>
  <si>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</si>
  <si>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</si>
  <si>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</si>
  <si>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</si>
  <si>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</si>
  <si>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</si>
  <si>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</si>
  <si>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</si>
  <si>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</si>
  <si>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</si>
  <si>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</si>
  <si>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</si>
  <si>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</si>
  <si>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</si>
  <si>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</si>
  <si>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</si>
  <si>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</si>
  <si>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</si>
  <si>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</si>
  <si>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</si>
  <si>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</si>
  <si>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</si>
  <si>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</si>
  <si>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</si>
  <si>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</si>
  <si>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</si>
  <si>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</si>
  <si>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</si>
  <si>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</si>
  <si>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</si>
  <si>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</si>
  <si>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</si>
  <si>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</si>
  <si>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</si>
  <si>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</si>
  <si>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</si>
  <si>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</si>
  <si>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</si>
  <si>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</si>
  <si>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</si>
  <si>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</si>
  <si>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</si>
  <si>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</si>
  <si>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</si>
  <si>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</si>
  <si>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</si>
  <si>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</si>
  <si>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</si>
  <si>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</si>
  <si>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</si>
  <si>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</si>
  <si>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</si>
  <si>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</si>
  <si>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</si>
  <si>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</si>
  <si>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</si>
  <si>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</si>
  <si>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</si>
  <si>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</si>
  <si>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</si>
  <si>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</si>
  <si>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</si>
  <si>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</si>
  <si>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</si>
  <si>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</si>
  <si>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</si>
  <si>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</si>
  <si>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</si>
  <si>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</si>
  <si>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</si>
  <si>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</si>
  <si>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</si>
  <si>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</si>
  <si>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</si>
  <si>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</si>
  <si>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</si>
  <si>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</si>
  <si>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</si>
  <si>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</si>
  <si>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</si>
  <si>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</si>
  <si>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</si>
  <si>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</si>
  <si>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</si>
  <si>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</si>
  <si>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</si>
  <si>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</si>
  <si>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</si>
  <si>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</si>
  <si>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</si>
  <si>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</si>
  <si>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</si>
  <si>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</si>
  <si>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</si>
  <si>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</si>
  <si>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</si>
  <si>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</si>
  <si>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</si>
  <si>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</si>
  <si>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</si>
  <si>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</si>
  <si>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</si>
  <si>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</si>
  <si>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</si>
  <si>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</si>
  <si>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</si>
  <si>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</si>
  <si>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</si>
  <si>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</si>
  <si>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</si>
  <si>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</si>
  <si>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</si>
  <si>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</si>
  <si>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</si>
  <si>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</si>
  <si>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</si>
  <si>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</si>
  <si>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</si>
  <si>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</si>
  <si>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</si>
  <si>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</si>
  <si>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</si>
  <si>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</si>
  <si>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</si>
  <si>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</si>
  <si>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</si>
  <si>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</si>
  <si>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</si>
  <si>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</si>
  <si>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</si>
  <si>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</si>
  <si>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</si>
  <si>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</si>
  <si>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</si>
  <si>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</si>
  <si>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</si>
  <si>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</si>
  <si>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</si>
  <si>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</si>
  <si>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</si>
  <si>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</si>
  <si>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</si>
  <si>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</si>
  <si>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</si>
  <si>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</si>
  <si>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</si>
  <si>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</si>
  <si>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</si>
  <si>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</si>
  <si>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</si>
  <si>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</si>
  <si>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</si>
  <si>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</si>
  <si>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</si>
  <si>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</si>
  <si>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</si>
  <si>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</si>
  <si>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</si>
  <si>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</si>
  <si>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</si>
  <si>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</si>
  <si>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</si>
  <si>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</si>
  <si>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</si>
  <si>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</si>
  <si>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</si>
  <si>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</si>
  <si>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</si>
  <si>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</si>
  <si>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</si>
  <si>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</si>
  <si>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</si>
  <si>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</si>
  <si>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</si>
  <si>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</si>
  <si>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</si>
  <si>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</si>
  <si>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</si>
  <si>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</si>
  <si>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</si>
  <si>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</si>
  <si>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</si>
  <si>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</si>
  <si>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</si>
  <si>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</si>
  <si>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</si>
  <si>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</si>
  <si>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</si>
  <si>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</si>
  <si>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</si>
  <si>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</si>
  <si>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</si>
  <si>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</si>
  <si>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</si>
  <si>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</si>
  <si>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</si>
  <si>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</si>
  <si>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</si>
  <si>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</si>
  <si>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</si>
  <si>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</si>
  <si>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</si>
  <si>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</si>
  <si>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</si>
  <si>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</si>
  <si>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</si>
  <si>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</si>
  <si>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</si>
  <si>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</si>
  <si>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</si>
  <si>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</si>
  <si>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</si>
  <si>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</si>
  <si>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</si>
  <si>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</si>
  <si>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</si>
  <si>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</si>
  <si>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</si>
  <si>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</si>
  <si>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</si>
  <si>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</si>
  <si>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</si>
  <si>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</si>
  <si>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</si>
  <si>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</si>
  <si>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</si>
  <si>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</si>
  <si>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</si>
  <si>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</si>
  <si>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</si>
  <si>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</si>
  <si>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</si>
  <si>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</si>
  <si>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</si>
  <si>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</si>
  <si>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</si>
  <si>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</si>
  <si>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</si>
  <si>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</si>
  <si>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</si>
  <si>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</si>
  <si>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</si>
  <si>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</si>
  <si>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</si>
  <si>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</si>
  <si>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</si>
  <si>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</si>
  <si>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</si>
  <si>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</si>
  <si>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</si>
  <si>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</si>
  <si>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</si>
  <si>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</si>
  <si>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</si>
  <si>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</si>
  <si>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</si>
  <si>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</si>
  <si>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</si>
  <si>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</si>
  <si>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</si>
  <si>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</si>
  <si>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</si>
  <si>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</si>
  <si>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</si>
  <si>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</si>
  <si>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</si>
  <si>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</si>
  <si>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</si>
  <si>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</si>
  <si>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</si>
  <si>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</si>
  <si>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</si>
  <si>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</si>
  <si>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</si>
  <si>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</si>
  <si>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</si>
  <si>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</si>
  <si>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</si>
  <si>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</si>
  <si>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</si>
  <si>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</si>
  <si>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</si>
  <si>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</si>
  <si>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</si>
  <si>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</si>
  <si>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</si>
  <si>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</si>
  <si>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</si>
  <si>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</si>
  <si>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</si>
  <si>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</si>
  <si>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</si>
  <si>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</si>
  <si>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</si>
  <si>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</si>
  <si>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</si>
  <si>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</si>
  <si>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</si>
  <si>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</si>
  <si>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</si>
  <si>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</si>
  <si>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</si>
  <si>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</si>
  <si>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</si>
  <si>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</si>
  <si>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</si>
  <si>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</si>
  <si>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</si>
  <si>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</si>
  <si>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</si>
  <si>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</si>
  <si>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</si>
  <si>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</si>
  <si>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</si>
  <si>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</si>
  <si>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</si>
  <si>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</si>
  <si>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</si>
  <si>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</si>
  <si>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</si>
  <si>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</si>
  <si>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</si>
  <si>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</si>
  <si>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</si>
  <si>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</si>
  <si>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</si>
  <si>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</si>
  <si>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</si>
  <si>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</si>
  <si>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</si>
  <si>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</si>
  <si>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</si>
  <si>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</si>
  <si>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</si>
  <si>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</si>
  <si>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</si>
  <si>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</si>
  <si>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</si>
  <si>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</si>
  <si>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</si>
  <si>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</si>
  <si>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</si>
  <si>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</si>
  <si>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</si>
  <si>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</si>
  <si>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</si>
  <si>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</si>
  <si>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</si>
  <si>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</si>
  <si>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</si>
  <si>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</si>
  <si>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</si>
  <si>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</si>
  <si>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</si>
  <si>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</si>
  <si>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</si>
  <si>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</si>
  <si>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</si>
  <si>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</si>
  <si>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</si>
  <si>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</si>
  <si>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</si>
  <si>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</si>
  <si>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</si>
  <si>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</si>
  <si>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</si>
  <si>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</si>
  <si>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</si>
  <si>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</si>
  <si>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</si>
  <si>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</si>
  <si>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</si>
  <si>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</si>
  <si>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</si>
  <si>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</si>
  <si>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</si>
  <si>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</si>
  <si>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</si>
  <si>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</si>
  <si>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</si>
  <si>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</si>
  <si>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</si>
  <si>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</si>
  <si>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</si>
  <si>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</si>
  <si>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</si>
  <si>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</si>
  <si>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</si>
  <si>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</si>
  <si>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</si>
  <si>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</si>
  <si>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</si>
  <si>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</si>
  <si>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</si>
  <si>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</si>
  <si>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</si>
  <si>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</si>
  <si>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</si>
  <si>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</si>
  <si>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</si>
  <si>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</si>
  <si>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</si>
  <si>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</si>
  <si>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</si>
  <si>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</si>
  <si>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</si>
  <si>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</si>
  <si>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</si>
  <si>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</si>
  <si>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</si>
  <si>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</si>
  <si>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</si>
  <si>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</si>
  <si>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</si>
  <si>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</si>
  <si>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</si>
  <si>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</si>
  <si>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</si>
  <si>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</si>
  <si>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</si>
  <si>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</si>
  <si>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</si>
  <si>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</si>
  <si>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</si>
  <si>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</si>
  <si>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</si>
  <si>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</si>
  <si>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</si>
  <si>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</si>
  <si>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</si>
  <si>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</si>
  <si>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</si>
  <si>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</si>
  <si>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</si>
  <si>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</si>
  <si>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</si>
  <si>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</si>
  <si>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</si>
  <si>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</si>
  <si>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</si>
  <si>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</si>
  <si>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</si>
  <si>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</si>
  <si>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</si>
  <si>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</si>
  <si>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</si>
  <si>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</si>
  <si>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</si>
  <si>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</si>
  <si>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</si>
  <si>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</si>
  <si>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</si>
  <si>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</si>
  <si>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</si>
  <si>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</si>
  <si>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</si>
  <si>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</si>
  <si>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</si>
  <si>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</si>
  <si>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</si>
  <si>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</si>
  <si>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</si>
  <si>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</si>
  <si>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</si>
  <si>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</si>
  <si>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</si>
  <si>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</si>
  <si>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</si>
  <si>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</si>
  <si>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</si>
  <si>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</si>
  <si>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</si>
  <si>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</si>
  <si>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</si>
  <si>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</si>
  <si>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</si>
  <si>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</si>
  <si>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</si>
  <si>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</si>
  <si>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</si>
  <si>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</si>
  <si>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</si>
  <si>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</si>
  <si>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</si>
  <si>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</si>
  <si>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</si>
  <si>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</si>
  <si>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</si>
  <si>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</si>
  <si>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</si>
  <si>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</si>
  <si>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</si>
  <si>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</si>
  <si>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</si>
  <si>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</si>
  <si>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</si>
  <si>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</si>
  <si>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</si>
  <si>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</si>
  <si>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</si>
  <si>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</si>
  <si>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</si>
  <si>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</si>
  <si>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</si>
  <si>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</si>
  <si>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</si>
  <si>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</si>
  <si>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</si>
  <si>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</si>
  <si>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</si>
  <si>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</si>
  <si>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</si>
  <si>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</si>
  <si>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</si>
  <si>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</si>
  <si>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</si>
  <si>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</si>
  <si>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</si>
  <si>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</si>
  <si>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</si>
  <si>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</si>
  <si>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</si>
  <si>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</si>
  <si>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</si>
  <si>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</si>
  <si>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</si>
  <si>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</si>
  <si>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</si>
  <si>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</si>
  <si>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</si>
  <si>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</si>
  <si>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</si>
  <si>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</si>
  <si>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</si>
  <si>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</si>
  <si>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</si>
  <si>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</si>
  <si>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</si>
  <si>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</si>
  <si>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</si>
  <si>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</si>
  <si>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</si>
  <si>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</si>
  <si>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</si>
  <si>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</si>
  <si>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</si>
  <si>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</si>
  <si>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</si>
  <si>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</si>
  <si>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</si>
  <si>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</si>
  <si>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</si>
  <si>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</si>
  <si>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</si>
  <si>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</si>
  <si>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</si>
  <si>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</si>
  <si>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</si>
  <si>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</si>
  <si>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</si>
  <si>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</si>
  <si>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</si>
  <si>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</si>
  <si>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</si>
  <si>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</si>
  <si>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</si>
  <si>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</si>
  <si>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</si>
  <si>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</si>
  <si>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</si>
  <si>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</si>
  <si>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</si>
  <si>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</si>
  <si>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</si>
  <si>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</si>
  <si>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</si>
  <si>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</si>
  <si>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</si>
  <si>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</si>
  <si>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</si>
  <si>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</si>
  <si>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</si>
  <si>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</si>
  <si>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</si>
  <si>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</si>
  <si>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</si>
  <si>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</si>
  <si>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</si>
  <si>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</si>
  <si>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</si>
  <si>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</si>
  <si>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</si>
  <si>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</si>
  <si>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</si>
  <si>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</si>
  <si>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</si>
  <si>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</si>
  <si>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</si>
  <si>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</si>
  <si>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</si>
  <si>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</si>
  <si>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</si>
  <si>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</si>
  <si>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</si>
  <si>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</si>
  <si>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</si>
  <si>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</si>
  <si>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</si>
  <si>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</si>
  <si>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</si>
  <si>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</si>
  <si>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</si>
  <si>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</si>
  <si>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</si>
  <si>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</si>
  <si>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</si>
  <si>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</si>
  <si>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</si>
  <si>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</si>
  <si>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</si>
  <si>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</si>
  <si>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</si>
  <si>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</si>
  <si>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</si>
  <si>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</si>
  <si>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</si>
  <si>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</si>
  <si>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</si>
  <si>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</si>
  <si>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</si>
  <si>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</si>
  <si>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</si>
  <si>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</si>
  <si>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</si>
  <si>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</si>
  <si>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</si>
  <si>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</si>
  <si>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</si>
  <si>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</si>
  <si>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</si>
  <si>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</si>
  <si>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</si>
  <si>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</si>
  <si>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</si>
  <si>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</si>
  <si>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</si>
  <si>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</si>
  <si>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</si>
  <si>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</si>
  <si>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</si>
  <si>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</si>
  <si>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</si>
  <si>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</si>
  <si>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</si>
  <si>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</si>
  <si>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</si>
  <si>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</si>
  <si>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</si>
  <si>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</si>
  <si>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</si>
  <si>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</si>
  <si>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</si>
  <si>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</si>
  <si>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</si>
  <si>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</si>
  <si>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</si>
  <si>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</si>
  <si>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</si>
  <si>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</si>
  <si>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</si>
  <si>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</si>
  <si>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</si>
  <si>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</si>
  <si>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</si>
  <si>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</si>
  <si>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</si>
  <si>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</si>
  <si>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</si>
  <si>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</si>
  <si>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</si>
  <si>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</si>
  <si>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</si>
  <si>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</si>
  <si>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</si>
  <si>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</si>
  <si>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</si>
  <si>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</si>
  <si>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</si>
  <si>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</si>
  <si>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</si>
  <si>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</si>
  <si>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</si>
  <si>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</si>
  <si>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</si>
  <si>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</si>
  <si>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</si>
  <si>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</si>
  <si>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</si>
  <si>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</si>
  <si>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</si>
  <si>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</si>
  <si>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</si>
  <si>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</si>
  <si>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</si>
  <si>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</si>
  <si>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</si>
  <si>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</si>
  <si>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</si>
  <si>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</si>
  <si>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</si>
  <si>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</si>
  <si>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</si>
  <si>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</si>
  <si>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</si>
  <si>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</si>
  <si>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</si>
  <si>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</si>
  <si>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</si>
  <si>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</si>
  <si>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</si>
  <si>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</si>
  <si>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</si>
  <si>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</si>
  <si>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</si>
  <si>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</si>
  <si>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</si>
  <si>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</si>
  <si>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</si>
  <si>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</si>
  <si>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</si>
  <si>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</si>
  <si>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</si>
  <si>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</si>
  <si>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</si>
  <si>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</si>
  <si>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</si>
  <si>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</si>
  <si>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</si>
  <si>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</si>
  <si>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</si>
  <si>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</si>
  <si>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</si>
  <si>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</si>
  <si>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</si>
  <si>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</si>
  <si>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</si>
  <si>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</si>
  <si>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</si>
  <si>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</si>
  <si>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</si>
  <si>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</si>
  <si>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</si>
  <si>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</si>
  <si>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</si>
  <si>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</si>
  <si>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</si>
  <si>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</si>
  <si>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</si>
  <si>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</si>
  <si>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</si>
  <si>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</si>
  <si>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</si>
  <si>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</si>
  <si>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</si>
  <si>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</si>
  <si>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</si>
  <si>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</si>
  <si>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</si>
  <si>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</si>
  <si>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</si>
  <si>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</si>
  <si>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</si>
  <si>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</si>
  <si>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</si>
  <si>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</si>
  <si>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</si>
  <si>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</si>
  <si>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</si>
  <si>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</si>
  <si>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</si>
  <si>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</si>
  <si>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</si>
  <si>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</si>
  <si>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</si>
  <si>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</si>
  <si>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</si>
  <si>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</si>
  <si>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</si>
  <si>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</si>
  <si>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</si>
  <si>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</si>
  <si>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</si>
  <si>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</si>
  <si>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</si>
  <si>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</si>
  <si>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</si>
  <si>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</si>
  <si>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</si>
  <si>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</si>
  <si>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</si>
  <si>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</si>
  <si>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</si>
  <si>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</si>
  <si>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</si>
  <si>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</si>
  <si>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</si>
  <si>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</si>
  <si>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</si>
  <si>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</si>
  <si>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</si>
  <si>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</si>
  <si>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</si>
  <si>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</si>
  <si>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</si>
  <si>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</si>
  <si>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</si>
  <si>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</si>
  <si>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</si>
  <si>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</si>
  <si>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</si>
  <si>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</si>
  <si>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</si>
  <si>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</si>
  <si>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</si>
  <si>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</si>
  <si>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</si>
  <si>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</si>
  <si>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</si>
  <si>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</si>
  <si>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</si>
  <si>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</si>
  <si>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</si>
  <si>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</si>
  <si>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</si>
  <si>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</si>
  <si>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</si>
  <si>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</si>
  <si>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</si>
  <si>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</si>
  <si>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</si>
  <si>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</si>
  <si>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</si>
  <si>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</si>
  <si>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</si>
  <si>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</si>
  <si>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</si>
  <si>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</si>
  <si>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</si>
  <si>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</si>
  <si>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</si>
  <si>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</si>
  <si>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</si>
  <si>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</si>
  <si>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</si>
  <si>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</si>
  <si>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</si>
  <si>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</si>
  <si>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</si>
  <si>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</si>
  <si>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</si>
  <si>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</si>
  <si>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</si>
  <si>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</si>
  <si>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</si>
  <si>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</si>
  <si>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</si>
  <si>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</si>
  <si>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</si>
  <si>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</si>
  <si>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</si>
  <si>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</si>
  <si>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</si>
  <si>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</si>
  <si>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</si>
  <si>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</si>
  <si>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</si>
  <si>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</si>
  <si>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</si>
  <si>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</si>
  <si>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</si>
  <si>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</si>
  <si>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</si>
  <si>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</si>
  <si>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</si>
  <si>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</si>
  <si>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</si>
  <si>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</si>
  <si>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</si>
  <si>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</si>
  <si>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</si>
  <si>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</si>
  <si>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</si>
  <si>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</si>
  <si>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</si>
  <si>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</si>
  <si>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</si>
  <si>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</si>
  <si>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</si>
  <si>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</si>
  <si>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</si>
  <si>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</si>
  <si>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</si>
  <si>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</si>
  <si>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</si>
  <si>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</si>
  <si>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</si>
  <si>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</si>
  <si>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</si>
  <si>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</si>
  <si>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</si>
  <si>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</si>
  <si>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</si>
  <si>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</si>
  <si>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</si>
  <si>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</si>
  <si>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</si>
  <si>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</si>
  <si>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</si>
  <si>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</si>
  <si>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</si>
  <si>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</si>
  <si>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</si>
  <si>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</si>
  <si>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</si>
  <si>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</si>
  <si>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</si>
  <si>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</si>
  <si>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</si>
  <si>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</si>
  <si>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</si>
  <si>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</si>
  <si>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</si>
  <si>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</si>
  <si>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</si>
  <si>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</si>
  <si>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</si>
  <si>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</si>
  <si>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</si>
  <si>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</si>
  <si>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</si>
  <si>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</si>
  <si>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</si>
  <si>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</si>
  <si>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</si>
  <si>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</si>
  <si>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</si>
  <si>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</si>
  <si>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</si>
  <si>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</si>
  <si>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</si>
  <si>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</si>
  <si>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</si>
  <si>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</si>
  <si>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</si>
  <si>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</si>
  <si>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</si>
  <si>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</si>
  <si>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</si>
  <si>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</si>
  <si>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</si>
  <si>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</si>
  <si>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</si>
  <si>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</si>
  <si>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</si>
  <si>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</si>
  <si>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</si>
  <si>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</si>
  <si>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</si>
  <si>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</si>
  <si>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</si>
  <si>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</si>
  <si>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</si>
  <si>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</si>
  <si>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</si>
  <si>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</si>
  <si>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</si>
  <si>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</si>
  <si>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</si>
  <si>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</si>
  <si>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</si>
  <si>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</si>
  <si>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</si>
  <si>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</si>
  <si>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</si>
  <si>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</si>
  <si>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</si>
  <si>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</si>
  <si>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</si>
  <si>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</si>
  <si>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</si>
  <si>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</si>
  <si>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</si>
  <si>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</si>
  <si>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</si>
  <si>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</si>
  <si>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</si>
  <si>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</si>
  <si>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</si>
  <si>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</si>
  <si>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</si>
  <si>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</si>
  <si>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</si>
  <si>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</si>
  <si>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</si>
  <si>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</si>
  <si>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</si>
  <si>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</si>
  <si>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</si>
  <si>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</si>
  <si>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</si>
  <si>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</si>
  <si>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</si>
  <si>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</si>
  <si>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</si>
  <si>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</si>
  <si>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</si>
  <si>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</si>
  <si>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</si>
  <si>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</si>
  <si>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</si>
  <si>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</si>
  <si>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</si>
  <si>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</si>
  <si>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</si>
  <si>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</si>
  <si>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</si>
  <si>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</si>
  <si>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</si>
  <si>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</si>
  <si>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</si>
  <si>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</si>
  <si>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</si>
  <si>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</si>
  <si>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</si>
  <si>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</si>
  <si>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</si>
  <si>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</si>
  <si>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</si>
  <si>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</si>
  <si>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</si>
  <si>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</si>
  <si>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</si>
  <si>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</si>
  <si>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</si>
  <si>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</si>
  <si>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</si>
  <si>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</si>
  <si>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</si>
  <si>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</si>
  <si>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</si>
  <si>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</si>
  <si>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</si>
  <si>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</si>
  <si>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</si>
  <si>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</si>
  <si>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</si>
  <si>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</si>
  <si>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</si>
  <si>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</si>
  <si>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</si>
  <si>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</si>
  <si>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</si>
  <si>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</si>
  <si>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</si>
  <si>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</si>
  <si>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</si>
  <si>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</si>
  <si>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</si>
  <si>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</si>
  <si>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</si>
  <si>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</si>
  <si>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</si>
  <si>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</si>
  <si>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</si>
  <si>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</si>
  <si>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</si>
  <si>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</si>
  <si>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</si>
  <si>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</si>
  <si>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</si>
  <si>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</si>
  <si>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</si>
  <si>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</si>
  <si>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</si>
  <si>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</si>
  <si>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</si>
  <si>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</si>
  <si>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</si>
  <si>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</si>
  <si>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</si>
  <si>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</si>
  <si>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</si>
  <si>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</si>
  <si>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</si>
  <si>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</si>
  <si>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</si>
  <si>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</si>
  <si>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</si>
  <si>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</si>
  <si>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</si>
  <si>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</si>
  <si>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</si>
  <si>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</si>
  <si>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</si>
  <si>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</si>
  <si>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</si>
  <si>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</si>
  <si>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</si>
  <si>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</si>
  <si>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</si>
  <si>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</si>
  <si>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</si>
  <si>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</si>
  <si>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</si>
  <si>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</si>
  <si>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</si>
  <si>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</si>
  <si>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</si>
  <si>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</si>
  <si>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</si>
  <si>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</si>
  <si>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</si>
  <si>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</si>
  <si>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</si>
  <si>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</si>
  <si>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</si>
  <si>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</si>
  <si>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</si>
  <si>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</si>
  <si>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</si>
  <si>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</si>
  <si>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</si>
  <si>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</si>
  <si>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</si>
  <si>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</si>
  <si>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</si>
  <si>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</si>
  <si>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</si>
  <si>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</si>
  <si>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</si>
  <si>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</si>
  <si>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</si>
  <si>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</si>
  <si>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</si>
  <si>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</si>
  <si>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</si>
  <si>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</si>
  <si>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</si>
  <si>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</si>
  <si>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</si>
  <si>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</si>
  <si>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</si>
  <si>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</si>
  <si>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</si>
  <si>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</si>
  <si>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</si>
  <si>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</si>
  <si>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</si>
  <si>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</si>
  <si>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</si>
  <si>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</si>
  <si>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</si>
  <si>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</si>
  <si>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</si>
  <si>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</si>
  <si>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</si>
  <si>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</si>
  <si>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</si>
  <si>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</si>
  <si>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</si>
  <si>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</si>
  <si>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</si>
  <si>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</si>
  <si>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</si>
  <si>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</si>
  <si>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</si>
  <si>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</si>
  <si>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</si>
  <si>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</si>
  <si>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</si>
  <si>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</si>
  <si>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</si>
  <si>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</si>
  <si>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</si>
  <si>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</si>
  <si>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</si>
  <si>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</si>
  <si>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</si>
  <si>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</si>
  <si>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</si>
  <si>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</si>
  <si>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</si>
  <si>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</si>
  <si>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</si>
  <si>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</si>
  <si>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</si>
  <si>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</si>
  <si>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</si>
  <si>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</si>
  <si>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</si>
  <si>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</si>
  <si>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</si>
  <si>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</si>
  <si>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</si>
  <si>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</si>
  <si>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</si>
  <si>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</si>
  <si>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</si>
  <si>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</si>
  <si>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</si>
  <si>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</si>
  <si>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</si>
  <si>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</si>
  <si>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</si>
  <si>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</si>
  <si>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</si>
  <si>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</si>
  <si>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</si>
  <si>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</si>
  <si>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</si>
  <si>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</si>
  <si>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</si>
  <si>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</si>
  <si>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</si>
  <si>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</si>
  <si>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</si>
  <si>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</si>
  <si>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</si>
  <si>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</si>
  <si>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</si>
  <si>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</si>
  <si>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</si>
  <si>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</si>
  <si>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</si>
  <si>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</si>
  <si>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</si>
  <si>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</si>
  <si>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</si>
  <si>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</si>
  <si>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</si>
  <si>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</si>
  <si>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</si>
  <si>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</si>
  <si>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</si>
  <si>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</si>
  <si>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</si>
  <si>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</si>
  <si>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</si>
  <si>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</si>
  <si>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</si>
  <si>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</si>
  <si>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</si>
  <si>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</si>
  <si>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</si>
  <si>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</si>
  <si>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</si>
  <si>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</si>
  <si>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</si>
  <si>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</si>
  <si>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</si>
  <si>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</si>
  <si>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</si>
  <si>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</si>
  <si>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</si>
  <si>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</si>
  <si>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</si>
  <si>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</si>
  <si>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</si>
  <si>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</si>
  <si>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</si>
  <si>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</si>
  <si>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</si>
  <si>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</si>
  <si>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</si>
  <si>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</si>
  <si>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</si>
  <si>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</si>
  <si>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</si>
  <si>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</si>
  <si>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</si>
  <si>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</si>
  <si>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</si>
  <si>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</si>
  <si>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</si>
  <si>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</si>
  <si>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</si>
  <si>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</si>
  <si>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</si>
  <si>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</si>
  <si>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</si>
  <si>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</si>
  <si>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</si>
  <si>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</si>
  <si>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</si>
  <si>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</si>
  <si>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</si>
  <si>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</si>
  <si>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</si>
  <si>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</si>
  <si>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</si>
  <si>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</si>
  <si>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</si>
  <si>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</si>
  <si>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</si>
  <si>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</si>
  <si>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</si>
  <si>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</si>
  <si>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</si>
  <si>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</si>
  <si>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</si>
  <si>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</si>
  <si>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</si>
  <si>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</si>
  <si>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</si>
  <si>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</si>
  <si>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</si>
  <si>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</si>
  <si>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</si>
  <si>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</si>
  <si>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</si>
  <si>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</si>
  <si>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</si>
  <si>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</si>
  <si>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</si>
  <si>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</si>
  <si>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</si>
  <si>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</si>
  <si>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</si>
  <si>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</si>
  <si>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</si>
  <si>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</si>
  <si>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</si>
  <si>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</si>
  <si>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</si>
  <si>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</si>
  <si>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</si>
  <si>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</si>
  <si>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</si>
  <si>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</si>
  <si>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</si>
  <si>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</si>
  <si>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</si>
  <si>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</si>
  <si>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</si>
  <si>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</si>
  <si>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</si>
  <si>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</si>
  <si>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</si>
  <si>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</si>
  <si>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</si>
  <si>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</si>
  <si>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</si>
  <si>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</si>
  <si>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</si>
  <si>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</si>
  <si>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</si>
  <si>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</si>
  <si>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</si>
  <si>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</si>
  <si>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</si>
  <si>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</si>
  <si>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</si>
  <si>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</si>
  <si>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</si>
  <si>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</si>
  <si>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</si>
  <si>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</si>
  <si>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</si>
  <si>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</si>
  <si>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</si>
  <si>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</si>
  <si>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</si>
  <si>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</si>
  <si>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</si>
  <si>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</si>
  <si>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</si>
  <si>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</si>
  <si>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</si>
  <si>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</si>
  <si>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</si>
  <si>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</si>
  <si>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</si>
  <si>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</si>
  <si>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</si>
  <si>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</si>
  <si>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</si>
  <si>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</si>
  <si>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</si>
  <si>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</si>
  <si>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</si>
  <si>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</si>
  <si>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</si>
  <si>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</si>
  <si>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</si>
  <si>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</si>
  <si>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</si>
  <si>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</si>
  <si>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</si>
  <si>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</si>
  <si>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</si>
  <si>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</si>
  <si>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</si>
  <si>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</si>
  <si>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</si>
  <si>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</si>
  <si>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</si>
  <si>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</si>
  <si>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</si>
  <si>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</si>
  <si>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</si>
  <si>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</si>
  <si>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</si>
  <si>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</si>
  <si>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</si>
  <si>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</si>
  <si>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</si>
  <si>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</si>
  <si>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</si>
  <si>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</si>
  <si>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</si>
  <si>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</si>
  <si>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</si>
  <si>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</si>
  <si>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</si>
  <si>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</si>
  <si>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</si>
  <si>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</si>
  <si>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</si>
  <si>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</si>
  <si>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</si>
  <si>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</si>
  <si>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</si>
  <si>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</si>
  <si>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</si>
  <si>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</si>
  <si>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</si>
  <si>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</si>
  <si>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</si>
  <si>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</si>
  <si>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</si>
  <si>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</si>
  <si>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</si>
  <si>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</si>
  <si>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</si>
  <si>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</si>
  <si>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</si>
  <si>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</si>
  <si>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</si>
  <si>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</si>
  <si>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</si>
  <si>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</si>
  <si>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</si>
  <si>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</si>
  <si>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</si>
  <si>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</si>
  <si>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</si>
  <si>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</si>
  <si>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</si>
  <si>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</si>
  <si>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</si>
  <si>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</si>
  <si>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</si>
  <si>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</si>
  <si>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</si>
  <si>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</si>
  <si>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</si>
  <si>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</si>
  <si>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</si>
  <si>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</si>
  <si>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</si>
  <si>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</si>
  <si>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</si>
  <si>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</si>
  <si>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</si>
  <si>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</si>
  <si>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</si>
  <si>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</si>
  <si>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</si>
  <si>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</si>
  <si>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</si>
  <si>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</si>
  <si>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</si>
  <si>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</si>
  <si>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</si>
  <si>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</si>
  <si>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</si>
  <si>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</si>
  <si>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</si>
  <si>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</si>
  <si>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</si>
  <si>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</si>
  <si>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</si>
  <si>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</si>
  <si>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</si>
  <si>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</si>
  <si>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</si>
  <si>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</si>
  <si>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</si>
  <si>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</si>
  <si>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</si>
  <si>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</si>
  <si>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</si>
  <si>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</si>
  <si>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</si>
  <si>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</si>
  <si>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</si>
  <si>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</si>
  <si>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</si>
  <si>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</si>
  <si>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</si>
  <si>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</si>
  <si>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</si>
  <si>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</si>
  <si>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</si>
  <si>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</si>
  <si>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</si>
  <si>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</si>
  <si>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</si>
  <si>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</si>
  <si>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</si>
  <si>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</si>
  <si>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</si>
  <si>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</si>
  <si>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</si>
  <si>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</si>
  <si>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</si>
  <si>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</si>
  <si>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</si>
  <si>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</si>
  <si>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</si>
  <si>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</si>
  <si>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</si>
  <si>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</si>
  <si>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</si>
  <si>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</si>
  <si>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</si>
  <si>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</si>
  <si>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</si>
  <si>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</si>
  <si>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</si>
  <si>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</si>
  <si>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</si>
  <si>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</si>
  <si>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</si>
  <si>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</si>
  <si>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</si>
  <si>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</si>
  <si>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</si>
  <si>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</si>
  <si>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</si>
  <si>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</si>
  <si>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</si>
  <si>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</si>
  <si>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</si>
  <si>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</si>
  <si>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</si>
  <si>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</si>
  <si>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</si>
  <si>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</si>
  <si>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</si>
  <si>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</si>
  <si>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</si>
  <si>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</si>
  <si>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</si>
  <si>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</si>
  <si>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</si>
  <si>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</si>
  <si>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</si>
  <si>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</si>
  <si>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</si>
  <si>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</si>
  <si>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</si>
  <si>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</si>
  <si>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</si>
  <si>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</si>
  <si>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</si>
  <si>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</si>
  <si>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</si>
  <si>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</si>
  <si>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</si>
  <si>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</si>
  <si>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</si>
  <si>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</si>
  <si>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</si>
  <si>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</si>
  <si>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</si>
  <si>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</si>
  <si>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</si>
  <si>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</si>
  <si>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</si>
  <si>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</si>
  <si>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</si>
  <si>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</si>
  <si>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</si>
  <si>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</si>
  <si>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</si>
  <si>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</si>
  <si>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</si>
  <si>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</si>
  <si>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</si>
  <si>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</si>
  <si>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</si>
  <si>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</si>
  <si>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</si>
  <si>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</si>
  <si>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</si>
  <si>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</si>
  <si>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</si>
  <si>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</si>
  <si>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</si>
  <si>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</si>
  <si>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</si>
  <si>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</si>
  <si>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</si>
  <si>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</si>
  <si>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</si>
  <si>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</si>
  <si>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</si>
  <si>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</si>
  <si>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</si>
  <si>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</si>
  <si>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</si>
  <si>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</si>
  <si>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</si>
  <si>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</si>
  <si>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</si>
  <si>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</si>
  <si>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</si>
  <si>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</si>
  <si>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</si>
  <si>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</si>
  <si>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</si>
  <si>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</si>
  <si>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</si>
  <si>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</si>
  <si>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</si>
  <si>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</si>
  <si>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</si>
  <si>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</si>
  <si>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</si>
  <si>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</si>
  <si>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</si>
  <si>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</si>
  <si>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</si>
  <si>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</si>
  <si>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</si>
  <si>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</si>
  <si>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</si>
  <si>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</si>
  <si>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</si>
  <si>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</si>
  <si>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</si>
  <si>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</si>
  <si>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</si>
  <si>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</si>
  <si>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</si>
  <si>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</si>
  <si>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</si>
  <si>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</si>
  <si>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</si>
  <si>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</si>
  <si>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</si>
  <si>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</si>
  <si>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</si>
  <si>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</si>
  <si>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</si>
  <si>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</si>
  <si>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</si>
  <si>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</si>
  <si>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</si>
  <si>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</si>
  <si>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</si>
  <si>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</si>
  <si>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</si>
  <si>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</si>
  <si>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</si>
  <si>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</si>
  <si>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</si>
  <si>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</si>
  <si>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</si>
  <si>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</si>
  <si>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</si>
  <si>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</si>
  <si>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</si>
  <si>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</si>
  <si>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</si>
  <si>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</si>
  <si>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</si>
  <si>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</si>
  <si>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</si>
  <si>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</si>
  <si>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</si>
  <si>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</si>
  <si>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</si>
  <si>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</si>
  <si>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</si>
  <si>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</si>
  <si>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</si>
  <si>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</si>
  <si>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</si>
  <si>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</si>
  <si>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</si>
  <si>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</si>
  <si>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</si>
  <si>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</si>
  <si>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</si>
  <si>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</si>
  <si>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</si>
  <si>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</si>
  <si>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</si>
  <si>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</si>
  <si>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</si>
  <si>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</si>
  <si>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</si>
  <si>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</si>
  <si>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</si>
  <si>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</si>
  <si>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</si>
  <si>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</si>
  <si>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</si>
  <si>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</si>
  <si>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</si>
  <si>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</si>
  <si>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</si>
  <si>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</si>
  <si>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</si>
  <si>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</si>
  <si>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</si>
  <si>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</si>
  <si>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</si>
  <si>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</si>
  <si>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</si>
  <si>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</si>
  <si>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</si>
  <si>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</si>
  <si>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</si>
  <si>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</si>
  <si>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</si>
  <si>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</si>
  <si>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</si>
  <si>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</si>
  <si>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</si>
  <si>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</si>
  <si>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</si>
  <si>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</si>
  <si>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</si>
  <si>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</si>
  <si>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</si>
  <si>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</si>
  <si>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</si>
  <si>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</si>
  <si>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</si>
  <si>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</si>
  <si>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</si>
  <si>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</si>
  <si>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</si>
  <si>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</si>
  <si>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</si>
  <si>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</si>
  <si>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</si>
  <si>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</si>
  <si>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</si>
  <si>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</si>
  <si>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</si>
  <si>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</si>
  <si>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</si>
  <si>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</si>
  <si>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</si>
  <si>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</si>
  <si>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</si>
  <si>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</si>
  <si>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</si>
  <si>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</si>
  <si>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</si>
  <si>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</si>
  <si>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</si>
  <si>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</si>
  <si>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</si>
  <si>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</si>
  <si>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</si>
  <si>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</si>
  <si>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</si>
  <si>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</si>
  <si>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</si>
  <si>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</si>
  <si>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</si>
  <si>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</si>
  <si>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</si>
  <si>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</si>
  <si>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</si>
  <si>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</si>
  <si>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</si>
  <si>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</si>
  <si>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</si>
  <si>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</si>
  <si>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</si>
  <si>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</si>
  <si>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</si>
  <si>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</si>
  <si>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</si>
  <si>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</si>
  <si>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</si>
  <si>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</si>
  <si>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</si>
  <si>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</si>
  <si>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</si>
  <si>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</si>
  <si>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</si>
  <si>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</si>
  <si>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</si>
  <si>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</si>
  <si>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</si>
  <si>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</si>
  <si>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</si>
  <si>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</si>
  <si>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</si>
  <si>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</si>
  <si>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</si>
  <si>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</si>
  <si>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</si>
  <si>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</si>
  <si>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</si>
  <si>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</si>
  <si>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</si>
  <si>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</si>
  <si>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</si>
  <si>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</si>
  <si>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</si>
  <si>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</si>
  <si>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</si>
  <si>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</si>
  <si>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</si>
  <si>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</si>
  <si>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</si>
  <si>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</si>
  <si>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</si>
  <si>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</si>
  <si>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</si>
  <si>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</si>
  <si>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</si>
  <si>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</si>
  <si>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</si>
  <si>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</si>
  <si>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</si>
  <si>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</si>
  <si>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</si>
  <si>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</si>
  <si>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</si>
  <si>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</si>
  <si>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</si>
  <si>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</si>
  <si>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</si>
  <si>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</si>
  <si>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</si>
  <si>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</si>
  <si>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</si>
  <si>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</si>
  <si>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</si>
  <si>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</si>
  <si>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</si>
  <si>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</si>
  <si>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</si>
  <si>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</si>
  <si>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</si>
  <si>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</si>
  <si>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</si>
  <si>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</si>
  <si>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</si>
  <si>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</si>
  <si>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</si>
  <si>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</si>
  <si>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</si>
  <si>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</si>
  <si>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</si>
  <si>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</si>
  <si>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</si>
  <si>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</si>
  <si>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</si>
  <si>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</si>
  <si>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</si>
  <si>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</si>
  <si>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</si>
  <si>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</si>
  <si>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</si>
  <si>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</si>
  <si>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</si>
  <si>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</si>
  <si>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</si>
  <si>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</si>
  <si>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</si>
  <si>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</si>
  <si>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</si>
  <si>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</si>
  <si>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</si>
  <si>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</si>
  <si>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</si>
  <si>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</si>
  <si>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</si>
  <si>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</si>
  <si>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</si>
  <si>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</si>
  <si>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</si>
  <si>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</si>
  <si>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</si>
  <si>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</si>
  <si>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</si>
  <si>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</si>
  <si>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</si>
  <si>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</si>
  <si>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</si>
  <si>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</si>
  <si>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</si>
  <si>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</si>
  <si>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</si>
  <si>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</si>
  <si>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</si>
  <si>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</si>
  <si>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</si>
  <si>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</si>
  <si>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</si>
  <si>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</si>
  <si>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</si>
  <si>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</si>
  <si>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</si>
  <si>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</si>
  <si>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</si>
  <si>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</si>
  <si>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</si>
  <si>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</si>
  <si>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</si>
  <si>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</si>
  <si>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</si>
  <si>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</si>
  <si>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</si>
  <si>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</si>
  <si>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</si>
  <si>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</si>
  <si>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</si>
  <si>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</si>
  <si>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</si>
  <si>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</si>
  <si>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</si>
  <si>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</si>
  <si>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</si>
  <si>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</si>
  <si>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</si>
  <si>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</si>
  <si>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</si>
  <si>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</si>
  <si>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</si>
  <si>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</si>
  <si>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</si>
  <si>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</si>
  <si>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</si>
  <si>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</si>
  <si>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</si>
  <si>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</si>
  <si>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</si>
  <si>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</si>
  <si>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</si>
  <si>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</si>
  <si>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</si>
  <si>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</si>
  <si>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</si>
  <si>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</si>
  <si>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</si>
  <si>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</si>
  <si>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</si>
  <si>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</si>
  <si>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</si>
  <si>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</si>
  <si>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</si>
  <si>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</si>
  <si>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</si>
  <si>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</si>
  <si>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</si>
  <si>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</si>
  <si>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</si>
  <si>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</si>
  <si>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</si>
  <si>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</si>
  <si>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</si>
  <si>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</si>
  <si>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</si>
  <si>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</si>
  <si>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</si>
  <si>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</si>
  <si>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</si>
  <si>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</si>
  <si>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</si>
  <si>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</si>
  <si>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</si>
  <si>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</si>
  <si>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</si>
  <si>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</si>
  <si>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</si>
  <si>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</si>
  <si>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</si>
  <si>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</si>
  <si>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</si>
  <si>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</si>
  <si>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</si>
  <si>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</si>
  <si>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</si>
  <si>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</si>
  <si>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</si>
  <si>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</si>
  <si>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</si>
  <si>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</si>
  <si>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</si>
  <si>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</si>
  <si>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</si>
  <si>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</si>
  <si>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</si>
  <si>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</si>
  <si>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</si>
  <si>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</si>
  <si>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</si>
  <si>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</si>
  <si>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</si>
  <si>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</si>
  <si>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</si>
  <si>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</si>
  <si>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</si>
  <si>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</si>
  <si>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</si>
  <si>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</si>
  <si>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</si>
  <si>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</si>
  <si>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</si>
  <si>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</si>
  <si>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</si>
  <si>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</si>
  <si>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</si>
  <si>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</si>
  <si>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</si>
  <si>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</si>
  <si>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</si>
  <si>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</si>
  <si>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</si>
  <si>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</si>
  <si>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</si>
  <si>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</si>
  <si>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</si>
  <si>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</si>
  <si>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</si>
  <si>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</si>
  <si>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</si>
  <si>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</si>
  <si>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</si>
  <si>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</si>
  <si>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</si>
  <si>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</si>
  <si>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</si>
  <si>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</si>
  <si>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</si>
  <si>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</si>
  <si>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</si>
  <si>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</si>
  <si>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</si>
  <si>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</si>
  <si>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</si>
  <si>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</si>
  <si>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</si>
  <si>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</si>
  <si>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</si>
  <si>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</si>
  <si>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</si>
  <si>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</si>
  <si>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</si>
  <si>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</si>
  <si>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</si>
  <si>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</si>
  <si>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</si>
  <si>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</si>
  <si>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</si>
  <si>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</si>
  <si>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</si>
  <si>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</si>
  <si>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</si>
  <si>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</si>
  <si>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</si>
  <si>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</si>
  <si>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</si>
  <si>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</si>
  <si>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</si>
  <si>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</si>
  <si>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</si>
  <si>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</si>
  <si>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</si>
  <si>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</si>
  <si>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</si>
  <si>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</si>
  <si>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</si>
  <si>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</si>
  <si>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</si>
  <si>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</si>
  <si>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</si>
  <si>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</si>
  <si>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</si>
  <si>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</si>
  <si>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</si>
  <si>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</si>
  <si>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</si>
  <si>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</si>
  <si>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</si>
  <si>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</si>
  <si>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</si>
  <si>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</si>
  <si>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</si>
  <si>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</si>
  <si>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</si>
  <si>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</si>
  <si>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</si>
  <si>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</si>
  <si>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</si>
  <si>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</si>
  <si>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</si>
  <si>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</si>
  <si>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</si>
  <si>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</si>
  <si>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</si>
  <si>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</si>
  <si>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</si>
  <si>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</si>
  <si>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</si>
  <si>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</si>
  <si>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</si>
  <si>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</si>
  <si>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</si>
  <si>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</si>
  <si>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</si>
  <si>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</si>
  <si>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</si>
  <si>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</si>
  <si>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</si>
  <si>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</si>
  <si>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</si>
  <si>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</si>
  <si>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</si>
  <si>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</si>
  <si>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</si>
  <si>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</si>
  <si>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</si>
  <si>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</si>
  <si>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</si>
  <si>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</si>
  <si>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</si>
  <si>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</si>
  <si>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</si>
  <si>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</si>
  <si>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</si>
  <si>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</si>
  <si>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</si>
  <si>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</si>
  <si>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</si>
  <si>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</si>
  <si>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</si>
  <si>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</si>
  <si>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</si>
  <si>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</si>
  <si>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</si>
  <si>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</si>
  <si>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</si>
  <si>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</si>
  <si>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</si>
  <si>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</si>
  <si>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</si>
  <si>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</si>
  <si>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</si>
  <si>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</si>
  <si>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</si>
  <si>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</si>
  <si>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</si>
  <si>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</si>
  <si>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</si>
  <si>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</si>
  <si>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</si>
  <si>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</si>
  <si>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</si>
  <si>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</si>
  <si>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</si>
  <si>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</si>
  <si>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</si>
  <si>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</si>
  <si>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</si>
  <si>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</si>
  <si>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</si>
  <si>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</si>
  <si>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</si>
  <si>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</si>
  <si>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</si>
  <si>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</si>
  <si>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</si>
  <si>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</si>
  <si>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</si>
  <si>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</si>
  <si>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</si>
  <si>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</si>
  <si>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</si>
  <si>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</si>
  <si>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</si>
  <si>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</si>
  <si>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</si>
  <si>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</si>
  <si>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</si>
  <si>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</si>
  <si>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</si>
  <si>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</si>
  <si>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</si>
  <si>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</si>
  <si>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</si>
  <si>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</si>
  <si>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</si>
  <si>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</si>
  <si>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</si>
  <si>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</si>
  <si>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</si>
  <si>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</si>
  <si>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</si>
  <si>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</si>
  <si>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</si>
  <si>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</si>
  <si>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</si>
  <si>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</si>
  <si>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</si>
  <si>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</si>
  <si>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</si>
  <si>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</si>
  <si>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</si>
  <si>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</si>
  <si>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</si>
  <si>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</si>
  <si>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</si>
  <si>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</si>
  <si>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</si>
  <si>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</si>
  <si>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</si>
  <si>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</si>
  <si>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</si>
  <si>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</si>
  <si>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</si>
  <si>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</si>
  <si>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</si>
  <si>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</si>
  <si>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</si>
  <si>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</si>
  <si>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</si>
  <si>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</si>
  <si>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</si>
  <si>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</si>
  <si>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</si>
  <si>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</si>
  <si>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</si>
  <si>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</si>
  <si>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</si>
  <si>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</si>
  <si>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</si>
  <si>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</si>
  <si>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</si>
  <si>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</si>
  <si>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</si>
  <si>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</si>
  <si>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</si>
  <si>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</si>
  <si>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</si>
  <si>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</si>
  <si>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</si>
  <si>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</si>
  <si>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</si>
  <si>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</si>
  <si>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</si>
  <si>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</si>
  <si>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</si>
  <si>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</si>
  <si>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</si>
  <si>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</si>
  <si>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</si>
  <si>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</si>
  <si>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</si>
  <si>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</si>
  <si>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</si>
  <si>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</si>
  <si>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</si>
  <si>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</si>
  <si>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</si>
  <si>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</si>
  <si>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</si>
  <si>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</si>
  <si>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</si>
  <si>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</si>
  <si>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</si>
  <si>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</si>
  <si>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</si>
  <si>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</si>
  <si>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</si>
  <si>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</si>
  <si>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</si>
  <si>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</si>
  <si>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</si>
  <si>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</si>
  <si>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</si>
  <si>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</si>
  <si>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</si>
  <si>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</si>
  <si>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</si>
  <si>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</si>
  <si>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</si>
  <si>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</si>
  <si>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</si>
  <si>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</si>
  <si>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</si>
  <si>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</si>
  <si>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</si>
  <si>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</si>
  <si>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</si>
  <si>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</si>
  <si>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</si>
  <si>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</si>
  <si>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</si>
  <si>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</si>
  <si>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</si>
  <si>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</si>
  <si>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</si>
  <si>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</si>
  <si>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</si>
  <si>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</si>
  <si>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</si>
  <si>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</si>
  <si>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</si>
  <si>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</si>
  <si>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</si>
  <si>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</si>
  <si>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</si>
  <si>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</si>
  <si>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</si>
  <si>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</si>
  <si>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</si>
  <si>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</si>
  <si>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</si>
  <si>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</si>
  <si>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</si>
  <si>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</si>
  <si>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</si>
  <si>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</si>
  <si>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</si>
  <si>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</si>
  <si>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</si>
  <si>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</si>
  <si>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</si>
  <si>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</si>
  <si>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</si>
  <si>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</si>
  <si>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</si>
  <si>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</si>
  <si>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</si>
  <si>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</si>
  <si>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</si>
  <si>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</si>
  <si>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</si>
  <si>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</si>
  <si>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</si>
  <si>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</si>
  <si>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</si>
  <si>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</si>
  <si>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</si>
  <si>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</si>
  <si>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</si>
  <si>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</si>
  <si>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</si>
  <si>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</si>
  <si>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</si>
  <si>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</si>
  <si>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</si>
  <si>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</si>
  <si>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</si>
  <si>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</si>
  <si>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</si>
  <si>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</si>
  <si>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</si>
  <si>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</si>
  <si>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</si>
  <si>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</si>
  <si>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</si>
  <si>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</si>
  <si>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</si>
  <si>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</si>
  <si>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</si>
  <si>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</si>
  <si>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</si>
  <si>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</si>
  <si>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</si>
  <si>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</si>
  <si>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</si>
  <si>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</si>
  <si>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</si>
  <si>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</si>
  <si>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</si>
  <si>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</si>
  <si>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</si>
  <si>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</si>
  <si>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</si>
  <si>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</si>
  <si>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</si>
  <si>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</si>
  <si>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</si>
  <si>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</si>
  <si>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</si>
  <si>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</si>
  <si>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</si>
  <si>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</si>
  <si>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</si>
  <si>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</si>
  <si>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</si>
  <si>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</si>
  <si>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</si>
  <si>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</si>
  <si>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</si>
  <si>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</si>
  <si>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</si>
  <si>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</si>
  <si>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</si>
  <si>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</si>
  <si>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</si>
  <si>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</si>
  <si>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</si>
  <si>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</si>
  <si>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</si>
  <si>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</si>
  <si>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</si>
  <si>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</si>
  <si>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</si>
  <si>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</si>
  <si>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</si>
  <si>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</si>
  <si>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</si>
  <si>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</si>
  <si>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</si>
  <si>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</si>
  <si>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</si>
  <si>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</si>
  <si>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</si>
  <si>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</si>
  <si>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</si>
  <si>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</si>
  <si>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</si>
  <si>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</si>
  <si>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</si>
  <si>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</si>
  <si>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</si>
  <si>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</si>
  <si>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</si>
  <si>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</si>
  <si>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</si>
  <si>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</si>
  <si>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</si>
  <si>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</si>
  <si>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</si>
  <si>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</si>
  <si>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</si>
  <si>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</si>
  <si>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</si>
  <si>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</si>
  <si>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</si>
  <si>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</si>
  <si>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</si>
  <si>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</si>
  <si>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</si>
  <si>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</si>
  <si>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</si>
  <si>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</si>
  <si>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</si>
  <si>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</si>
  <si>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</si>
  <si>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</si>
  <si>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</si>
  <si>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</si>
  <si>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</si>
  <si>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</si>
  <si>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</si>
  <si>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</si>
  <si>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</si>
  <si>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</si>
  <si>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</si>
  <si>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</si>
  <si>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</si>
  <si>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</si>
  <si>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</si>
  <si>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</si>
  <si>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</si>
  <si>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</si>
  <si>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</si>
  <si>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</si>
  <si>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</si>
  <si>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</si>
  <si>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</si>
  <si>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</si>
  <si>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</si>
  <si>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</si>
  <si>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</si>
  <si>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</si>
  <si>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</si>
  <si>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</si>
  <si>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</si>
  <si>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</si>
  <si>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</si>
  <si>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</si>
  <si>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</si>
  <si>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</si>
  <si>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</si>
  <si>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</si>
  <si>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</si>
  <si>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</si>
  <si>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</si>
  <si>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</si>
  <si>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</si>
  <si>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</si>
  <si>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</si>
  <si>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</si>
  <si>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</si>
  <si>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</si>
  <si>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</si>
  <si>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</si>
  <si>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</si>
  <si>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</si>
  <si>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</si>
  <si>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</si>
  <si>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</si>
  <si>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</si>
  <si>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</si>
  <si>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</si>
  <si>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</si>
  <si>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</si>
  <si>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</si>
  <si>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</si>
  <si>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</si>
  <si>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</si>
  <si>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</si>
  <si>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</si>
  <si>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</si>
  <si>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</si>
  <si>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</si>
  <si>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</si>
  <si>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</si>
  <si>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</si>
  <si>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</si>
  <si>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</si>
  <si>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</si>
  <si>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</si>
  <si>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</si>
  <si>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</si>
  <si>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</si>
  <si>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</si>
  <si>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</si>
  <si>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</si>
  <si>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</si>
  <si>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</si>
  <si>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</si>
  <si>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</si>
  <si>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</si>
  <si>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</si>
  <si>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</si>
  <si>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</si>
  <si>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</si>
  <si>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</si>
  <si>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</si>
  <si>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</si>
  <si>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</si>
  <si>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</si>
  <si>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</si>
  <si>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</si>
  <si>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</si>
  <si>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</si>
  <si>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</si>
  <si>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</si>
  <si>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</si>
  <si>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</si>
  <si>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</si>
  <si>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</si>
  <si>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</si>
  <si>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</si>
  <si>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</si>
  <si>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</si>
  <si>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</si>
  <si>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</si>
  <si>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</si>
  <si>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</si>
  <si>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</si>
  <si>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</si>
  <si>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</si>
  <si>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</si>
  <si>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</si>
  <si>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</si>
  <si>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</si>
  <si>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</si>
  <si>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</si>
  <si>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</si>
  <si>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</si>
  <si>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</si>
  <si>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</si>
  <si>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</si>
  <si>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</si>
  <si>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</si>
  <si>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</si>
  <si>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</si>
  <si>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</si>
  <si>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</si>
  <si>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</si>
  <si>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</si>
  <si>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</si>
  <si>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</si>
  <si>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</si>
  <si>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</si>
  <si>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</si>
  <si>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</si>
  <si>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</si>
  <si>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</si>
  <si>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</si>
  <si>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</si>
  <si>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</si>
  <si>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</si>
  <si>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</si>
  <si>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</si>
  <si>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</si>
  <si>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</si>
  <si>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</si>
  <si>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</si>
  <si>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</si>
  <si>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</si>
  <si>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</si>
  <si>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</si>
  <si>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</si>
  <si>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</si>
  <si>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</si>
  <si>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</si>
  <si>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</si>
  <si>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</si>
  <si>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</si>
  <si>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</si>
  <si>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</si>
  <si>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</si>
  <si>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</si>
  <si>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</si>
  <si>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</si>
  <si>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</si>
  <si>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</si>
  <si>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</si>
  <si>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</si>
  <si>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</si>
  <si>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</si>
  <si>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</si>
  <si>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</si>
  <si>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</si>
  <si>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</si>
  <si>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</si>
  <si>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</si>
  <si>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</si>
  <si>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</si>
  <si>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</si>
  <si>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</si>
  <si>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</si>
  <si>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</si>
  <si>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</si>
  <si>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</si>
  <si>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</si>
  <si>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</si>
  <si>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</si>
  <si>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</si>
  <si>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</si>
  <si>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</si>
  <si>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</si>
  <si>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</si>
  <si>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</si>
  <si>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</si>
  <si>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</si>
  <si>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</si>
  <si>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</si>
  <si>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</si>
  <si>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</si>
  <si>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</si>
  <si>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</si>
  <si>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</si>
  <si>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</si>
  <si>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</si>
  <si>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</si>
  <si>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</si>
  <si>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</si>
  <si>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</si>
  <si>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</si>
  <si>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</si>
  <si>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</si>
  <si>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</si>
  <si>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</si>
  <si>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</si>
  <si>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</si>
  <si>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</si>
  <si>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</si>
  <si>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</si>
  <si>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</si>
  <si>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</si>
  <si>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</si>
  <si>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</si>
  <si>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</si>
  <si>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</si>
  <si>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</si>
  <si>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</si>
  <si>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</si>
  <si>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</si>
  <si>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</si>
  <si>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</si>
  <si>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</si>
  <si>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</si>
  <si>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</si>
  <si>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</si>
  <si>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</si>
  <si>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</si>
  <si>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</si>
  <si>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</si>
  <si>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</si>
  <si>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</si>
  <si>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</si>
  <si>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</si>
  <si>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</si>
  <si>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</si>
  <si>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</si>
  <si>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</si>
  <si>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</si>
  <si>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</si>
  <si>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</si>
  <si>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</si>
  <si>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</si>
  <si>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</si>
  <si>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</si>
  <si>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</si>
  <si>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</si>
  <si>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</si>
  <si>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</si>
  <si>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</si>
  <si>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</si>
  <si>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</si>
  <si>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</si>
  <si>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</si>
  <si>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</si>
  <si>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</si>
  <si>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</si>
  <si>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</si>
  <si>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</si>
  <si>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</si>
  <si>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</si>
  <si>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</si>
  <si>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</si>
  <si>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</si>
  <si>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</si>
  <si>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</si>
  <si>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</si>
  <si>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</si>
  <si>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</si>
  <si>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</si>
  <si>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</si>
  <si>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</si>
  <si>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</si>
  <si>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</si>
  <si>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</si>
  <si>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</si>
  <si>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</si>
  <si>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</si>
  <si>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</si>
  <si>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</si>
  <si>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</si>
  <si>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</si>
  <si>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</si>
  <si>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</si>
  <si>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</si>
  <si>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</si>
  <si>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</si>
  <si>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</si>
  <si>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</si>
  <si>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</si>
  <si>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</si>
  <si>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</si>
  <si>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</si>
  <si>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</si>
  <si>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</si>
  <si>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</si>
  <si>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</si>
  <si>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</si>
  <si>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</si>
  <si>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</si>
  <si>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</si>
  <si>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</si>
  <si>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</si>
  <si>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</si>
  <si>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</si>
  <si>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</si>
  <si>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</si>
  <si>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</si>
  <si>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</si>
  <si>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</si>
  <si>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</si>
  <si>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</si>
  <si>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</si>
  <si>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</si>
  <si>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</si>
  <si>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</si>
  <si>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</si>
  <si>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</si>
  <si>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</si>
  <si>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</si>
  <si>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</si>
  <si>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</si>
  <si>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</si>
  <si>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</si>
  <si>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</si>
  <si>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</si>
  <si>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</si>
  <si>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</si>
  <si>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</si>
  <si>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</si>
  <si>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</si>
  <si>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</si>
  <si>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</si>
  <si>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</si>
  <si>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</si>
  <si>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</si>
  <si>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</si>
  <si>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</si>
  <si>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</si>
  <si>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</si>
  <si>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</si>
  <si>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</si>
  <si>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</si>
  <si>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</si>
  <si>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</si>
  <si>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</si>
  <si>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</si>
  <si>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</si>
  <si>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</si>
  <si>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</si>
  <si>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</si>
  <si>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</si>
  <si>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</si>
  <si>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</si>
  <si>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</si>
  <si>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</si>
  <si>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</si>
  <si>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</si>
  <si>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</si>
  <si>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</si>
  <si>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</si>
  <si>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</si>
  <si>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</si>
  <si>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</si>
  <si>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</si>
  <si>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</si>
  <si>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</si>
  <si>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</si>
  <si>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</si>
  <si>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</si>
  <si>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</si>
  <si>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</si>
  <si>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</si>
  <si>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</si>
  <si>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</si>
  <si>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</si>
  <si>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</si>
  <si>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</si>
  <si>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</si>
  <si>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</si>
  <si>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</si>
  <si>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</si>
  <si>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</si>
  <si>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</si>
  <si>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</si>
  <si>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</si>
  <si>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</si>
  <si>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</si>
  <si>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</si>
  <si>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</si>
  <si>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</si>
  <si>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</si>
  <si>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</si>
  <si>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</si>
  <si>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</si>
  <si>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</si>
  <si>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</si>
  <si>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</si>
  <si>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</si>
  <si>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</si>
  <si>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</si>
  <si>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</si>
  <si>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</si>
  <si>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</si>
  <si>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</si>
  <si>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</si>
  <si>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</si>
  <si>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</si>
  <si>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</si>
  <si>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</si>
  <si>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</si>
  <si>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</si>
  <si>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</si>
  <si>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</si>
  <si>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</si>
  <si>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</si>
  <si>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</si>
  <si>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</si>
  <si>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</si>
  <si>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</si>
  <si>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</si>
  <si>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</si>
  <si>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</si>
  <si>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</si>
  <si>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</si>
  <si>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</si>
  <si>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</si>
  <si>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</si>
  <si>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</si>
  <si>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</si>
  <si>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</si>
  <si>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</si>
  <si>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</si>
  <si>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</si>
  <si>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</si>
  <si>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</si>
  <si>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</si>
  <si>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</si>
  <si>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</si>
  <si>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</si>
  <si>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</si>
  <si>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</si>
  <si>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</si>
  <si>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</si>
  <si>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</si>
  <si>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</si>
  <si>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</si>
  <si>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</si>
  <si>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</si>
  <si>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</si>
  <si>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</si>
  <si>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</si>
  <si>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</si>
  <si>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</si>
  <si>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</si>
  <si>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</si>
  <si>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</si>
  <si>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</si>
  <si>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</si>
  <si>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</si>
  <si>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</si>
  <si>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</si>
  <si>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</si>
  <si>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</si>
  <si>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</si>
  <si>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</si>
  <si>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</si>
  <si>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</si>
  <si>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</si>
  <si>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</si>
  <si>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</si>
  <si>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</si>
  <si>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</si>
  <si>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</si>
  <si>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</si>
  <si>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</si>
  <si>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</si>
  <si>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</si>
  <si>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</si>
  <si>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</si>
  <si>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</si>
  <si>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</si>
  <si>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</si>
  <si>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</si>
  <si>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</si>
  <si>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</si>
  <si>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</si>
  <si>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</si>
  <si>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</si>
  <si>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</si>
  <si>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</si>
  <si>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</si>
  <si>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</si>
  <si>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</si>
  <si>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</si>
  <si>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</si>
  <si>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</si>
  <si>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</si>
  <si>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</si>
  <si>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</si>
  <si>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</si>
  <si>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</si>
  <si>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</si>
  <si>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</si>
  <si>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</si>
  <si>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</si>
  <si>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</si>
  <si>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</si>
  <si>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</si>
  <si>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</si>
  <si>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</si>
  <si>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</si>
  <si>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</si>
  <si>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</si>
  <si>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</si>
  <si>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</si>
  <si>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</si>
  <si>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</si>
  <si>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</si>
  <si>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</si>
  <si>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</si>
  <si>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</si>
  <si>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</si>
  <si>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</si>
  <si>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</si>
  <si>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</si>
  <si>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</si>
  <si>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</si>
  <si>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</si>
  <si>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</si>
  <si>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</si>
  <si>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</si>
  <si>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</si>
  <si>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</si>
  <si>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</si>
  <si>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</si>
  <si>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</si>
  <si>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</si>
  <si>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</si>
  <si>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</si>
  <si>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</si>
  <si>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</si>
  <si>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</si>
  <si>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</si>
  <si>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</si>
  <si>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</si>
  <si>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</si>
  <si>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</si>
  <si>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</si>
  <si>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</si>
  <si>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</si>
  <si>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</si>
  <si>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</si>
  <si>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</si>
  <si>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</si>
  <si>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</si>
  <si>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</si>
  <si>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</si>
  <si>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</si>
  <si>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</si>
  <si>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</si>
  <si>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</si>
  <si>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</si>
  <si>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</si>
  <si>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</si>
  <si>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</si>
  <si>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</si>
  <si>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</si>
  <si>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</si>
  <si>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</si>
  <si>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</si>
  <si>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</si>
  <si>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</si>
  <si>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</si>
  <si>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</si>
  <si>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</si>
  <si>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</si>
  <si>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</si>
  <si>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</si>
  <si>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</si>
  <si>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</si>
  <si>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</si>
  <si>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</si>
  <si>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</si>
  <si>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</si>
  <si>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</si>
  <si>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</si>
  <si>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</si>
  <si>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</si>
  <si>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</si>
  <si>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</si>
  <si>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</si>
  <si>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</si>
  <si>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</si>
  <si>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</si>
  <si>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</si>
  <si>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</si>
  <si>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</si>
  <si>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</si>
  <si>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</si>
  <si>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</si>
  <si>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</si>
  <si>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</si>
  <si>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</si>
  <si>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</si>
  <si>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</si>
  <si>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</si>
  <si>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</si>
  <si>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</si>
  <si>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</si>
  <si>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</si>
  <si>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</si>
  <si>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</si>
  <si>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</si>
  <si>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</si>
  <si>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</si>
  <si>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</si>
  <si>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</si>
  <si>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</si>
  <si>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</si>
  <si>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</si>
  <si>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</si>
  <si>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</si>
  <si>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</si>
  <si>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</si>
  <si>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</si>
  <si>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</si>
  <si>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</si>
  <si>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</si>
  <si>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</si>
  <si>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</si>
  <si>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</si>
  <si>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</si>
  <si>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</si>
  <si>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</si>
  <si>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</si>
  <si>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</si>
  <si>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</si>
  <si>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</si>
  <si>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</si>
  <si>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</si>
  <si>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</si>
  <si>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</si>
  <si>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</si>
  <si>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</si>
  <si>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</si>
  <si>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</si>
  <si>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</si>
  <si>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</si>
  <si>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</si>
  <si>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</si>
  <si>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</si>
  <si>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</si>
  <si>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</si>
  <si>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</si>
  <si>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</si>
  <si>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</si>
  <si>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</si>
  <si>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</si>
  <si>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</si>
  <si>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</si>
  <si>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</si>
  <si>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</si>
  <si>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</si>
  <si>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</si>
  <si>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</si>
  <si>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</si>
  <si>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</si>
  <si>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</si>
  <si>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</si>
  <si>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</si>
  <si>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</si>
  <si>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</si>
  <si>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</si>
  <si>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</si>
  <si>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</si>
  <si>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</si>
  <si>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</si>
  <si>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</si>
  <si>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</si>
  <si>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</si>
  <si>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</si>
  <si>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</si>
  <si>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</si>
  <si>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</si>
  <si>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</si>
  <si>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</si>
  <si>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</si>
  <si>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</si>
  <si>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</si>
  <si>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</si>
  <si>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</si>
  <si>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</si>
  <si>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</si>
  <si>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</si>
  <si>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</si>
  <si>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</si>
  <si>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</si>
  <si>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</si>
  <si>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</si>
  <si>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</si>
  <si>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</si>
  <si>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</si>
  <si>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</si>
  <si>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</si>
  <si>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</si>
  <si>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</si>
  <si>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</si>
  <si>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</si>
  <si>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</si>
  <si>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</si>
  <si>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</si>
  <si>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</si>
  <si>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</si>
  <si>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</si>
  <si>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</si>
  <si>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</si>
  <si>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</si>
  <si>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</si>
  <si>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</si>
  <si>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</si>
  <si>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</si>
  <si>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</si>
  <si>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</si>
  <si>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</si>
  <si>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</si>
  <si>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</si>
  <si>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</si>
  <si>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</si>
  <si>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</si>
  <si>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</si>
  <si>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</si>
  <si>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</si>
  <si>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</si>
  <si>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</si>
  <si>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</si>
  <si>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</si>
  <si>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</si>
  <si>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</si>
  <si>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</si>
  <si>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</si>
  <si>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</si>
  <si>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</si>
  <si>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</si>
  <si>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</si>
  <si>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</si>
  <si>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</si>
  <si>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</si>
  <si>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</si>
  <si>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</si>
  <si>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</si>
  <si>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</si>
  <si>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</si>
  <si>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</si>
  <si>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</si>
  <si>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</si>
  <si>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</si>
  <si>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</si>
  <si>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</si>
  <si>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</si>
  <si>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</si>
  <si>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</si>
  <si>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</si>
  <si>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</si>
  <si>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</si>
  <si>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</si>
  <si>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</si>
  <si>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</si>
  <si>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</si>
  <si>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</si>
  <si>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</si>
  <si>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</si>
  <si>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</si>
  <si>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</si>
  <si>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</si>
  <si>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</si>
  <si>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</si>
  <si>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</si>
  <si>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</si>
  <si>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</si>
  <si>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</si>
  <si>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</si>
  <si>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</si>
  <si>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</si>
  <si>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</si>
  <si>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</si>
  <si>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</si>
  <si>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</si>
  <si>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</si>
  <si>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</si>
  <si>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</si>
  <si>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</si>
  <si>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</si>
  <si>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</si>
  <si>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</si>
  <si>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</si>
  <si>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</si>
  <si>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</si>
  <si>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</si>
  <si>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</si>
  <si>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</si>
  <si>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</si>
  <si>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</si>
  <si>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</si>
  <si>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</si>
  <si>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</si>
  <si>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</si>
  <si>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</si>
  <si>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</si>
  <si>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</si>
  <si>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</si>
  <si>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</si>
  <si>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</si>
  <si>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</si>
  <si>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</si>
  <si>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</si>
  <si>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</si>
  <si>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</si>
  <si>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</si>
  <si>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</si>
  <si>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</si>
  <si>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</si>
  <si>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</si>
  <si>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</si>
  <si>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</si>
  <si>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</si>
  <si>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</si>
  <si>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</si>
  <si>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</si>
  <si>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</si>
  <si>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</si>
  <si>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</si>
  <si>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</si>
  <si>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</si>
  <si>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</si>
  <si>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</si>
  <si>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</si>
  <si>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</si>
  <si>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</si>
  <si>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</si>
  <si>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</si>
  <si>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</si>
  <si>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</si>
  <si>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</si>
  <si>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</si>
  <si>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</si>
  <si>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</si>
  <si>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</si>
  <si>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</si>
  <si>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</si>
  <si>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</si>
  <si>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</si>
  <si>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</si>
  <si>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</si>
  <si>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</si>
  <si>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</si>
  <si>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</si>
  <si>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</si>
  <si>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</si>
  <si>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</si>
  <si>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</si>
  <si>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</si>
  <si>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</si>
  <si>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</si>
  <si>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</si>
  <si>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</si>
  <si>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</si>
  <si>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</si>
  <si>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</si>
  <si>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</si>
  <si>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</si>
  <si>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</si>
  <si>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</si>
  <si>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</si>
  <si>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</si>
  <si>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</si>
  <si>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</si>
  <si>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</si>
  <si>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</si>
  <si>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</si>
  <si>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</si>
  <si>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</si>
  <si>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</si>
  <si>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</si>
  <si>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</si>
  <si>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</si>
  <si>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</si>
  <si>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</si>
  <si>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</si>
  <si>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</si>
  <si>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</si>
  <si>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</si>
  <si>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</si>
  <si>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</si>
  <si>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</si>
  <si>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</si>
  <si>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</si>
  <si>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</si>
  <si>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</si>
  <si>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</si>
  <si>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</si>
  <si>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</si>
  <si>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</si>
  <si>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</si>
  <si>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</si>
  <si>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</si>
  <si>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</si>
  <si>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</si>
  <si>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</si>
  <si>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</si>
  <si>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</si>
  <si>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</si>
  <si>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</si>
  <si>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</si>
  <si>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</si>
  <si>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</si>
  <si>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</si>
  <si>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</si>
  <si>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</si>
  <si>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</si>
  <si>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</si>
  <si>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</si>
  <si>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</si>
  <si>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</si>
  <si>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</si>
  <si>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</si>
  <si>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</si>
  <si>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</si>
  <si>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</si>
  <si>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</si>
  <si>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</si>
  <si>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</si>
  <si>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</si>
  <si>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</si>
  <si>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</si>
  <si>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</si>
  <si>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</si>
  <si>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</si>
  <si>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</si>
  <si>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</si>
  <si>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</si>
  <si>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</si>
  <si>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</si>
  <si>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</si>
  <si>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</si>
  <si>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</si>
  <si>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</si>
  <si>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</si>
  <si>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</si>
  <si>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</si>
  <si>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</si>
  <si>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</si>
  <si>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</si>
  <si>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</si>
  <si>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</si>
  <si>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</si>
  <si>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</si>
  <si>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</si>
  <si>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</si>
  <si>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</si>
  <si>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</si>
  <si>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</si>
  <si>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</si>
  <si>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</si>
  <si>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</si>
  <si>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</si>
  <si>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</si>
  <si>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</si>
  <si>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</si>
  <si>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</si>
  <si>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</si>
  <si>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</si>
  <si>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</si>
  <si>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</si>
  <si>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</si>
  <si>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</si>
  <si>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</si>
  <si>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</si>
  <si>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</si>
  <si>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</si>
  <si>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</si>
  <si>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</si>
  <si>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</si>
  <si>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</si>
  <si>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</si>
  <si>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</si>
  <si>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</si>
  <si>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</si>
  <si>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</si>
  <si>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</si>
  <si>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</si>
  <si>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</si>
  <si>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</si>
  <si>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</si>
  <si>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</si>
  <si>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</si>
  <si>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</si>
  <si>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</si>
  <si>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</si>
  <si>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</si>
  <si>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</si>
  <si>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</si>
  <si>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</si>
  <si>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</si>
  <si>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</si>
  <si>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</si>
  <si>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</si>
  <si>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</si>
  <si>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</si>
  <si>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</si>
  <si>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</si>
  <si>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</si>
  <si>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</si>
  <si>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</si>
  <si>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</si>
  <si>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</si>
  <si>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</si>
  <si>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</si>
  <si>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</si>
  <si>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</si>
  <si>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</si>
  <si>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</si>
  <si>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</si>
  <si>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</si>
  <si>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</si>
  <si>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</si>
  <si>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</si>
  <si>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</si>
  <si>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</si>
  <si>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</si>
  <si>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</si>
  <si>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</si>
  <si>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</si>
  <si>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</si>
  <si>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</si>
  <si>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</si>
  <si>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</si>
  <si>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</si>
  <si>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</si>
  <si>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</si>
  <si>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</si>
  <si>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</si>
  <si>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</si>
  <si>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</si>
  <si>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</si>
  <si>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</si>
  <si>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</si>
  <si>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</si>
  <si>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</si>
  <si>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</si>
  <si>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</si>
  <si>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</si>
  <si>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</si>
  <si>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</si>
  <si>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</si>
  <si>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</si>
  <si>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</si>
  <si>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</si>
  <si>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</si>
  <si>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</si>
  <si>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</si>
  <si>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</si>
  <si>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</si>
  <si>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</si>
  <si>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</si>
  <si>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</si>
  <si>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</si>
  <si>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</si>
  <si>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</si>
  <si>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</si>
  <si>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</si>
  <si>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</si>
  <si>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</si>
  <si>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</si>
  <si>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</si>
  <si>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</si>
  <si>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</si>
  <si>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</si>
  <si>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</si>
  <si>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</si>
  <si>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</si>
  <si>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</si>
  <si>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</si>
  <si>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</si>
  <si>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</si>
  <si>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</si>
  <si>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</si>
  <si>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</si>
  <si>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</si>
  <si>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</si>
  <si>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</si>
  <si>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</si>
  <si>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</si>
  <si>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</si>
  <si>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</si>
  <si>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</si>
  <si>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</si>
  <si>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</si>
  <si>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</si>
  <si>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</si>
  <si>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</si>
  <si>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</si>
  <si>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</si>
  <si>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</si>
  <si>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</si>
  <si>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</si>
  <si>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</si>
  <si>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</si>
  <si>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</si>
  <si>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</si>
  <si>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</si>
  <si>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</si>
  <si>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</si>
  <si>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</si>
  <si>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</si>
  <si>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</si>
  <si>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</si>
  <si>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</si>
  <si>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</si>
  <si>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</si>
  <si>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</si>
  <si>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</si>
  <si>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</si>
  <si>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</si>
  <si>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</si>
  <si>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</si>
  <si>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</si>
  <si>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</si>
  <si>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</si>
  <si>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</si>
  <si>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</si>
  <si>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</si>
  <si>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</si>
  <si>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</si>
  <si>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</si>
  <si>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</si>
  <si>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</si>
  <si>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</si>
  <si>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</si>
  <si>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</si>
  <si>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</si>
  <si>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</si>
  <si>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</si>
  <si>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</si>
  <si>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</si>
  <si>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</si>
  <si>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</si>
  <si>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</si>
  <si>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</si>
  <si>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</si>
  <si>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</si>
  <si>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</si>
  <si>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</si>
  <si>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</si>
  <si>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</si>
  <si>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</si>
  <si>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</si>
  <si>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</si>
  <si>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</si>
  <si>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</si>
  <si>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</si>
  <si>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</si>
  <si>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</si>
  <si>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</si>
  <si>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</si>
  <si>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</si>
  <si>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</si>
  <si>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</si>
  <si>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</si>
  <si>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</si>
  <si>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</si>
  <si>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</si>
  <si>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</si>
  <si>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</si>
  <si>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</si>
  <si>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</si>
  <si>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</si>
  <si>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</si>
  <si>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</si>
  <si>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</si>
  <si>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</si>
  <si>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</si>
  <si>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</si>
  <si>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</si>
  <si>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</si>
  <si>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</si>
  <si>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</si>
  <si>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</si>
  <si>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</si>
  <si>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</si>
  <si>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</si>
  <si>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</si>
  <si>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</si>
  <si>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</si>
  <si>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</si>
  <si>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</si>
  <si>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</si>
  <si>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</si>
  <si>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</si>
  <si>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</si>
  <si>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</si>
  <si>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</si>
  <si>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</si>
  <si>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</si>
  <si>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</si>
  <si>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</si>
  <si>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</si>
  <si>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</si>
  <si>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</si>
  <si>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</si>
  <si>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</si>
  <si>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</si>
  <si>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</si>
  <si>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</si>
  <si>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</si>
  <si>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</si>
  <si>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</si>
  <si>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</si>
  <si>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</si>
  <si>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</si>
  <si>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</si>
  <si>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</si>
  <si>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</si>
  <si>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</si>
  <si>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</si>
  <si>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</si>
  <si>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</si>
  <si>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</si>
  <si>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</si>
  <si>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</si>
  <si>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</si>
  <si>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</si>
  <si>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</si>
  <si>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</si>
  <si>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</si>
  <si>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</si>
  <si>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</si>
  <si>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</si>
  <si>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</si>
  <si>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</si>
  <si>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</si>
  <si>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</si>
  <si>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</si>
  <si>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</si>
  <si>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</si>
  <si>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</si>
  <si>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</si>
  <si>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</si>
  <si>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</si>
  <si>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</si>
  <si>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</si>
  <si>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</si>
  <si>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</si>
  <si>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</si>
  <si>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</si>
  <si>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</si>
  <si>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</si>
  <si>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</si>
  <si>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</si>
  <si>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</si>
  <si>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</si>
  <si>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</si>
  <si>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</si>
  <si>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</si>
  <si>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</si>
  <si>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</si>
  <si>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</si>
  <si>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</si>
  <si>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</si>
  <si>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</si>
  <si>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</si>
  <si>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</si>
  <si>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</si>
  <si>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</si>
  <si>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</si>
  <si>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</si>
  <si>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</si>
  <si>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</si>
  <si>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</si>
  <si>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</si>
  <si>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</si>
  <si>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</si>
  <si>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</si>
  <si>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</si>
  <si>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</si>
  <si>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</si>
  <si>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</si>
  <si>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</si>
  <si>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</si>
  <si>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</si>
  <si>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</si>
  <si>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</si>
  <si>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</si>
  <si>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</si>
  <si>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</si>
  <si>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</si>
  <si>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</si>
  <si>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</si>
  <si>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</si>
  <si>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</si>
  <si>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</si>
  <si>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</si>
  <si>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</si>
  <si>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</si>
  <si>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</si>
  <si>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</si>
  <si>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</si>
  <si>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</si>
  <si>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</si>
  <si>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</si>
  <si>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</si>
  <si>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</si>
  <si>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</si>
  <si>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</si>
  <si>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</si>
  <si>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</si>
  <si>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</si>
  <si>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</si>
  <si>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</si>
  <si>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</si>
  <si>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</si>
  <si>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</si>
  <si>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</si>
  <si>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</si>
  <si>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</si>
  <si>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</si>
  <si>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</si>
  <si>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</si>
  <si>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</si>
  <si>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</si>
  <si>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</si>
  <si>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</si>
  <si>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</si>
  <si>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</si>
  <si>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</si>
  <si>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</si>
  <si>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</si>
  <si>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</si>
  <si>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</si>
  <si>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</si>
  <si>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</si>
  <si>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</si>
  <si>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</si>
  <si>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</si>
  <si>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</si>
  <si>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</si>
  <si>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</si>
  <si>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</si>
  <si>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</si>
  <si>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</si>
  <si>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</si>
  <si>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</si>
  <si>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</si>
  <si>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</si>
  <si>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</si>
  <si>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</si>
  <si>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</si>
  <si>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</si>
  <si>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</si>
  <si>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</si>
  <si>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</si>
  <si>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</si>
  <si>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</si>
  <si>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</si>
  <si>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</si>
  <si>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</si>
  <si>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</si>
  <si>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</si>
  <si>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</si>
  <si>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</si>
  <si>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</si>
  <si>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</si>
  <si>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</si>
  <si>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</si>
  <si>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</si>
  <si>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</si>
  <si>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</si>
  <si>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</si>
  <si>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</si>
  <si>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</si>
  <si>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</si>
  <si>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</si>
  <si>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</si>
  <si>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</si>
  <si>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</si>
  <si>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</si>
  <si>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</si>
  <si>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</si>
  <si>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</si>
  <si>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</si>
  <si>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</si>
  <si>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</si>
  <si>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</si>
  <si>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</si>
  <si>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</si>
  <si>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</si>
  <si>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</si>
  <si>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</si>
  <si>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</si>
  <si>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</si>
  <si>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</si>
  <si>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</si>
  <si>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</si>
  <si>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</si>
  <si>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</si>
  <si>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</si>
  <si>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</si>
  <si>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</si>
  <si>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</si>
  <si>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</si>
  <si>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</si>
  <si>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</si>
  <si>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</si>
  <si>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</si>
  <si>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</si>
  <si>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</si>
  <si>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</si>
  <si>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</si>
  <si>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</si>
  <si>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</si>
  <si>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</si>
  <si>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</si>
  <si>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</si>
  <si>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</si>
  <si>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</si>
  <si>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</si>
  <si>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</si>
  <si>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</si>
  <si>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</si>
  <si>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</si>
  <si>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</si>
  <si>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</si>
  <si>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</si>
  <si>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</si>
  <si>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</si>
  <si>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</si>
  <si>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</si>
  <si>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</si>
  <si>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</si>
  <si>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</si>
  <si>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</si>
  <si>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</si>
  <si>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</si>
  <si>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</si>
  <si>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</si>
  <si>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</si>
  <si>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</si>
  <si>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</si>
  <si>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</si>
  <si>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</si>
  <si>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</si>
  <si>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</si>
  <si>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</si>
  <si>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</si>
  <si>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</si>
  <si>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</si>
  <si>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</si>
  <si>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</si>
  <si>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</si>
  <si>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</si>
  <si>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</si>
  <si>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</si>
  <si>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</si>
  <si>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</si>
  <si>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</si>
  <si>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</si>
  <si>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</si>
  <si>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</si>
  <si>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</si>
  <si>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</si>
  <si>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</si>
  <si>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</si>
  <si>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</si>
  <si>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</si>
  <si>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</si>
  <si>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</si>
  <si>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</si>
  <si>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</si>
  <si>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</si>
  <si>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</si>
  <si>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</si>
  <si>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</si>
  <si>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</si>
  <si>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</si>
  <si>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</si>
  <si>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</si>
  <si>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</si>
  <si>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</si>
  <si>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</si>
  <si>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</si>
  <si>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</si>
  <si>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</si>
  <si>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</si>
  <si>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</si>
  <si>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</si>
  <si>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</si>
  <si>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</si>
  <si>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</si>
  <si>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</si>
  <si>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</si>
  <si>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</si>
  <si>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</si>
  <si>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</si>
  <si>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</si>
  <si>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</si>
  <si>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</si>
  <si>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</si>
  <si>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</si>
  <si>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</si>
  <si>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</si>
  <si>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</si>
  <si>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</si>
  <si>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</si>
  <si>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</si>
  <si>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</si>
  <si>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</si>
  <si>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</si>
  <si>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</si>
  <si>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</si>
  <si>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</si>
  <si>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</si>
  <si>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</si>
  <si>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</si>
  <si>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</si>
  <si>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</si>
  <si>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</si>
  <si>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</si>
  <si>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</si>
  <si>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</si>
  <si>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</si>
  <si>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</si>
  <si>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</si>
  <si>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</si>
  <si>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</si>
  <si>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</si>
  <si>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</si>
  <si>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</si>
  <si>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</si>
  <si>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</si>
  <si>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</si>
  <si>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</si>
  <si>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</si>
  <si>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</si>
  <si>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</si>
  <si>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</si>
  <si>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</si>
  <si>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</si>
  <si>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</si>
  <si>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</si>
  <si>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</si>
  <si>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</si>
  <si>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</si>
  <si>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</si>
  <si>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</si>
  <si>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</si>
  <si>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</si>
  <si>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</si>
  <si>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</si>
  <si>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</si>
  <si>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</si>
  <si>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</si>
  <si>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</si>
  <si>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</si>
  <si>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</si>
  <si>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</si>
  <si>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</si>
  <si>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</si>
  <si>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</si>
  <si>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</si>
  <si>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</si>
  <si>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</si>
  <si>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</si>
  <si>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</si>
  <si>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</si>
  <si>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</si>
  <si>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</si>
  <si>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</si>
  <si>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</si>
  <si>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</si>
  <si>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</si>
  <si>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</si>
  <si>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</si>
  <si>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</si>
  <si>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</si>
  <si>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</si>
  <si>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</si>
  <si>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</si>
  <si>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</si>
  <si>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</si>
  <si>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</si>
  <si>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</si>
  <si>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</si>
  <si>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</si>
  <si>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</si>
  <si>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</si>
  <si>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</si>
  <si>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</si>
  <si>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</si>
  <si>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</si>
  <si>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</si>
  <si>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</si>
  <si>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</si>
  <si>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</si>
  <si>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</si>
  <si>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</si>
  <si>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</si>
  <si>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</si>
  <si>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</si>
  <si>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</si>
  <si>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</si>
  <si>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</si>
  <si>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</si>
  <si>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</si>
  <si>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</si>
  <si>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</si>
  <si>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</si>
  <si>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</si>
  <si>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</si>
  <si>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</si>
  <si>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</si>
  <si>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</si>
  <si>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</si>
  <si>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</si>
  <si>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</si>
  <si>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</si>
  <si>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</si>
  <si>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</si>
  <si>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</si>
  <si>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</si>
  <si>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</si>
  <si>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</si>
  <si>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</si>
  <si>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</si>
  <si>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</si>
  <si>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</si>
  <si>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</si>
  <si>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</si>
  <si>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</si>
  <si>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</si>
  <si>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</si>
  <si>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</si>
  <si>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</si>
  <si>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</si>
  <si>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</si>
  <si>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</si>
  <si>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</si>
  <si>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</si>
  <si>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</si>
  <si>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</si>
  <si>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</si>
  <si>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</si>
  <si>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</si>
  <si>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</si>
  <si>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</si>
  <si>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</si>
  <si>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</si>
  <si>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</si>
  <si>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</si>
  <si>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</si>
  <si>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</si>
  <si>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</si>
  <si>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</si>
  <si>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</si>
  <si>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</si>
  <si>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</si>
  <si>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</si>
  <si>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</si>
  <si>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</si>
  <si>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</si>
  <si>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</si>
  <si>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</si>
  <si>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</si>
  <si>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</si>
  <si>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</si>
  <si>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</si>
  <si>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</si>
  <si>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</si>
  <si>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</si>
  <si>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</si>
  <si>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</si>
  <si>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</si>
  <si>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</si>
  <si>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</si>
  <si>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</si>
  <si>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</si>
  <si>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</si>
  <si>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</si>
  <si>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</si>
  <si>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</si>
  <si>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</si>
  <si>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</si>
  <si>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</si>
  <si>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</si>
  <si>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</si>
  <si>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</si>
  <si>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</si>
  <si>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</si>
  <si>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</si>
  <si>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</si>
  <si>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</si>
  <si>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</si>
  <si>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</si>
  <si>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</si>
  <si>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</si>
  <si>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</si>
  <si>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</si>
  <si>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</si>
  <si>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</si>
  <si>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</si>
  <si>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</si>
  <si>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</si>
  <si>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</si>
  <si>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</si>
  <si>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</si>
  <si>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</si>
  <si>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</si>
  <si>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</si>
  <si>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</si>
  <si>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</si>
  <si>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</si>
  <si>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</si>
  <si>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</si>
  <si>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</si>
  <si>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</si>
  <si>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</si>
  <si>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</si>
  <si>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</si>
  <si>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</si>
  <si>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</si>
  <si>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</si>
  <si>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</si>
  <si>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</si>
  <si>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</si>
  <si>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</si>
  <si>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</si>
  <si>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</si>
  <si>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</si>
  <si>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</si>
  <si>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</si>
  <si>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</si>
  <si>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</si>
  <si>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</si>
  <si>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</si>
  <si>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</si>
  <si>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</si>
  <si>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</si>
  <si>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</si>
  <si>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</si>
  <si>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</si>
  <si>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</si>
  <si>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</si>
  <si>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</si>
  <si>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</si>
  <si>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</si>
  <si>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</si>
  <si>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</si>
  <si>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</si>
  <si>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</si>
  <si>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</si>
  <si>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</si>
  <si>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</si>
  <si>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</si>
  <si>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</si>
  <si>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</si>
  <si>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</si>
  <si>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</si>
  <si>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</si>
  <si>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</si>
  <si>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</si>
  <si>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</si>
  <si>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</si>
  <si>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</si>
  <si>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</si>
  <si>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</si>
  <si>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</si>
  <si>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</si>
  <si>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</si>
  <si>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</si>
  <si>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</si>
  <si>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</si>
  <si>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</si>
  <si>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</si>
  <si>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</si>
  <si>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</si>
  <si>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</si>
  <si>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</si>
  <si>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</si>
  <si>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</si>
  <si>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</si>
  <si>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</si>
  <si>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</si>
  <si>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</si>
  <si>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</si>
  <si>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</si>
  <si>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</si>
  <si>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</si>
  <si>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</si>
  <si>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</si>
  <si>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</si>
  <si>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</si>
  <si>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</si>
  <si>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</si>
  <si>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</si>
  <si>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</si>
  <si>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</si>
  <si>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</si>
  <si>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</si>
  <si>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</si>
  <si>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</si>
  <si>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</si>
  <si>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</si>
  <si>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</si>
  <si>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</si>
  <si>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</si>
  <si>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</si>
  <si>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</si>
  <si>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</si>
  <si>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</si>
  <si>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</si>
  <si>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</si>
  <si>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</si>
  <si>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</si>
  <si>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</si>
  <si>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</si>
  <si>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</si>
  <si>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</si>
  <si>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</si>
  <si>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</si>
  <si>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</si>
  <si>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</si>
  <si>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</si>
  <si>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</si>
  <si>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</si>
  <si>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</si>
  <si>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</si>
  <si>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</si>
  <si>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</si>
  <si>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</si>
  <si>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</si>
  <si>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</si>
  <si>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</si>
  <si>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</si>
  <si>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</si>
  <si>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</si>
  <si>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</si>
  <si>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</si>
  <si>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</si>
  <si>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</si>
  <si>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</si>
  <si>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</si>
  <si>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</si>
  <si>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</si>
  <si>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</si>
  <si>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</si>
  <si>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</si>
  <si>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</si>
  <si>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</si>
  <si>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</si>
  <si>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</si>
  <si>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</si>
  <si>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</si>
  <si>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</si>
  <si>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</si>
  <si>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</si>
  <si>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</si>
  <si>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</si>
  <si>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</si>
  <si>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</si>
  <si>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</si>
  <si>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</si>
  <si>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</si>
  <si>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</si>
  <si>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</si>
  <si>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</si>
  <si>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</si>
  <si>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</si>
  <si>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</si>
  <si>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</si>
  <si>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</si>
  <si>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</si>
  <si>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</si>
  <si>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</si>
  <si>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</si>
  <si>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</si>
  <si>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</si>
  <si>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</si>
  <si>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</si>
  <si>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</si>
  <si>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</si>
  <si>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</si>
  <si>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</si>
  <si>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</si>
  <si>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</si>
  <si>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</si>
  <si>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</si>
  <si>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</si>
  <si>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</si>
  <si>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</si>
  <si>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</si>
  <si>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</si>
  <si>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</si>
  <si>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</si>
  <si>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</si>
  <si>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</si>
  <si>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</si>
  <si>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</si>
  <si>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</si>
  <si>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</si>
  <si>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</si>
  <si>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</si>
  <si>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</si>
  <si>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</si>
  <si>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</si>
  <si>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</si>
  <si>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</si>
  <si>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</si>
  <si>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</si>
  <si>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</si>
  <si>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</si>
  <si>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</si>
  <si>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</si>
  <si>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</si>
  <si>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</si>
  <si>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</si>
  <si>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</si>
  <si>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</si>
  <si>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</si>
  <si>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</si>
  <si>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</si>
  <si>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</si>
  <si>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</si>
  <si>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</si>
  <si>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</si>
  <si>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</si>
  <si>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</si>
  <si>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</si>
  <si>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</si>
  <si>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</si>
  <si>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</si>
  <si>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</si>
  <si>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</si>
  <si>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</si>
  <si>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</si>
  <si>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</si>
  <si>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</si>
  <si>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</si>
  <si>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</si>
  <si>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</si>
  <si>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</si>
  <si>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</si>
  <si>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</si>
  <si>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</si>
  <si>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</si>
  <si>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</si>
  <si>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</si>
  <si>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</si>
  <si>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</si>
  <si>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</si>
  <si>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</si>
  <si>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</si>
  <si>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</si>
  <si>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</si>
  <si>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</si>
  <si>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</si>
  <si>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</si>
  <si>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</si>
  <si>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</si>
  <si>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</si>
  <si>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</si>
  <si>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</si>
  <si>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</si>
  <si>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</si>
  <si>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</si>
  <si>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</si>
  <si>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</si>
  <si>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</si>
  <si>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</si>
  <si>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</si>
  <si>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</si>
  <si>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</si>
  <si>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</si>
  <si>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</si>
  <si>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</si>
  <si>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</si>
  <si>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</si>
  <si>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</si>
  <si>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</si>
  <si>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</si>
  <si>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</si>
  <si>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</si>
  <si>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</si>
  <si>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</si>
  <si>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</si>
  <si>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</si>
  <si>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</si>
  <si>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</si>
  <si>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</si>
  <si>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</si>
  <si>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</si>
  <si>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</si>
  <si>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</si>
  <si>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</si>
  <si>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</si>
  <si>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</si>
  <si>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</si>
  <si>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</si>
  <si>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</si>
  <si>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</si>
  <si>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</si>
  <si>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</si>
  <si>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</si>
  <si>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</si>
  <si>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</si>
  <si>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</si>
  <si>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</si>
  <si>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</si>
  <si>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</si>
  <si>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</si>
  <si>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</si>
  <si>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</si>
  <si>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</si>
  <si>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</si>
  <si>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</si>
  <si>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</si>
  <si>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</si>
  <si>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</si>
  <si>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</si>
  <si>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</si>
  <si>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</si>
  <si>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</si>
  <si>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</si>
  <si>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</si>
  <si>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</si>
  <si>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</si>
  <si>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</si>
  <si>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</si>
  <si>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</si>
  <si>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</si>
  <si>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</si>
  <si>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</si>
  <si>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</si>
  <si>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</si>
  <si>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</si>
  <si>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</si>
  <si>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</si>
  <si>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</si>
  <si>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</si>
  <si>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</si>
  <si>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</si>
  <si>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</si>
  <si>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</si>
  <si>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</si>
  <si>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</si>
  <si>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</si>
  <si>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</si>
  <si>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</si>
  <si>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</si>
  <si>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</si>
  <si>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</si>
  <si>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</si>
  <si>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</si>
  <si>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</si>
  <si>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</si>
  <si>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</si>
  <si>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</si>
  <si>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</si>
  <si>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</si>
  <si>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</si>
  <si>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</si>
  <si>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</si>
  <si>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</si>
  <si>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</si>
  <si>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</si>
  <si>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</si>
  <si>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</si>
  <si>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</si>
  <si>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</si>
  <si>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</si>
  <si>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</si>
  <si>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</si>
  <si>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</si>
  <si>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</si>
  <si>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</si>
  <si>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</si>
  <si>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</si>
  <si>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</si>
  <si>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</si>
  <si>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</si>
  <si>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</si>
  <si>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</si>
  <si>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</si>
  <si>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</si>
  <si>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</si>
  <si>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</si>
  <si>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</si>
  <si>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</si>
  <si>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</si>
  <si>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</si>
  <si>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</si>
  <si>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</si>
  <si>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</si>
  <si>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</si>
  <si>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</si>
  <si>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</si>
  <si>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</si>
  <si>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</si>
  <si>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</si>
  <si>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</si>
  <si>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</si>
  <si>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</si>
  <si>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</si>
  <si>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</si>
  <si>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</si>
  <si>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</si>
  <si>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</si>
  <si>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</si>
  <si>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</si>
  <si>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</si>
  <si>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</si>
  <si>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</si>
  <si>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</si>
  <si>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</si>
  <si>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</si>
  <si>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</si>
  <si>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</si>
  <si>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</si>
  <si>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</si>
  <si>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</si>
  <si>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</si>
  <si>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</si>
  <si>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</si>
  <si>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</si>
  <si>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</si>
  <si>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</si>
  <si>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</si>
  <si>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</si>
  <si>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</si>
  <si>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</si>
  <si>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</si>
  <si>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</si>
  <si>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</si>
  <si>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</si>
  <si>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</si>
  <si>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</si>
  <si>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</si>
  <si>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</si>
  <si>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</si>
  <si>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</si>
  <si>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</si>
  <si>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</si>
  <si>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</si>
  <si>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</si>
  <si>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</si>
  <si>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</si>
  <si>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</si>
  <si>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</si>
  <si>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</si>
  <si>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</si>
  <si>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</si>
  <si>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</si>
  <si>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</si>
  <si>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</si>
  <si>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</si>
  <si>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</si>
  <si>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</si>
  <si>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</si>
  <si>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</si>
  <si>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</si>
  <si>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</si>
  <si>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</si>
  <si>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</si>
  <si>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</si>
  <si>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</si>
  <si>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</si>
  <si>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</si>
  <si>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</si>
  <si>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</si>
  <si>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</si>
  <si>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</si>
  <si>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</si>
  <si>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</si>
  <si>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</si>
  <si>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</si>
  <si>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</si>
  <si>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</si>
  <si>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</si>
  <si>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</si>
  <si>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</si>
  <si>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</si>
  <si>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</si>
  <si>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</si>
  <si>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</si>
  <si>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</si>
  <si>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</si>
  <si>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</si>
  <si>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</si>
  <si>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</si>
  <si>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</si>
  <si>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</si>
  <si>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</si>
  <si>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</si>
  <si>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</si>
  <si>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</si>
  <si>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</si>
  <si>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</si>
  <si>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</si>
  <si>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</si>
  <si>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</si>
  <si>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</si>
  <si>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</si>
  <si>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</si>
  <si>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</si>
  <si>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</si>
  <si>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</si>
  <si>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</si>
  <si>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</si>
  <si>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</si>
  <si>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</si>
  <si>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</si>
  <si>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</si>
  <si>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</si>
  <si>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</si>
  <si>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</si>
  <si>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</si>
  <si>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</si>
  <si>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</si>
  <si>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</si>
  <si>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</si>
  <si>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</si>
  <si>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</si>
  <si>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</si>
  <si>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</si>
  <si>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</si>
  <si>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</si>
  <si>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</si>
  <si>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</si>
  <si>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</si>
  <si>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</si>
  <si>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</si>
  <si>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</si>
  <si>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</si>
  <si>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</si>
  <si>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</si>
  <si>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</si>
  <si>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</si>
  <si>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</si>
  <si>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</si>
  <si>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</si>
  <si>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</si>
  <si>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</si>
  <si>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</si>
  <si>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</si>
  <si>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</si>
  <si>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</si>
  <si>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</si>
  <si>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</si>
  <si>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</si>
  <si>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</si>
  <si>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</si>
  <si>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</si>
  <si>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</si>
  <si>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</si>
  <si>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</si>
  <si>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</si>
  <si>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</si>
  <si>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</si>
  <si>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</si>
  <si>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</si>
  <si>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</si>
  <si>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</si>
  <si>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</si>
  <si>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</si>
  <si>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</si>
  <si>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</si>
  <si>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</si>
  <si>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</si>
  <si>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</si>
  <si>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</si>
  <si>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</si>
  <si>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</si>
  <si>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</si>
  <si>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</si>
  <si>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</si>
  <si>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</si>
  <si>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</si>
  <si>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</si>
  <si>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</si>
  <si>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</si>
  <si>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</si>
  <si>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</si>
  <si>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</si>
  <si>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</si>
  <si>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</si>
  <si>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</si>
  <si>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</si>
  <si>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</si>
  <si>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</si>
  <si>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</si>
  <si>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</si>
  <si>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</si>
  <si>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</si>
  <si>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</si>
  <si>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</si>
  <si>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</si>
  <si>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</si>
  <si>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</si>
  <si>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</si>
  <si>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</si>
  <si>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</si>
  <si>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</si>
  <si>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</si>
  <si>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</si>
  <si>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</si>
  <si>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</si>
  <si>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</si>
  <si>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</si>
  <si>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</si>
  <si>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</si>
  <si>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</si>
  <si>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</si>
  <si>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</si>
  <si>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</si>
  <si>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</si>
  <si>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</si>
  <si>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</si>
  <si>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</si>
  <si>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</si>
  <si>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</si>
  <si>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</si>
  <si>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</si>
  <si>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</si>
  <si>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</si>
  <si>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</si>
  <si>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</si>
  <si>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</si>
  <si>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</si>
  <si>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</si>
  <si>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</si>
  <si>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</si>
  <si>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</si>
  <si>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</si>
  <si>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</si>
  <si>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</si>
  <si>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</si>
  <si>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</si>
  <si>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</si>
  <si>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</si>
  <si>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</si>
  <si>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</si>
  <si>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</si>
  <si>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</si>
  <si>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</si>
  <si>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</si>
  <si>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</si>
  <si>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</si>
  <si>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</si>
  <si>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</si>
  <si>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</si>
  <si>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</si>
  <si>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</si>
  <si>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</si>
  <si>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</si>
  <si>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</si>
  <si>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</si>
  <si>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</si>
  <si>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</si>
  <si>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</si>
  <si>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</si>
  <si>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</si>
  <si>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</si>
  <si>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</si>
  <si>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</si>
  <si>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</si>
  <si>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</si>
  <si>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</si>
  <si>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</si>
  <si>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</si>
  <si>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</si>
  <si>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</si>
  <si>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</si>
  <si>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</si>
  <si>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</si>
  <si>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</si>
  <si>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</si>
  <si>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</si>
  <si>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</si>
  <si>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</si>
  <si>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</si>
  <si>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</si>
  <si>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</si>
  <si>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</si>
  <si>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</si>
  <si>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</si>
  <si>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</si>
  <si>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</si>
  <si>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</si>
  <si>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</si>
  <si>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</si>
  <si>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</si>
  <si>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</si>
  <si>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</si>
  <si>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</si>
  <si>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</si>
  <si>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</si>
  <si>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</si>
  <si>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</si>
  <si>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</si>
  <si>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</si>
  <si>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</si>
  <si>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</si>
  <si>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</si>
  <si>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</si>
  <si>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</si>
  <si>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</si>
  <si>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</si>
  <si>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</si>
  <si>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</si>
  <si>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</si>
  <si>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</si>
  <si>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</si>
  <si>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</si>
  <si>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</si>
  <si>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</si>
  <si>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</si>
  <si>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</si>
  <si>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</si>
  <si>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</si>
  <si>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</si>
  <si>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</si>
  <si>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</si>
  <si>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</si>
  <si>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</si>
  <si>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</si>
  <si>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</si>
  <si>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</si>
  <si>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</si>
  <si>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</si>
  <si>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</si>
  <si>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</si>
  <si>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</si>
  <si>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</si>
  <si>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</si>
  <si>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</si>
  <si>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</si>
  <si>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</si>
  <si>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</si>
  <si>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</si>
  <si>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</si>
  <si>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</si>
  <si>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</si>
  <si>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</si>
  <si>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</si>
  <si>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</si>
  <si>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</si>
  <si>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</si>
  <si>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</si>
  <si>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</si>
  <si>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</si>
  <si>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</si>
  <si>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</si>
  <si>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</si>
  <si>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</si>
  <si>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</si>
  <si>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</si>
  <si>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</si>
  <si>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</si>
  <si>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</si>
  <si>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</si>
  <si>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</si>
  <si>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</si>
  <si>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</si>
  <si>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</si>
  <si>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</si>
  <si>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</si>
  <si>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</si>
  <si>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</si>
  <si>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</si>
  <si>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</si>
  <si>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</si>
  <si>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</si>
  <si>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</si>
  <si>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</si>
  <si>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</si>
  <si>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</si>
  <si>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</si>
  <si>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</si>
  <si>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</si>
  <si>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</si>
  <si>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</si>
  <si>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</si>
  <si>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</si>
  <si>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</si>
  <si>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</si>
  <si>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</si>
  <si>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</si>
  <si>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</si>
  <si>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</si>
  <si>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</si>
  <si>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</si>
  <si>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</si>
  <si>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</si>
  <si>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</si>
  <si>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</si>
  <si>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</si>
  <si>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</si>
  <si>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</si>
  <si>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</si>
  <si>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</si>
  <si>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</si>
  <si>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</si>
  <si>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</si>
  <si>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</si>
  <si>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</si>
  <si>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</si>
  <si>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</si>
  <si>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</si>
  <si>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</si>
  <si>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</si>
  <si>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</si>
  <si>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</si>
  <si>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</si>
  <si>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</si>
  <si>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</si>
  <si>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</si>
  <si>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</si>
  <si>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</si>
  <si>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</si>
  <si>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</si>
  <si>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</si>
  <si>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</si>
  <si>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</si>
  <si>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</si>
  <si>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</si>
  <si>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</si>
  <si>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</si>
  <si>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</si>
  <si>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</si>
  <si>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</si>
  <si>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</si>
  <si>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</si>
  <si>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</si>
  <si>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</si>
  <si>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</si>
  <si>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</si>
  <si>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</si>
  <si>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</si>
  <si>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</si>
  <si>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</si>
  <si>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</si>
  <si>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</si>
  <si>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</si>
  <si>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</si>
  <si>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</si>
  <si>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</si>
  <si>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</si>
  <si>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</si>
  <si>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</si>
  <si>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</si>
  <si>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</si>
  <si>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</si>
  <si>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</si>
  <si>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</si>
  <si>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</si>
  <si>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</si>
  <si>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</si>
  <si>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</si>
  <si>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</si>
  <si>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</si>
  <si>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</si>
  <si>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</si>
  <si>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</si>
  <si>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</si>
  <si>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</si>
  <si>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</si>
  <si>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</si>
  <si>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</si>
  <si>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</si>
  <si>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</si>
  <si>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</si>
  <si>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</si>
  <si>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</si>
  <si>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</si>
  <si>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</si>
  <si>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</si>
  <si>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</si>
  <si>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</si>
  <si>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</si>
  <si>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</si>
  <si>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</si>
  <si>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</si>
  <si>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</si>
  <si>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</si>
  <si>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</si>
  <si>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</si>
  <si>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</si>
  <si>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</si>
  <si>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</si>
  <si>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</si>
  <si>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</si>
  <si>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</si>
  <si>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</si>
  <si>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</si>
  <si>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</si>
  <si>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</si>
  <si>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</si>
  <si>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</si>
  <si>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</si>
  <si>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</si>
  <si>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</si>
  <si>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</si>
  <si>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</si>
  <si>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</si>
  <si>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</si>
  <si>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</si>
  <si>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</si>
  <si>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</si>
  <si>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</si>
  <si>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</si>
  <si>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</si>
  <si>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</si>
  <si>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</si>
  <si>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</si>
  <si>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</si>
  <si>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</si>
  <si>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</si>
  <si>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</si>
  <si>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</si>
  <si>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</si>
  <si>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</si>
  <si>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</si>
  <si>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</si>
  <si>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</si>
  <si>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</si>
  <si>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</si>
  <si>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</si>
  <si>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</si>
  <si>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</si>
  <si>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</si>
  <si>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</si>
  <si>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</si>
  <si>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</si>
  <si>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</si>
  <si>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</si>
  <si>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</si>
  <si>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</si>
  <si>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</si>
  <si>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</si>
  <si>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</si>
  <si>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</si>
  <si>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</si>
  <si>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</si>
  <si>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</si>
  <si>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</si>
  <si>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</si>
  <si>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</si>
  <si>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</si>
  <si>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</si>
  <si>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</si>
  <si>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</si>
  <si>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</si>
  <si>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</si>
  <si>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</si>
  <si>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</si>
  <si>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</si>
  <si>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</si>
  <si>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</si>
  <si>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</si>
  <si>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</si>
  <si>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</si>
  <si>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</si>
  <si>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</si>
  <si>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</si>
  <si>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</si>
  <si>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</si>
  <si>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</si>
  <si>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</si>
  <si>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</si>
  <si>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</si>
  <si>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</si>
  <si>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</si>
  <si>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</si>
  <si>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</si>
  <si>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</si>
  <si>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</si>
  <si>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</si>
  <si>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</si>
  <si>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</si>
  <si>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</si>
  <si>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</si>
  <si>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</si>
  <si>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</si>
  <si>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</si>
  <si>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</si>
  <si>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</si>
  <si>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</si>
  <si>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</si>
  <si>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</si>
  <si>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</si>
  <si>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</si>
  <si>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</si>
  <si>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</si>
  <si>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</si>
  <si>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</si>
  <si>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</si>
  <si>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</si>
  <si>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</si>
  <si>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</si>
  <si>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</si>
  <si>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</si>
  <si>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</si>
  <si>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</si>
  <si>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</si>
  <si>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</si>
  <si>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</si>
  <si>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</si>
  <si>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</si>
  <si>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</si>
  <si>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</si>
  <si>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</si>
  <si>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</si>
  <si>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</si>
  <si>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</si>
  <si>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</si>
  <si>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</si>
  <si>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</si>
  <si>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</si>
  <si>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</si>
  <si>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</si>
  <si>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</si>
  <si>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</si>
  <si>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</si>
  <si>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</si>
  <si>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</si>
  <si>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</si>
  <si>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</si>
  <si>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</si>
  <si>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</si>
  <si>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</si>
  <si>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</si>
  <si>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</si>
  <si>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</si>
  <si>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</si>
  <si>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</si>
  <si>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</si>
  <si>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</si>
  <si>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</si>
  <si>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</si>
  <si>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</si>
  <si>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</si>
  <si>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</si>
  <si>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</si>
  <si>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</si>
  <si>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</si>
  <si>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</si>
  <si>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</si>
  <si>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</si>
  <si>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</si>
  <si>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</si>
  <si>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</si>
  <si>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</si>
  <si>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</si>
  <si>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</si>
  <si>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</si>
  <si>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</si>
  <si>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</si>
  <si>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</si>
  <si>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</si>
  <si>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</si>
  <si>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</si>
  <si>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</si>
  <si>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</si>
  <si>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</si>
  <si>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</si>
  <si>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</si>
  <si>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</si>
  <si>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</si>
  <si>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</si>
  <si>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</si>
  <si>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</si>
  <si>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</si>
  <si>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</si>
  <si>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</si>
  <si>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</si>
  <si>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</si>
  <si>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</si>
  <si>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</si>
  <si>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</si>
  <si>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</si>
  <si>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</si>
  <si>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</si>
  <si>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</si>
  <si>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</si>
  <si>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</si>
  <si>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</si>
  <si>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</si>
  <si>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</si>
  <si>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</si>
  <si>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</si>
  <si>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</si>
  <si>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</si>
  <si>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</si>
  <si>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</si>
  <si>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</si>
  <si>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</si>
  <si>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</si>
  <si>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</si>
  <si>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</si>
  <si>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</si>
  <si>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</si>
  <si>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</si>
  <si>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</si>
  <si>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</si>
  <si>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</si>
  <si>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</si>
  <si>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</si>
  <si>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</si>
  <si>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</si>
  <si>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</si>
  <si>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</si>
  <si>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</si>
  <si>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</si>
  <si>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</si>
  <si>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</si>
  <si>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</si>
  <si>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</si>
  <si>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</si>
  <si>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</si>
  <si>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</si>
  <si>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</si>
  <si>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</si>
  <si>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</si>
  <si>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</si>
  <si>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</si>
  <si>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</si>
  <si>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</si>
  <si>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</si>
  <si>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</si>
  <si>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</si>
  <si>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</si>
  <si>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</si>
  <si>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</si>
  <si>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</si>
  <si>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</si>
  <si>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</si>
  <si>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</si>
  <si>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</si>
  <si>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</si>
  <si>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</si>
  <si>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</si>
  <si>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</si>
  <si>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</si>
  <si>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</si>
  <si>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</si>
  <si>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</si>
  <si>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</si>
  <si>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</si>
  <si>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</si>
  <si>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</si>
  <si>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</si>
  <si>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</si>
  <si>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</si>
  <si>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</si>
  <si>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</si>
  <si>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</si>
  <si>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</si>
  <si>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</si>
  <si>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</si>
  <si>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</si>
  <si>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</si>
  <si>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</si>
  <si>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</si>
  <si>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</si>
  <si>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</si>
  <si>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</si>
  <si>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</si>
  <si>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</si>
  <si>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</si>
  <si>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</si>
  <si>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</si>
  <si>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</si>
  <si>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</si>
  <si>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</si>
  <si>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</si>
  <si>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</si>
  <si>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</si>
  <si>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</si>
  <si>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</si>
  <si>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</si>
  <si>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</si>
  <si>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</si>
  <si>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</si>
  <si>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</si>
  <si>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</si>
  <si>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</si>
  <si>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</si>
  <si>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</si>
  <si>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</si>
  <si>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</si>
  <si>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</si>
  <si>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</si>
  <si>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</si>
  <si>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</si>
  <si>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</si>
  <si>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</si>
  <si>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</si>
  <si>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</si>
  <si>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</si>
  <si>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</si>
  <si>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</si>
  <si>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</si>
  <si>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</si>
  <si>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</si>
  <si>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</si>
  <si>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</si>
  <si>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</si>
  <si>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</si>
  <si>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</si>
  <si>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</si>
  <si>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</si>
  <si>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</si>
  <si>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</si>
  <si>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</si>
  <si>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</si>
  <si>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</si>
  <si>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</si>
  <si>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</si>
  <si>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</si>
  <si>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</si>
  <si>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</si>
  <si>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</si>
  <si>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</si>
  <si>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</si>
  <si>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</si>
  <si>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</si>
  <si>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</si>
  <si>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</si>
  <si>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</si>
  <si>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</si>
  <si>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</si>
  <si>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</si>
  <si>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</si>
  <si>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</si>
  <si>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</si>
  <si>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</si>
  <si>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</si>
  <si>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</si>
  <si>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</si>
  <si>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</si>
  <si>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</si>
  <si>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</si>
  <si>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</si>
  <si>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</si>
  <si>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</si>
  <si>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</si>
  <si>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</si>
  <si>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</si>
  <si>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</si>
  <si>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</si>
  <si>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</si>
  <si>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</si>
  <si>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</si>
  <si>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</si>
  <si>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</si>
  <si>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</si>
  <si>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</si>
  <si>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</si>
  <si>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</si>
  <si>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</si>
  <si>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</si>
  <si>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</si>
  <si>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</si>
  <si>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</si>
  <si>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</si>
  <si>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</si>
  <si>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</si>
  <si>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</si>
  <si>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</si>
  <si>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</si>
  <si>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</si>
  <si>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</si>
  <si>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</si>
  <si>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</si>
  <si>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</si>
  <si>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</si>
  <si>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</si>
  <si>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</si>
  <si>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</si>
  <si>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</si>
  <si>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</si>
  <si>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</si>
  <si>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</si>
  <si>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</si>
  <si>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</si>
  <si>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</si>
  <si>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</si>
  <si>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</si>
  <si>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</si>
  <si>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</si>
  <si>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</si>
  <si>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</si>
  <si>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</si>
  <si>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</si>
  <si>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</si>
  <si>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</si>
  <si>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</si>
  <si>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</si>
  <si>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</si>
  <si>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</si>
  <si>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</si>
  <si>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</si>
  <si>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</si>
  <si>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</si>
  <si>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</si>
  <si>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</si>
  <si>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</si>
  <si>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</si>
  <si>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</si>
  <si>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</si>
  <si>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</si>
  <si>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</si>
  <si>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</si>
  <si>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</si>
  <si>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</si>
  <si>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</si>
  <si>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</si>
  <si>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</si>
  <si>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</si>
  <si>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</si>
  <si>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</si>
  <si>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</si>
  <si>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</si>
  <si>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</si>
  <si>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</si>
  <si>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</si>
  <si>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</si>
  <si>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</si>
  <si>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</si>
  <si>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</si>
  <si>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</si>
  <si>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</si>
  <si>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</si>
  <si>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</si>
  <si>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</si>
  <si>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</si>
  <si>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</si>
  <si>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</si>
  <si>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</si>
  <si>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</si>
  <si>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</si>
  <si>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</si>
  <si>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</si>
  <si>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</si>
  <si>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</si>
  <si>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</si>
  <si>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</si>
  <si>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</si>
  <si>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</si>
  <si>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</si>
  <si>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</si>
  <si>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</si>
  <si>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</si>
  <si>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</si>
  <si>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</si>
  <si>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</si>
  <si>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</si>
  <si>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</si>
  <si>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</si>
  <si>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</si>
  <si>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</si>
  <si>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</si>
  <si>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</si>
  <si>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</si>
  <si>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</si>
  <si>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</si>
  <si>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</si>
  <si>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</si>
  <si>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</si>
  <si>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</si>
  <si>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</si>
  <si>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</si>
  <si>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</si>
  <si>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</si>
  <si>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</si>
  <si>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</si>
  <si>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</si>
  <si>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</si>
  <si>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</si>
  <si>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</si>
  <si>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</si>
  <si>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</si>
  <si>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</si>
  <si>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</si>
  <si>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</si>
  <si>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</si>
  <si>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</si>
  <si>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</si>
  <si>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</si>
  <si>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</si>
  <si>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</si>
  <si>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</si>
  <si>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</si>
  <si>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</si>
  <si>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</si>
  <si>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</si>
  <si>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</si>
  <si>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</si>
  <si>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</si>
  <si>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</si>
  <si>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</si>
  <si>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</si>
  <si>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</si>
  <si>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</si>
  <si>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</si>
  <si>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</si>
  <si>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</si>
  <si>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</si>
  <si>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</si>
  <si>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</si>
  <si>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</si>
  <si>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</si>
  <si>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</si>
  <si>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</si>
  <si>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</si>
  <si>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</si>
  <si>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</si>
  <si>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</si>
  <si>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</si>
  <si>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</si>
  <si>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</si>
  <si>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</si>
  <si>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</si>
  <si>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</si>
  <si>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</si>
  <si>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</si>
  <si>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</si>
  <si>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</si>
  <si>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</si>
  <si>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</si>
  <si>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</si>
  <si>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</si>
  <si>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</si>
  <si>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</si>
  <si>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</si>
  <si>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</si>
  <si>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</si>
  <si>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</si>
  <si>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</si>
  <si>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</si>
  <si>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</si>
  <si>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</si>
  <si>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</si>
  <si>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</si>
  <si>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</si>
  <si>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</si>
  <si>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</si>
  <si>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</si>
  <si>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</si>
  <si>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</si>
  <si>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</si>
  <si>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</si>
  <si>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</si>
  <si>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</si>
  <si>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</si>
  <si>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</si>
  <si>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</si>
  <si>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</si>
  <si>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</si>
  <si>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</si>
  <si>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</si>
  <si>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</si>
  <si>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</si>
  <si>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</si>
  <si>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</si>
  <si>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</si>
  <si>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</si>
  <si>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</si>
  <si>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</si>
  <si>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</si>
  <si>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</si>
  <si>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</si>
  <si>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</si>
  <si>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</si>
  <si>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</si>
  <si>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</si>
  <si>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</si>
  <si>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</si>
  <si>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</si>
  <si>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</si>
  <si>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</si>
  <si>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</si>
  <si>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</si>
  <si>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</si>
  <si>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</si>
  <si>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</si>
  <si>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</si>
  <si>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</si>
  <si>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</si>
  <si>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</si>
  <si>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</si>
  <si>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</si>
  <si>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</si>
  <si>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</si>
  <si>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</si>
  <si>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</si>
  <si>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</si>
  <si>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</si>
  <si>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</si>
  <si>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</si>
  <si>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</si>
  <si>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</si>
  <si>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</si>
  <si>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</si>
  <si>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</si>
  <si>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</si>
  <si>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</si>
  <si>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</si>
  <si>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</si>
  <si>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</si>
  <si>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</si>
  <si>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</si>
  <si>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</si>
  <si>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</si>
  <si>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</si>
  <si>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</si>
  <si>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</si>
  <si>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</si>
  <si>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</si>
  <si>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</si>
  <si>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</si>
  <si>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</si>
  <si>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</si>
  <si>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</si>
  <si>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</si>
  <si>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</si>
  <si>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</si>
  <si>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</si>
  <si>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</si>
  <si>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</si>
  <si>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</si>
  <si>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</si>
  <si>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</si>
  <si>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</si>
  <si>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</si>
  <si>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</si>
  <si>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</si>
  <si>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</si>
  <si>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</si>
  <si>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</si>
  <si>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</si>
  <si>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</si>
  <si>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</si>
  <si>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</si>
  <si>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</si>
  <si>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</si>
  <si>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</si>
  <si>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</si>
  <si>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</si>
  <si>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</si>
  <si>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</si>
  <si>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</si>
  <si>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</si>
  <si>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</si>
  <si>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</si>
  <si>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</si>
  <si>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</si>
  <si>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</si>
  <si>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</si>
  <si>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</si>
  <si>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</si>
  <si>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</si>
  <si>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</si>
  <si>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</si>
  <si>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</si>
  <si>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</si>
  <si>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</si>
  <si>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</si>
  <si>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</si>
  <si>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</si>
  <si>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</si>
  <si>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</si>
  <si>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</si>
  <si>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</si>
  <si>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</si>
  <si>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</si>
  <si>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</si>
  <si>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</si>
  <si>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</si>
  <si>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</si>
  <si>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</si>
  <si>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</si>
  <si>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</si>
  <si>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</si>
  <si>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</si>
  <si>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</si>
  <si>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</si>
  <si>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</si>
  <si>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</si>
  <si>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</si>
  <si>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</si>
  <si>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</si>
  <si>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</si>
  <si>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</si>
  <si>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</si>
  <si>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</si>
  <si>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</si>
  <si>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</si>
  <si>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</si>
  <si>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</si>
  <si>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</si>
  <si>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</si>
  <si>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</si>
  <si>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</si>
  <si>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</si>
  <si>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</si>
  <si>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</si>
  <si>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</si>
  <si>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</si>
  <si>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</si>
  <si>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</si>
  <si>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</si>
  <si>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</si>
  <si>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</si>
  <si>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</si>
  <si>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</si>
  <si>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</si>
  <si>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</si>
  <si>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</si>
  <si>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</si>
  <si>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</si>
  <si>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</si>
  <si>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</si>
  <si>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</si>
  <si>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</si>
  <si>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</si>
  <si>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</si>
  <si>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</si>
  <si>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</si>
  <si>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</si>
  <si>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</si>
  <si>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</si>
  <si>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</si>
  <si>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</si>
  <si>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</si>
  <si>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</si>
  <si>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</si>
  <si>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</si>
  <si>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</si>
  <si>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</si>
  <si>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</si>
  <si>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</si>
  <si>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</si>
  <si>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</si>
  <si>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</si>
  <si>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</si>
  <si>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</si>
  <si>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</si>
  <si>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</si>
  <si>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</si>
  <si>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</si>
  <si>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</si>
  <si>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</si>
  <si>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</si>
  <si>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</si>
  <si>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</si>
  <si>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</si>
  <si>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</si>
  <si>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</si>
  <si>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</si>
  <si>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</si>
  <si>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</si>
  <si>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</si>
  <si>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</si>
  <si>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</si>
  <si>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</si>
  <si>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</si>
  <si>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</si>
  <si>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</si>
  <si>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</si>
  <si>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</si>
  <si>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</si>
  <si>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</si>
  <si>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</si>
  <si>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</si>
  <si>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</si>
  <si>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</si>
  <si>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</si>
  <si>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</si>
  <si>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</si>
  <si>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</si>
  <si>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</si>
  <si>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</si>
  <si>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</si>
  <si>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</si>
  <si>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</si>
  <si>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</si>
  <si>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</si>
  <si>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</si>
  <si>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</si>
  <si>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</si>
  <si>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</si>
  <si>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</si>
  <si>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</si>
  <si>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</si>
  <si>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</si>
  <si>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</si>
  <si>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</si>
  <si>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</si>
  <si>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</si>
  <si>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</si>
  <si>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</si>
  <si>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</si>
  <si>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</si>
  <si>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</si>
  <si>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</si>
  <si>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</si>
  <si>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</si>
  <si>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</si>
  <si>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</si>
  <si>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</si>
  <si>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</si>
  <si>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</si>
  <si>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</si>
  <si>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</si>
  <si>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</si>
  <si>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</si>
  <si>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</si>
  <si>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</si>
  <si>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</si>
  <si>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</si>
  <si>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</si>
  <si>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</si>
  <si>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</si>
  <si>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</si>
  <si>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</si>
  <si>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</si>
  <si>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</si>
  <si>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</si>
  <si>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</si>
  <si>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</si>
  <si>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</si>
  <si>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</si>
  <si>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</si>
  <si>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</si>
  <si>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</si>
  <si>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</si>
  <si>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</si>
  <si>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</si>
  <si>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</si>
  <si>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</si>
  <si>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</si>
  <si>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</si>
  <si>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</si>
  <si>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</si>
  <si>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</si>
  <si>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</si>
  <si>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</si>
  <si>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</si>
  <si>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</si>
  <si>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</si>
  <si>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</si>
  <si>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</si>
  <si>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</si>
  <si>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</si>
  <si>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</si>
  <si>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</si>
  <si>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</si>
  <si>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</si>
  <si>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</si>
  <si>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</si>
  <si>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</si>
  <si>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</si>
  <si>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</si>
  <si>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</si>
  <si>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</si>
  <si>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</si>
  <si>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</si>
  <si>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</si>
  <si>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</si>
  <si>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</si>
  <si>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</si>
  <si>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</si>
  <si>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</si>
  <si>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</si>
  <si>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</si>
  <si>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</si>
  <si>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</si>
  <si>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</si>
  <si>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</si>
  <si>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</si>
  <si>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</si>
  <si>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</si>
  <si>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</si>
  <si>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</si>
  <si>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</si>
  <si>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</si>
  <si>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</si>
  <si>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</si>
  <si>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</si>
  <si>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</si>
  <si>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</si>
  <si>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</si>
  <si>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</si>
  <si>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</si>
  <si>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</si>
  <si>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</si>
  <si>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</si>
  <si>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</si>
  <si>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</si>
  <si>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</si>
  <si>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</si>
  <si>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</si>
  <si>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</si>
  <si>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</si>
  <si>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</si>
  <si>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</si>
  <si>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</si>
  <si>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</si>
  <si>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</si>
  <si>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</si>
  <si>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</si>
  <si>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</si>
  <si>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</si>
  <si>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</si>
  <si>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</si>
  <si>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</si>
  <si>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</si>
  <si>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</si>
  <si>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</si>
  <si>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</si>
  <si>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</si>
  <si>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</si>
  <si>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</si>
  <si>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</si>
  <si>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</si>
  <si>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</si>
  <si>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</si>
  <si>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</si>
  <si>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</si>
  <si>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</si>
  <si>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</si>
  <si>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</si>
  <si>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</si>
  <si>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</si>
  <si>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</si>
  <si>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</si>
  <si>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</si>
  <si>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</si>
  <si>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</si>
  <si>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</si>
  <si>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</si>
  <si>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</si>
  <si>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</si>
  <si>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</si>
  <si>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</si>
  <si>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</si>
  <si>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</si>
  <si>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</si>
  <si>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</si>
  <si>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</si>
  <si>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</si>
  <si>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</si>
  <si>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</si>
  <si>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</si>
  <si>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</si>
  <si>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</si>
  <si>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</si>
  <si>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</si>
  <si>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</si>
  <si>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</si>
  <si>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</si>
  <si>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</si>
  <si>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</si>
  <si>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</si>
  <si>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</si>
  <si>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</si>
  <si>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</si>
  <si>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</si>
  <si>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</si>
  <si>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</si>
  <si>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</si>
  <si>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</si>
  <si>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</si>
  <si>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</si>
  <si>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</si>
  <si>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</si>
  <si>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</si>
  <si>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</si>
  <si>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</si>
  <si>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</si>
  <si>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</si>
  <si>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</si>
  <si>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</si>
  <si>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</si>
  <si>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</si>
  <si>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</si>
  <si>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</si>
  <si>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</si>
  <si>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</si>
  <si>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</si>
  <si>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</si>
  <si>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</si>
  <si>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</si>
  <si>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</si>
  <si>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</si>
  <si>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</si>
  <si>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</si>
  <si>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</si>
  <si>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</si>
  <si>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</si>
  <si>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</si>
  <si>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</si>
  <si>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</si>
  <si>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</si>
  <si>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</si>
  <si>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</si>
  <si>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</si>
  <si>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</si>
  <si>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</si>
  <si>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</si>
  <si>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</si>
  <si>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</si>
  <si>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</si>
  <si>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</si>
  <si>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</si>
  <si>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</si>
  <si>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</si>
  <si>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</si>
  <si>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</si>
  <si>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</si>
  <si>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</si>
  <si>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</si>
  <si>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</si>
  <si>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</si>
  <si>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</si>
  <si>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</si>
  <si>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</si>
  <si>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</si>
  <si>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</si>
  <si>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</si>
  <si>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</si>
  <si>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</si>
  <si>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</si>
  <si>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</si>
  <si>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</si>
  <si>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</si>
  <si>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</si>
  <si>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</si>
  <si>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</si>
  <si>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</si>
  <si>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</si>
  <si>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</si>
  <si>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</si>
  <si>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</si>
  <si>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</si>
  <si>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</si>
  <si>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</si>
  <si>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</si>
  <si>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</si>
  <si>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</si>
  <si>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</si>
  <si>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</si>
  <si>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</si>
  <si>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</si>
  <si>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</si>
  <si>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</si>
  <si>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</si>
  <si>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</si>
  <si>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</si>
  <si>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</si>
  <si>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</si>
  <si>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</si>
  <si>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</si>
  <si>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</si>
  <si>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</si>
  <si>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</si>
  <si>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</si>
  <si>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</si>
  <si>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</si>
  <si>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</si>
  <si>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</si>
  <si>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</si>
  <si>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</si>
  <si>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</si>
  <si>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</si>
  <si>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</si>
  <si>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</si>
  <si>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</si>
  <si>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</si>
  <si>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</si>
  <si>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</si>
  <si>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</si>
  <si>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</si>
  <si>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</si>
  <si>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</si>
  <si>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</si>
  <si>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</si>
  <si>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</si>
  <si>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</si>
  <si>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</si>
  <si>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</si>
  <si>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</si>
  <si>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</si>
  <si>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</si>
  <si>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</si>
  <si>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</si>
  <si>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</si>
  <si>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</si>
  <si>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</si>
  <si>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</si>
  <si>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</si>
  <si>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</si>
  <si>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</si>
  <si>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</si>
  <si>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</si>
  <si>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</si>
  <si>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</si>
  <si>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</si>
  <si>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</si>
  <si>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</si>
  <si>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</si>
  <si>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</si>
  <si>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</si>
  <si>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</si>
  <si>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</si>
  <si>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</si>
  <si>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</si>
  <si>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</si>
  <si>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</si>
  <si>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</si>
  <si>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</si>
  <si>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</si>
  <si>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</si>
  <si>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</si>
  <si>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</si>
  <si>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</si>
  <si>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</si>
  <si>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</si>
  <si>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</si>
  <si>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</si>
  <si>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</si>
  <si>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</si>
  <si>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</si>
  <si>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</si>
  <si>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</si>
  <si>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</si>
  <si>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</si>
  <si>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</si>
  <si>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</si>
  <si>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</si>
  <si>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</si>
  <si>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</si>
  <si>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</si>
  <si>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</si>
  <si>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</si>
  <si>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</si>
  <si>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</si>
  <si>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</si>
  <si>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</si>
  <si>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</si>
  <si>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</si>
  <si>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</si>
  <si>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</si>
  <si>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</si>
  <si>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</si>
  <si>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</si>
  <si>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</si>
  <si>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</si>
  <si>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</si>
  <si>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</si>
  <si>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</si>
  <si>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</si>
  <si>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</si>
  <si>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</si>
  <si>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</si>
  <si>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</si>
  <si>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</si>
  <si>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</si>
  <si>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</si>
  <si>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</si>
  <si>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</si>
  <si>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</si>
  <si>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</si>
  <si>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</si>
  <si>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</si>
  <si>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</si>
  <si>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</si>
  <si>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</si>
  <si>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</si>
  <si>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</si>
  <si>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</si>
  <si>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</si>
  <si>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</si>
  <si>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</si>
  <si>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</si>
  <si>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</si>
  <si>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</si>
  <si>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</si>
  <si>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</si>
  <si>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</si>
  <si>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</si>
  <si>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</si>
  <si>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</si>
  <si>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</si>
  <si>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</si>
  <si>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</si>
  <si>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</si>
  <si>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</si>
  <si>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</si>
  <si>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</si>
  <si>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</si>
  <si>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</si>
  <si>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</si>
  <si>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</si>
  <si>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</si>
  <si>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</si>
  <si>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</si>
  <si>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</si>
  <si>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</si>
  <si>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</si>
  <si>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</si>
  <si>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</si>
  <si>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</si>
  <si>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</si>
  <si>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</si>
  <si>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</si>
  <si>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</si>
  <si>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</si>
  <si>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</si>
  <si>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</si>
  <si>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</si>
  <si>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</si>
  <si>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</si>
  <si>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</si>
  <si>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</si>
  <si>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</si>
  <si>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</si>
  <si>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</si>
  <si>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</si>
  <si>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</si>
  <si>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</si>
  <si>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</si>
  <si>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</si>
  <si>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</si>
  <si>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</si>
  <si>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</si>
  <si>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</si>
  <si>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</si>
  <si>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</si>
  <si>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</si>
  <si>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</si>
  <si>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</si>
  <si>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</si>
  <si>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</si>
  <si>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</si>
  <si>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</si>
  <si>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</si>
  <si>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</si>
  <si>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</si>
  <si>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</si>
  <si>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</si>
  <si>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</si>
  <si>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</si>
  <si>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</si>
  <si>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</si>
  <si>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</si>
  <si>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</si>
  <si>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</si>
  <si>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</si>
  <si>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</si>
  <si>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</si>
  <si>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</si>
  <si>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</si>
  <si>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</si>
  <si>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</si>
  <si>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</si>
  <si>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</si>
  <si>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</si>
  <si>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</si>
  <si>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</si>
  <si>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</si>
  <si>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</si>
  <si>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</si>
  <si>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</si>
  <si>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</si>
  <si>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</si>
  <si>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</si>
  <si>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</si>
  <si>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</si>
  <si>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</si>
  <si>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</si>
  <si>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</si>
  <si>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</si>
  <si>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</si>
  <si>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</si>
  <si>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</si>
  <si>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</si>
  <si>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</si>
  <si>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</si>
  <si>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</si>
  <si>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</si>
  <si>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</si>
  <si>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</si>
  <si>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</si>
  <si>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</si>
  <si>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</si>
  <si>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</si>
  <si>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</si>
  <si>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</si>
  <si>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</si>
  <si>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</si>
  <si>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</si>
  <si>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</si>
  <si>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</si>
  <si>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</si>
  <si>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</si>
  <si>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</si>
  <si>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</si>
  <si>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</si>
  <si>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</si>
  <si>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</si>
  <si>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</si>
  <si>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</si>
  <si>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</si>
  <si>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</si>
  <si>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</si>
  <si>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</si>
  <si>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</si>
  <si>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</si>
  <si>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</si>
  <si>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</si>
  <si>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</si>
  <si>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</si>
  <si>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</si>
  <si>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</si>
  <si>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</si>
  <si>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</si>
  <si>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</si>
  <si>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</si>
  <si>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</si>
  <si>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</si>
  <si>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</si>
  <si>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</si>
  <si>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</si>
  <si>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</si>
  <si>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</si>
  <si>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</si>
  <si>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</si>
  <si>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</si>
  <si>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</si>
  <si>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</si>
  <si>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</si>
  <si>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</si>
  <si>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</si>
  <si>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</si>
  <si>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</si>
  <si>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</si>
  <si>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</si>
  <si>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</si>
  <si>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</si>
  <si>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</si>
  <si>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</si>
  <si>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</si>
  <si>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</si>
  <si>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</si>
  <si>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</si>
  <si>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</si>
  <si>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</si>
  <si>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</si>
  <si>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</si>
  <si>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</si>
  <si>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</si>
  <si>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</si>
  <si>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</si>
  <si>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</si>
  <si>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</si>
  <si>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</si>
  <si>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</si>
  <si>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</si>
  <si>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</si>
  <si>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</si>
  <si>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</si>
  <si>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</si>
  <si>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</si>
  <si>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</si>
  <si>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</si>
  <si>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</si>
  <si>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</si>
  <si>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</si>
  <si>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</si>
  <si>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</si>
  <si>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</si>
  <si>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</si>
  <si>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</si>
  <si>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</si>
  <si>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</si>
  <si>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</si>
  <si>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</si>
  <si>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</si>
  <si>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</si>
  <si>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</si>
  <si>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</si>
  <si>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</si>
  <si>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</si>
  <si>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</si>
  <si>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</si>
  <si>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</si>
  <si>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</si>
  <si>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</si>
  <si>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</si>
  <si>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</si>
  <si>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</si>
  <si>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</si>
  <si>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</si>
  <si>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</si>
  <si>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</si>
  <si>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</si>
  <si>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</si>
  <si>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</si>
  <si>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</si>
  <si>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</si>
  <si>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</si>
  <si>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</si>
  <si>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</si>
  <si>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</si>
  <si>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</si>
  <si>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</si>
  <si>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</si>
  <si>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</si>
  <si>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</si>
  <si>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</si>
  <si>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</si>
  <si>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</si>
  <si>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</si>
  <si>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</si>
  <si>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</si>
  <si>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</si>
  <si>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</si>
  <si>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</si>
  <si>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</si>
  <si>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</si>
  <si>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</si>
  <si>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</si>
  <si>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</si>
  <si>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</si>
  <si>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</si>
  <si>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</si>
  <si>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</si>
  <si>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</si>
  <si>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</si>
  <si>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</si>
  <si>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</si>
  <si>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</si>
  <si>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</si>
  <si>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</si>
  <si>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</si>
  <si>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</si>
  <si>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</si>
  <si>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</si>
  <si>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</si>
  <si>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</si>
  <si>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</si>
  <si>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</si>
  <si>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</si>
  <si>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</si>
  <si>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</si>
  <si>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</si>
  <si>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</si>
  <si>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</si>
  <si>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</si>
  <si>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</si>
  <si>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</si>
  <si>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</si>
  <si>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</si>
  <si>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</si>
  <si>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</si>
  <si>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</si>
  <si>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</si>
  <si>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</si>
  <si>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</si>
  <si>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</si>
  <si>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</si>
  <si>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</si>
  <si>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</si>
  <si>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</si>
  <si>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</si>
  <si>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</si>
  <si>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</si>
  <si>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</si>
  <si>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</si>
  <si>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</si>
  <si>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</si>
  <si>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</si>
  <si>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</si>
  <si>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</si>
  <si>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</si>
  <si>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</si>
  <si>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</si>
  <si>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</si>
  <si>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</si>
  <si>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</si>
  <si>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</si>
  <si>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</si>
  <si>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</si>
  <si>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</si>
  <si>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</si>
  <si>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</si>
  <si>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</si>
  <si>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</si>
  <si>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</si>
  <si>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</si>
  <si>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</si>
  <si>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</si>
  <si>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</si>
  <si>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</si>
  <si>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</si>
  <si>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</si>
  <si>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</si>
  <si>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</si>
  <si>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</si>
  <si>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</si>
  <si>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</si>
  <si>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</si>
  <si>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</si>
  <si>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</si>
  <si>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</si>
  <si>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</si>
  <si>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</si>
  <si>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</si>
  <si>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</si>
  <si>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</si>
  <si>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</si>
  <si>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</si>
  <si>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</si>
  <si>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</si>
  <si>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</si>
  <si>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</si>
  <si>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</si>
  <si>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</si>
  <si>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</si>
  <si>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</si>
  <si>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</si>
  <si>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</si>
  <si>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</si>
  <si>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</si>
  <si>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</si>
  <si>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</si>
  <si>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</si>
  <si>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</si>
  <si>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</si>
  <si>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</si>
  <si>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</si>
  <si>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</si>
  <si>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</si>
  <si>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</si>
  <si>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</si>
  <si>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</si>
  <si>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</si>
  <si>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</si>
  <si>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</si>
  <si>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</si>
  <si>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</si>
  <si>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</si>
  <si>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</si>
  <si>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</si>
  <si>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</si>
  <si>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</si>
  <si>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</si>
  <si>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</si>
  <si>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</si>
  <si>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</si>
  <si>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</si>
  <si>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</si>
  <si>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</si>
  <si>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</si>
  <si>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</si>
  <si>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</si>
  <si>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</si>
  <si>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</si>
  <si>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</si>
  <si>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</si>
  <si>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</si>
  <si>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</si>
  <si>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</si>
  <si>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</si>
  <si>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</si>
  <si>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</si>
  <si>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</si>
  <si>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</si>
  <si>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</si>
  <si>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</si>
  <si>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</si>
  <si>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</si>
  <si>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</si>
  <si>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</si>
  <si>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</si>
  <si>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</si>
  <si>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</si>
  <si>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</si>
  <si>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</si>
  <si>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</si>
  <si>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</si>
  <si>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</si>
  <si>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</si>
  <si>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</si>
  <si>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</si>
  <si>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</si>
  <si>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</si>
  <si>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</si>
  <si>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</si>
  <si>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</si>
  <si>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</si>
  <si>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</si>
  <si>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</si>
  <si>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</si>
  <si>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</si>
  <si>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</si>
  <si>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</si>
  <si>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</si>
  <si>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</si>
  <si>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</si>
  <si>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</si>
  <si>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</si>
  <si>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</si>
  <si>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</si>
  <si>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</si>
  <si>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</si>
  <si>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</si>
  <si>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</si>
  <si>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</si>
  <si>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</si>
  <si>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</si>
  <si>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</si>
  <si>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</si>
  <si>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</si>
  <si>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</si>
  <si>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</si>
  <si>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</si>
  <si>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</si>
  <si>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</si>
  <si>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</si>
  <si>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</si>
  <si>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</si>
  <si>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</si>
  <si>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</si>
  <si>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</si>
  <si>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</si>
  <si>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</si>
  <si>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</si>
  <si>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</si>
  <si>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</si>
  <si>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</si>
  <si>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</si>
  <si>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</si>
  <si>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</si>
  <si>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</si>
  <si>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</si>
  <si>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</si>
  <si>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</si>
  <si>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</si>
  <si>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</si>
  <si>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</si>
  <si>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</si>
  <si>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</si>
  <si>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</si>
  <si>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</si>
  <si>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</si>
  <si>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</si>
  <si>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</si>
  <si>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</si>
  <si>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</si>
  <si>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</si>
  <si>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</si>
  <si>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</si>
  <si>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</si>
  <si>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</si>
  <si>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</si>
  <si>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</si>
  <si>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</si>
  <si>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</si>
  <si>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</si>
  <si>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</si>
  <si>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</si>
  <si>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</si>
  <si>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</si>
  <si>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</si>
  <si>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</si>
  <si>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</si>
  <si>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</si>
  <si>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</si>
  <si>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</si>
  <si>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</si>
  <si>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</si>
  <si>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</si>
  <si>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</si>
  <si>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</si>
  <si>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</si>
  <si>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</si>
  <si>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</si>
  <si>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</si>
  <si>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</si>
  <si>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</si>
  <si>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</si>
  <si>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</si>
  <si>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</si>
  <si>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</si>
  <si>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</si>
  <si>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</si>
  <si>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</si>
  <si>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</si>
  <si>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</si>
  <si>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</si>
  <si>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</si>
  <si>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</si>
  <si>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</si>
  <si>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</si>
  <si>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</si>
  <si>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</si>
  <si>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</si>
  <si>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</si>
  <si>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</si>
  <si>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</si>
  <si>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</si>
  <si>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</si>
  <si>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</si>
  <si>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</si>
  <si>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</si>
  <si>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</si>
  <si>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</si>
  <si>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</si>
  <si>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</si>
  <si>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</si>
  <si>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</si>
  <si>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</si>
  <si>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</si>
  <si>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</si>
  <si>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</si>
  <si>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</si>
  <si>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</si>
  <si>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</si>
  <si>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</si>
  <si>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</si>
  <si>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</si>
  <si>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</si>
  <si>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</si>
  <si>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</si>
  <si>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</si>
  <si>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</si>
  <si>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</si>
  <si>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</si>
  <si>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</si>
  <si>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</si>
  <si>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</si>
  <si>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</si>
  <si>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</si>
  <si>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</si>
  <si>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</si>
  <si>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</si>
  <si>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</si>
  <si>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</si>
  <si>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</si>
  <si>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</si>
  <si>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</si>
  <si>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</si>
  <si>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</si>
  <si>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</si>
  <si>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</si>
  <si>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</si>
  <si>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</si>
  <si>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</si>
  <si>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</si>
  <si>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</si>
  <si>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</si>
  <si>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</si>
  <si>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</si>
  <si>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</si>
  <si>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</si>
  <si>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</si>
  <si>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</si>
  <si>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</si>
  <si>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</si>
  <si>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</si>
  <si>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</si>
  <si>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</si>
  <si>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</si>
  <si>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</si>
  <si>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</si>
  <si>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</si>
  <si>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</si>
  <si>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</si>
  <si>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</si>
  <si>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</si>
  <si>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</si>
  <si>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</si>
  <si>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</si>
  <si>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</si>
  <si>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</si>
  <si>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</si>
  <si>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</si>
  <si>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</si>
  <si>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</si>
  <si>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</si>
  <si>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</si>
  <si>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</si>
  <si>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</si>
  <si>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</si>
  <si>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</si>
  <si>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</si>
  <si>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</si>
  <si>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</si>
  <si>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</si>
  <si>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</si>
  <si>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</si>
  <si>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</si>
  <si>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</si>
  <si>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</si>
  <si>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</si>
  <si>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</si>
  <si>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</si>
  <si>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</si>
  <si>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</si>
  <si>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</si>
  <si>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</si>
  <si>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</si>
  <si>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</si>
  <si>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</si>
  <si>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</si>
  <si>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</si>
  <si>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</si>
  <si>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</si>
  <si>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</si>
  <si>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</si>
  <si>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</si>
  <si>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</si>
  <si>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</si>
  <si>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</si>
  <si>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</si>
  <si>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</si>
  <si>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</si>
  <si>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</si>
  <si>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</si>
  <si>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</si>
  <si>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</si>
  <si>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</si>
  <si>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</si>
  <si>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</si>
  <si>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</si>
  <si>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</si>
  <si>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</si>
  <si>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</si>
  <si>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</si>
  <si>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</si>
  <si>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</si>
  <si>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</si>
  <si>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</si>
  <si>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</si>
  <si>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</si>
  <si>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</si>
  <si>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</si>
  <si>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</si>
  <si>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</si>
  <si>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</si>
  <si>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</si>
  <si>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</si>
  <si>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</si>
  <si>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</si>
  <si>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</si>
  <si>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</si>
  <si>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</si>
  <si>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</si>
  <si>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</si>
  <si>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</si>
  <si>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</si>
  <si>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</si>
  <si>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</si>
  <si>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</si>
  <si>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</si>
  <si>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</si>
  <si>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</si>
  <si>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</si>
  <si>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</si>
  <si>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</si>
  <si>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</si>
  <si>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</si>
  <si>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</si>
  <si>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</si>
  <si>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</si>
  <si>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</si>
  <si>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</si>
  <si>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</si>
  <si>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</si>
  <si>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</si>
  <si>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</si>
  <si>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</si>
  <si>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</si>
  <si>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</si>
  <si>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</si>
  <si>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</si>
  <si>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</si>
  <si>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</si>
  <si>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</si>
  <si>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</si>
  <si>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</si>
  <si>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</si>
  <si>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</si>
  <si>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</si>
  <si>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</si>
  <si>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</si>
  <si>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</si>
  <si>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</si>
  <si>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</si>
  <si>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</si>
  <si>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</si>
  <si>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</si>
  <si>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</si>
  <si>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</si>
  <si>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</si>
  <si>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</si>
  <si>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</si>
  <si>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</si>
  <si>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</si>
  <si>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</si>
  <si>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</si>
  <si>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</si>
  <si>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</si>
  <si>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</si>
  <si>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</si>
  <si>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</si>
  <si>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</si>
  <si>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</si>
  <si>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</si>
  <si>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</si>
  <si>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</si>
  <si>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</si>
  <si>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</si>
  <si>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</si>
  <si>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</si>
  <si>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</si>
  <si>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</si>
  <si>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</si>
  <si>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</si>
  <si>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</si>
  <si>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</si>
  <si>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</si>
  <si>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</si>
  <si>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</si>
  <si>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</si>
  <si>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</si>
  <si>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</si>
  <si>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</si>
  <si>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</si>
  <si>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</si>
  <si>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</si>
  <si>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</si>
  <si>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</si>
  <si>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</si>
  <si>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</si>
  <si>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</si>
  <si>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</si>
  <si>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</si>
  <si>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</si>
  <si>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</si>
  <si>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</si>
  <si>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</si>
  <si>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</si>
  <si>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</si>
  <si>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</si>
  <si>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</si>
  <si>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</si>
  <si>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</si>
  <si>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</si>
  <si>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</si>
  <si>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</si>
  <si>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</si>
  <si>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</si>
  <si>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</si>
  <si>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</si>
  <si>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</si>
  <si>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</si>
  <si>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</si>
  <si>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</si>
  <si>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</si>
  <si>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</si>
  <si>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</si>
  <si>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</si>
  <si>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</si>
  <si>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</si>
  <si>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</si>
  <si>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</si>
  <si>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</si>
  <si>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</si>
  <si>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</si>
  <si>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</si>
  <si>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</si>
  <si>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</si>
  <si>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</si>
  <si>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</si>
  <si>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</si>
  <si>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</si>
  <si>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</si>
  <si>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</si>
  <si>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</si>
  <si>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</si>
  <si>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</si>
  <si>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</si>
  <si>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</si>
  <si>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</si>
  <si>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</si>
  <si>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</si>
  <si>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</si>
  <si>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</si>
  <si>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</si>
  <si>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</si>
  <si>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</si>
  <si>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</si>
  <si>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</si>
  <si>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</si>
  <si>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</si>
  <si>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</si>
  <si>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</si>
  <si>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</si>
  <si>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</si>
  <si>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</si>
  <si>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</si>
  <si>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</si>
  <si>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</si>
  <si>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</si>
  <si>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</si>
  <si>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</si>
  <si>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</si>
  <si>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</si>
  <si>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</si>
  <si>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</si>
  <si>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</si>
  <si>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</si>
  <si>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</si>
  <si>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</si>
  <si>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</si>
  <si>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</si>
  <si>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</si>
  <si>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</si>
  <si>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</si>
  <si>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</si>
  <si>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</si>
  <si>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</si>
  <si>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</si>
  <si>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</si>
  <si>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</si>
  <si>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</si>
  <si>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</si>
  <si>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</si>
  <si>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</si>
  <si>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</si>
  <si>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</si>
  <si>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</si>
  <si>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</si>
  <si>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</si>
  <si>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</si>
  <si>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</si>
  <si>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</si>
  <si>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</si>
  <si>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</si>
  <si>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</si>
  <si>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</si>
  <si>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</si>
  <si>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</si>
  <si>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</si>
  <si>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</si>
  <si>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</si>
  <si>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</si>
  <si>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</si>
  <si>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</si>
  <si>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</si>
  <si>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</si>
  <si>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</si>
  <si>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</si>
  <si>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</si>
  <si>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</si>
  <si>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</si>
  <si>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</si>
  <si>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</si>
  <si>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</si>
  <si>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</si>
  <si>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</si>
  <si>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</si>
  <si>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</si>
  <si>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</si>
  <si>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</si>
  <si>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</si>
  <si>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</si>
  <si>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</si>
  <si>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</si>
  <si>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</si>
  <si>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</si>
  <si>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</si>
  <si>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</si>
  <si>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</si>
  <si>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</si>
  <si>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</si>
  <si>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</si>
  <si>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</si>
  <si>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</si>
  <si>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</si>
  <si>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</si>
  <si>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</si>
  <si>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</si>
  <si>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</si>
  <si>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</si>
  <si>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</si>
  <si>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</si>
  <si>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</si>
  <si>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</si>
  <si>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</si>
  <si>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</si>
  <si>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</si>
  <si>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</si>
  <si>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</si>
  <si>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</si>
  <si>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</si>
  <si>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</si>
  <si>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</si>
  <si>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</si>
  <si>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</si>
  <si>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</si>
  <si>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</si>
  <si>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</si>
  <si>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</si>
  <si>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</si>
  <si>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</si>
  <si>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</si>
  <si>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</si>
  <si>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</si>
  <si>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</si>
  <si>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</si>
  <si>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</si>
  <si>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</si>
  <si>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</si>
  <si>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</si>
  <si>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</si>
  <si>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</si>
  <si>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</si>
  <si>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</si>
  <si>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</si>
  <si>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</si>
  <si>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</si>
  <si>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</si>
  <si>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</si>
  <si>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</si>
  <si>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</si>
  <si>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</si>
  <si>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</si>
  <si>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</si>
  <si>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</si>
  <si>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</si>
  <si>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</si>
  <si>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</si>
  <si>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</si>
  <si>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</si>
  <si>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</si>
  <si>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</si>
  <si>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</si>
  <si>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</si>
  <si>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</si>
  <si>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</si>
  <si>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</si>
  <si>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</si>
  <si>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</si>
  <si>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</si>
  <si>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</si>
  <si>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</si>
  <si>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</si>
  <si>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</si>
  <si>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</si>
  <si>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</si>
  <si>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</si>
  <si>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</si>
  <si>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</si>
  <si>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</si>
  <si>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</si>
  <si>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</si>
  <si>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</si>
  <si>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</si>
  <si>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</si>
  <si>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</si>
  <si>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</si>
  <si>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</si>
  <si>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</si>
  <si>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</si>
  <si>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</si>
  <si>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</si>
  <si>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</si>
  <si>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</si>
  <si>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</si>
  <si>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</si>
  <si>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</si>
  <si>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</si>
  <si>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</si>
  <si>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</si>
  <si>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</si>
  <si>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</si>
  <si>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</si>
  <si>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</si>
  <si>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</si>
  <si>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</si>
  <si>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</si>
  <si>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</si>
  <si>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</si>
  <si>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</si>
  <si>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</si>
  <si>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</si>
  <si>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</si>
  <si>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</si>
  <si>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</si>
  <si>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</si>
  <si>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</si>
  <si>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</si>
  <si>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</si>
  <si>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</si>
  <si>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</si>
  <si>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</si>
  <si>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</si>
  <si>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</si>
  <si>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</si>
  <si>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</si>
  <si>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</si>
  <si>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</si>
  <si>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</si>
  <si>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</si>
  <si>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</si>
  <si>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</si>
  <si>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</si>
  <si>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</si>
  <si>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</si>
  <si>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</si>
  <si>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</si>
  <si>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</si>
  <si>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</si>
  <si>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</si>
  <si>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</si>
  <si>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</si>
  <si>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</si>
  <si>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</si>
  <si>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</si>
  <si>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</si>
  <si>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</si>
  <si>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</si>
  <si>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</si>
  <si>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</si>
  <si>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</si>
  <si>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</si>
  <si>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</si>
  <si>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</si>
  <si>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</si>
  <si>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</si>
  <si>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</si>
  <si>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</si>
  <si>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</si>
  <si>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</si>
  <si>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</si>
  <si>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</si>
  <si>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</si>
  <si>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</si>
  <si>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</si>
  <si>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</si>
  <si>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</si>
  <si>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</si>
  <si>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</si>
  <si>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</si>
  <si>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</si>
  <si>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</si>
  <si>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</si>
  <si>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</si>
  <si>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</si>
  <si>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</si>
  <si>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</si>
  <si>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</si>
  <si>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</si>
  <si>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</si>
  <si>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</si>
  <si>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</si>
  <si>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</si>
  <si>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</si>
  <si>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</si>
  <si>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</si>
  <si>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</si>
  <si>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</si>
  <si>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</si>
  <si>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</si>
  <si>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</si>
  <si>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</si>
  <si>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</si>
  <si>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</si>
  <si>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</si>
  <si>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</si>
  <si>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</si>
  <si>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</si>
  <si>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</si>
  <si>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</si>
  <si>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</si>
  <si>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</si>
  <si>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</si>
  <si>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</si>
  <si>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</si>
  <si>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</si>
  <si>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</si>
  <si>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</si>
  <si>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</si>
  <si>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</si>
  <si>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</si>
  <si>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</si>
  <si>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</si>
  <si>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</si>
  <si>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</si>
  <si>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</si>
  <si>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</si>
  <si>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</si>
  <si>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</si>
  <si>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</si>
  <si>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</si>
  <si>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</si>
  <si>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</si>
  <si>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</si>
  <si>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</si>
  <si>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</si>
  <si>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</si>
  <si>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</si>
  <si>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</si>
  <si>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</si>
  <si>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</si>
  <si>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</si>
  <si>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</si>
  <si>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</si>
  <si>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</si>
  <si>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</si>
  <si>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</si>
  <si>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</si>
  <si>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</si>
  <si>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</si>
  <si>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</si>
  <si>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</si>
  <si>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</si>
  <si>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</si>
  <si>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</si>
  <si>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</si>
  <si>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</si>
  <si>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</si>
  <si>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</si>
  <si>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</si>
  <si>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</si>
  <si>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</si>
  <si>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</si>
  <si>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</si>
  <si>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</si>
  <si>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</si>
  <si>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</si>
  <si>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</si>
  <si>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</si>
  <si>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</si>
  <si>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</si>
  <si>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</si>
  <si>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</si>
  <si>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</si>
  <si>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</si>
  <si>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</si>
  <si>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</si>
  <si>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</si>
  <si>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</si>
  <si>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</si>
  <si>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</si>
  <si>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</si>
  <si>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</si>
  <si>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</si>
  <si>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</si>
  <si>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</si>
  <si>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</si>
  <si>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</si>
  <si>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</si>
  <si>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</si>
  <si>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</si>
  <si>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</si>
  <si>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</si>
  <si>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</si>
  <si>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</si>
  <si>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</si>
  <si>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</si>
  <si>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</si>
  <si>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</si>
  <si>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</si>
  <si>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</si>
  <si>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</si>
  <si>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</si>
  <si>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</si>
  <si>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</si>
  <si>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</si>
  <si>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</si>
  <si>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</si>
  <si>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</si>
  <si>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</si>
  <si>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</si>
  <si>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</si>
  <si>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</si>
  <si>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</si>
  <si>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</si>
  <si>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</si>
  <si>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</si>
  <si>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</si>
  <si>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</si>
  <si>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</si>
  <si>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</si>
  <si>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</si>
  <si>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</si>
  <si>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</si>
  <si>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</si>
  <si>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</si>
  <si>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</si>
  <si>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</si>
  <si>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</si>
  <si>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</si>
  <si>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</si>
  <si>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</si>
  <si>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</si>
  <si>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</si>
  <si>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</si>
  <si>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</si>
  <si>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</si>
  <si>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</si>
  <si>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</si>
  <si>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</si>
  <si>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</si>
  <si>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</si>
  <si>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</si>
  <si>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</si>
  <si>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</si>
  <si>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</si>
  <si>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</si>
  <si>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</si>
  <si>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</si>
  <si>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</si>
  <si>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</si>
  <si>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</si>
  <si>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</si>
  <si>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</si>
  <si>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</si>
  <si>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</si>
  <si>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</si>
  <si>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</si>
  <si>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</si>
  <si>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</si>
  <si>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</si>
  <si>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</si>
  <si>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</si>
  <si>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</si>
  <si>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</si>
  <si>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</si>
  <si>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</si>
  <si>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</si>
  <si>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</si>
  <si>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</si>
  <si>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</si>
  <si>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</si>
  <si>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</si>
  <si>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</si>
  <si>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</si>
  <si>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</si>
  <si>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</si>
  <si>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</si>
  <si>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</si>
  <si>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</si>
  <si>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</si>
  <si>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</si>
  <si>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</si>
  <si>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</si>
  <si>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</si>
  <si>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</si>
  <si>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</si>
  <si>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</si>
  <si>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</si>
  <si>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</si>
  <si>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</si>
  <si>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</si>
  <si>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</si>
  <si>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</si>
  <si>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</si>
  <si>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</si>
  <si>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</si>
  <si>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</si>
  <si>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</si>
  <si>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</si>
  <si>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</si>
  <si>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</si>
  <si>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</si>
  <si>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</si>
  <si>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</si>
  <si>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</si>
  <si>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</si>
  <si>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</si>
  <si>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</si>
  <si>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</si>
  <si>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</si>
  <si>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</si>
  <si>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</si>
  <si>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</si>
  <si>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</si>
  <si>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</si>
  <si>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</si>
  <si>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</si>
  <si>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</si>
  <si>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</si>
  <si>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</si>
  <si>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</si>
  <si>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</si>
  <si>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</si>
  <si>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</si>
  <si>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</si>
  <si>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</si>
  <si>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</si>
  <si>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</si>
  <si>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</si>
  <si>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</si>
  <si>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</si>
  <si>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</si>
  <si>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</si>
  <si>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</si>
  <si>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</si>
  <si>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</si>
  <si>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</si>
  <si>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</si>
  <si>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</si>
  <si>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</si>
  <si>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</si>
  <si>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</si>
  <si>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</si>
  <si>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</si>
  <si>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</si>
  <si>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</si>
  <si>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</si>
  <si>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</si>
  <si>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</si>
  <si>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</si>
  <si>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</si>
  <si>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</si>
  <si>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</si>
  <si>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</si>
  <si>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</si>
  <si>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</si>
  <si>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</si>
  <si>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</si>
  <si>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</si>
  <si>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</si>
  <si>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</si>
  <si>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</si>
  <si>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</si>
  <si>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</si>
  <si>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</si>
  <si>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</si>
  <si>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</si>
  <si>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</si>
  <si>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</si>
  <si>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</si>
  <si>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</si>
  <si>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</si>
  <si>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</si>
  <si>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</si>
  <si>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</si>
  <si>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</si>
  <si>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</si>
  <si>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</si>
  <si>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</si>
  <si>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</si>
  <si>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</si>
  <si>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</si>
  <si>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</si>
  <si>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</si>
  <si>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</si>
  <si>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</si>
  <si>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</si>
  <si>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</si>
  <si>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</si>
  <si>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</si>
  <si>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</si>
  <si>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</si>
  <si>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</si>
  <si>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</si>
  <si>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</si>
  <si>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</si>
  <si>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</si>
  <si>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</si>
  <si>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</si>
  <si>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</si>
  <si>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</si>
  <si>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</si>
  <si>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</si>
  <si>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</si>
  <si>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</si>
  <si>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</si>
  <si>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</si>
  <si>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</si>
  <si>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</si>
  <si>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</si>
  <si>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</si>
  <si>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</si>
  <si>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</si>
  <si>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</si>
  <si>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</si>
  <si>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</si>
  <si>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</si>
  <si>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</si>
  <si>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</si>
  <si>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</si>
  <si>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</si>
  <si>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</si>
  <si>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</si>
  <si>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</si>
  <si>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</si>
  <si>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</si>
  <si>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</si>
  <si>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</si>
  <si>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</si>
  <si>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</si>
  <si>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</si>
  <si>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</si>
  <si>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</si>
  <si>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</si>
  <si>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</si>
  <si>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</si>
  <si>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</si>
  <si>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</si>
  <si>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</si>
  <si>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</si>
  <si>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</si>
  <si>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</si>
  <si>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</si>
  <si>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</si>
  <si>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</si>
  <si>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</si>
  <si>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</si>
  <si>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</si>
  <si>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</si>
  <si>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</si>
  <si>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</si>
  <si>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</si>
  <si>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</si>
  <si>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</si>
  <si>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</si>
  <si>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</si>
  <si>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</si>
  <si>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</si>
  <si>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</si>
  <si>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</si>
  <si>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</si>
  <si>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</si>
  <si>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</si>
  <si>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</si>
  <si>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</si>
  <si>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</si>
  <si>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</si>
  <si>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</si>
  <si>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</si>
  <si>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</si>
  <si>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</si>
  <si>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</si>
  <si>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</si>
  <si>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</si>
  <si>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</si>
  <si>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</si>
  <si>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</si>
  <si>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</si>
  <si>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</si>
  <si>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</si>
  <si>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</si>
  <si>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</si>
  <si>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</si>
  <si>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</si>
  <si>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</si>
  <si>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</si>
  <si>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</si>
  <si>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</si>
  <si>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</si>
  <si>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</si>
  <si>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</si>
  <si>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</si>
  <si>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</si>
  <si>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</si>
  <si>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</si>
  <si>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</si>
  <si>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</si>
  <si>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</si>
  <si>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</si>
  <si>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</si>
  <si>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</si>
  <si>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</si>
  <si>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</si>
  <si>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</si>
  <si>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</si>
  <si>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</si>
  <si>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</si>
  <si>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</si>
  <si>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</si>
  <si>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</si>
  <si>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</si>
  <si>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</si>
  <si>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</si>
  <si>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</si>
  <si>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</si>
  <si>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</si>
  <si>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</si>
  <si>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</si>
  <si>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</si>
  <si>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</si>
  <si>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</si>
  <si>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</si>
  <si>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</si>
  <si>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</si>
  <si>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</si>
  <si>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</si>
  <si>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</si>
  <si>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</si>
  <si>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</si>
  <si>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</si>
  <si>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</si>
  <si>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</si>
  <si>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</si>
  <si>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</si>
  <si>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</si>
  <si>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</si>
  <si>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</si>
  <si>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</si>
  <si>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</si>
  <si>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</si>
  <si>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</si>
  <si>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</si>
  <si>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</si>
  <si>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</si>
  <si>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</si>
  <si>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</si>
  <si>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</si>
  <si>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</si>
  <si>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</si>
  <si>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</si>
  <si>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</si>
  <si>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</si>
  <si>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</si>
  <si>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</si>
  <si>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</si>
  <si>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</si>
  <si>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</si>
  <si>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</si>
  <si>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</si>
  <si>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</si>
  <si>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</si>
  <si>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</si>
  <si>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</si>
  <si>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</si>
  <si>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</si>
  <si>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</si>
  <si>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</si>
  <si>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</si>
  <si>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</si>
  <si>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</si>
  <si>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</si>
  <si>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</si>
  <si>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</si>
  <si>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</si>
  <si>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</si>
  <si>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</si>
  <si>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</si>
  <si>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</si>
  <si>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</si>
  <si>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</si>
  <si>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</si>
  <si>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</si>
  <si>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</si>
  <si>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</si>
  <si>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</si>
  <si>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</si>
  <si>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</si>
  <si>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</si>
  <si>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</si>
  <si>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</si>
  <si>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</si>
  <si>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</si>
  <si>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</si>
  <si>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</si>
  <si>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</si>
  <si>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</si>
  <si>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</si>
  <si>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</si>
  <si>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</si>
  <si>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</si>
  <si>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</si>
  <si>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</si>
  <si>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</si>
  <si>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</si>
  <si>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</si>
  <si>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</si>
  <si>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</si>
  <si>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</si>
  <si>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</si>
  <si>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</si>
  <si>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</si>
  <si>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</si>
  <si>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</si>
  <si>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</si>
  <si>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</si>
  <si>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</si>
  <si>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</si>
  <si>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</si>
  <si>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</si>
  <si>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</si>
  <si>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</si>
  <si>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</si>
  <si>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</si>
  <si>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</si>
  <si>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</si>
  <si>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</si>
  <si>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</si>
  <si>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</si>
  <si>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</si>
  <si>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</si>
  <si>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</si>
  <si>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</si>
  <si>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</si>
  <si>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</si>
  <si>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</si>
  <si>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</si>
  <si>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</si>
  <si>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</si>
  <si>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</si>
  <si>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</si>
  <si>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</si>
  <si>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</si>
  <si>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</si>
  <si>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</si>
  <si>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</si>
  <si>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</si>
  <si>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</si>
  <si>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</si>
  <si>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</si>
  <si>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</si>
  <si>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</si>
  <si>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</si>
  <si>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</si>
  <si>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</si>
  <si>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</si>
  <si>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</si>
  <si>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</si>
  <si>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</si>
  <si>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</si>
  <si>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</si>
  <si>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</si>
  <si>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</si>
  <si>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</si>
  <si>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</si>
  <si>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</si>
  <si>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</si>
  <si>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</si>
  <si>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</si>
  <si>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</si>
  <si>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</si>
  <si>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</si>
  <si>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</si>
  <si>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</si>
  <si>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</si>
  <si>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</si>
  <si>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</si>
  <si>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</si>
  <si>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</si>
  <si>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</si>
  <si>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</si>
  <si>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</si>
  <si>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</si>
  <si>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</si>
  <si>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</si>
  <si>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</si>
  <si>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</si>
  <si>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</si>
  <si>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</si>
  <si>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</si>
  <si>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</si>
  <si>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</si>
  <si>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</si>
  <si>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</si>
  <si>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</si>
  <si>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</si>
  <si>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</si>
  <si>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</si>
  <si>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</si>
  <si>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</si>
  <si>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</si>
  <si>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</si>
  <si>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</si>
  <si>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</si>
  <si>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</si>
  <si>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</si>
  <si>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</si>
  <si>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</si>
  <si>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</si>
  <si>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</si>
  <si>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</si>
  <si>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</si>
  <si>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</si>
  <si>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</si>
  <si>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</si>
  <si>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</si>
  <si>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</si>
  <si>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</si>
  <si>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</si>
  <si>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</si>
  <si>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</si>
  <si>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</si>
  <si>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</si>
  <si>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</si>
  <si>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</si>
  <si>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</si>
  <si>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</si>
  <si>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</si>
  <si>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</si>
  <si>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</si>
  <si>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</si>
  <si>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</si>
  <si>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</si>
  <si>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</si>
  <si>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</si>
  <si>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</si>
  <si>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</si>
  <si>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</si>
  <si>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</si>
  <si>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</si>
  <si>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</si>
  <si>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</si>
  <si>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</si>
  <si>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</si>
  <si>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</si>
  <si>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</si>
  <si>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</si>
  <si>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</si>
  <si>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</si>
  <si>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</si>
  <si>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</si>
  <si>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</si>
  <si>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</si>
  <si>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</si>
  <si>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</si>
  <si>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</si>
  <si>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</si>
  <si>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</si>
  <si>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</si>
  <si>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</si>
  <si>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</si>
  <si>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</si>
  <si>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</si>
  <si>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</si>
  <si>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</si>
  <si>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</si>
  <si>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</si>
  <si>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</si>
  <si>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</si>
  <si>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</si>
  <si>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</si>
  <si>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</si>
  <si>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</si>
  <si>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</si>
  <si>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</si>
  <si>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</si>
  <si>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</si>
  <si>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</si>
  <si>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</si>
  <si>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</si>
  <si>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</si>
  <si>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</si>
  <si>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</si>
  <si>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</si>
  <si>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</si>
  <si>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</si>
  <si>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</si>
  <si>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</si>
  <si>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</si>
  <si>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</si>
  <si>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</si>
  <si>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</si>
  <si>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</si>
  <si>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</si>
  <si>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</si>
  <si>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</si>
  <si>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</si>
  <si>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</si>
  <si>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</si>
  <si>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</si>
  <si>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</si>
  <si>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</si>
  <si>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</si>
  <si>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</si>
  <si>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</si>
  <si>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</si>
  <si>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</si>
  <si>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</si>
  <si>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</si>
  <si>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</si>
  <si>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</si>
  <si>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</si>
  <si>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</si>
  <si>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</si>
  <si>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</si>
  <si>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</si>
  <si>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</si>
  <si>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</si>
  <si>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</si>
  <si>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</si>
  <si>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</si>
  <si>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</si>
  <si>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</si>
  <si>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</si>
  <si>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</si>
  <si>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</si>
  <si>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</si>
  <si>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</si>
  <si>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</si>
  <si>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</si>
  <si>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</si>
  <si>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</si>
  <si>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</si>
  <si>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</si>
  <si>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</si>
  <si>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</si>
  <si>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</si>
  <si>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</si>
  <si>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</si>
  <si>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</si>
  <si>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</si>
  <si>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</si>
  <si>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</si>
  <si>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</si>
  <si>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</si>
  <si>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</si>
  <si>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</si>
  <si>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</si>
  <si>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</si>
  <si>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</si>
  <si>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</si>
  <si>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</si>
  <si>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</si>
  <si>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</si>
  <si>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</si>
  <si>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</si>
  <si>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</si>
  <si>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</si>
  <si>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</si>
  <si>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</si>
  <si>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</si>
  <si>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</si>
  <si>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</si>
  <si>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</si>
  <si>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</si>
  <si>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</si>
  <si>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</si>
  <si>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</si>
  <si>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</si>
  <si>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</si>
  <si>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</si>
  <si>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</si>
  <si>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</si>
  <si>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</si>
  <si>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</si>
  <si>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</si>
  <si>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</si>
  <si>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</si>
  <si>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</si>
  <si>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</si>
  <si>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</si>
  <si>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</si>
  <si>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</si>
  <si>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</si>
  <si>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</si>
  <si>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</si>
  <si>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</si>
  <si>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</si>
  <si>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</si>
  <si>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</si>
  <si>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</si>
  <si>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</si>
  <si>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</si>
  <si>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</si>
  <si>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</si>
  <si>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</si>
  <si>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</si>
  <si>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</si>
  <si>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</si>
  <si>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</si>
  <si>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</si>
  <si>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</si>
  <si>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</si>
  <si>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</si>
  <si>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</si>
  <si>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</si>
  <si>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</si>
  <si>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</si>
  <si>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</si>
  <si>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</si>
  <si>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</si>
  <si>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</si>
  <si>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</si>
  <si>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</si>
  <si>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</si>
  <si>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</si>
  <si>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</si>
  <si>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</si>
  <si>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</si>
  <si>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</si>
  <si>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</si>
  <si>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</si>
  <si>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</si>
  <si>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</si>
  <si>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</si>
  <si>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</si>
  <si>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</si>
  <si>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</si>
  <si>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</si>
  <si>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</si>
  <si>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</si>
  <si>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</si>
  <si>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</si>
  <si>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</si>
  <si>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</si>
  <si>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</si>
  <si>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</si>
  <si>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</si>
  <si>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</si>
  <si>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</si>
  <si>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</si>
  <si>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</si>
  <si>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</si>
  <si>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</si>
  <si>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</si>
  <si>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</si>
  <si>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</si>
  <si>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</si>
  <si>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</si>
  <si>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</si>
  <si>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</si>
  <si>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</si>
  <si>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</si>
  <si>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</si>
  <si>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</si>
  <si>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</si>
  <si>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</si>
  <si>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</si>
  <si>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</si>
  <si>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</si>
  <si>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</si>
  <si>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</si>
  <si>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</si>
  <si>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</si>
  <si>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</si>
  <si>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</si>
  <si>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</si>
  <si>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</si>
  <si>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</si>
  <si>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</si>
  <si>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</si>
  <si>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</si>
  <si>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</si>
  <si>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</si>
  <si>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</si>
  <si>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</si>
  <si>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</si>
  <si>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</si>
  <si>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</si>
  <si>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</si>
  <si>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</si>
  <si>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</si>
  <si>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</si>
  <si>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</si>
  <si>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</si>
  <si>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</si>
  <si>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</si>
  <si>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</si>
  <si>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</si>
  <si>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</si>
  <si>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</si>
  <si>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</si>
  <si>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</si>
  <si>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</si>
  <si>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</si>
  <si>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</si>
  <si>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</si>
  <si>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</si>
  <si>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</si>
  <si>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</si>
  <si>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</si>
  <si>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</si>
  <si>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</si>
  <si>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</si>
  <si>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</si>
  <si>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</si>
  <si>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</si>
  <si>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</si>
  <si>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</si>
  <si>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</si>
  <si>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</si>
  <si>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</si>
  <si>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</si>
  <si>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</si>
  <si>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</si>
  <si>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</si>
  <si>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</si>
  <si>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</si>
  <si>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</si>
  <si>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</si>
  <si>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</si>
  <si>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</si>
  <si>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</si>
  <si>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</si>
  <si>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</si>
  <si>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</si>
  <si>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</si>
  <si>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</si>
  <si>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</si>
  <si>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</si>
  <si>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</si>
  <si>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</si>
  <si>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</si>
  <si>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</si>
  <si>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</si>
  <si>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</si>
  <si>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</si>
  <si>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</si>
  <si>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</si>
  <si>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F101</t>
  </si>
  <si>
    <t>DeCaluwe</t>
  </si>
  <si>
    <t>Replacement pool passes</t>
  </si>
  <si>
    <t>B103</t>
  </si>
  <si>
    <t>Whiteside</t>
  </si>
  <si>
    <t>Document Copy Charge</t>
  </si>
  <si>
    <t>D101</t>
  </si>
  <si>
    <t>FLHMA</t>
  </si>
  <si>
    <t>New owner Move in</t>
  </si>
  <si>
    <t>C406</t>
  </si>
  <si>
    <t>Soltys</t>
  </si>
  <si>
    <t>New owner key fee</t>
  </si>
  <si>
    <t>A212</t>
  </si>
  <si>
    <t>Bergner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</si>
</sst>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C9" sqref="C9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41438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25</v>
      </c>
      <c r="H3" s="32" t="s">
        <v>20963</v>
      </c>
      <c r="I3" s="33" t="str">
        <f t="shared" ref="I3:I66" si="1">IF(ISERROR(VLOOKUP(H3,table,2,0)),"INVALID",VLOOKUP(H3,table,2,0))</f>
        <v>4111</v>
      </c>
      <c r="J3" s="43" t="str">
        <f t="shared" ref="J3:J66" si="2">IF(ISERROR(VLOOKUP(H3,table,3,0)),"",VLOOKUP(H3,table,3,0))</f>
        <v>Swimming Pool</v>
      </c>
      <c r="K3" s="34" t="s">
        <v>45016</v>
      </c>
      <c r="L3" s="52"/>
      <c r="M3" s="52"/>
      <c r="N3" s="84">
        <f ca="1">TODAY()</f>
        <v>41438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41438</v>
      </c>
      <c r="B4" s="44" t="str">
        <f t="shared" ref="B4:B31" si="5">IF(C4="","",B3)</f>
        <v>0554</v>
      </c>
      <c r="C4" s="23" t="s">
        <v>45017</v>
      </c>
      <c r="D4" s="60" t="str">
        <f t="shared" si="0"/>
        <v>01</v>
      </c>
      <c r="E4" s="45" t="s">
        <v>45018</v>
      </c>
      <c r="F4" s="31" t="s">
        <v>37888</v>
      </c>
      <c r="G4" s="56">
        <v>4.4000000000000004</v>
      </c>
      <c r="H4" s="21" t="s">
        <v>7573</v>
      </c>
      <c r="I4" s="24" t="str">
        <f t="shared" si="1"/>
        <v>4995</v>
      </c>
      <c r="J4" s="46" t="str">
        <f t="shared" si="2"/>
        <v>Miscellaneous Income</v>
      </c>
      <c r="K4" s="25" t="s">
        <v>45019</v>
      </c>
      <c r="L4" s="52"/>
      <c r="M4" s="52"/>
      <c r="N4" s="84">
        <f ca="1">N3+60</f>
        <v>41498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41438</v>
      </c>
      <c r="B5" s="44" t="str">
        <f t="shared" si="5"/>
        <v>0554</v>
      </c>
      <c r="C5" s="22" t="s">
        <v>45020</v>
      </c>
      <c r="D5" s="60" t="str">
        <f t="shared" si="0"/>
        <v>01</v>
      </c>
      <c r="E5" s="45" t="s">
        <v>45021</v>
      </c>
      <c r="F5" s="31" t="s">
        <v>37888</v>
      </c>
      <c r="G5" s="56">
        <v>150</v>
      </c>
      <c r="H5" s="21" t="s">
        <v>8207</v>
      </c>
      <c r="I5" s="24" t="str">
        <f t="shared" si="1"/>
        <v>4030</v>
      </c>
      <c r="J5" s="46" t="str">
        <f t="shared" si="2"/>
        <v>Move Fee</v>
      </c>
      <c r="K5" s="25" t="s">
        <v>45022</v>
      </c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>
        <f t="shared" si="4"/>
        <v>41438</v>
      </c>
      <c r="B6" s="44" t="str">
        <f t="shared" si="5"/>
        <v>0554</v>
      </c>
      <c r="C6" s="22" t="s">
        <v>45023</v>
      </c>
      <c r="D6" s="60" t="str">
        <f t="shared" si="0"/>
        <v>01</v>
      </c>
      <c r="E6" s="45" t="s">
        <v>45024</v>
      </c>
      <c r="F6" s="31" t="s">
        <v>37888</v>
      </c>
      <c r="G6" s="56">
        <v>150</v>
      </c>
      <c r="H6" s="21" t="s">
        <v>8207</v>
      </c>
      <c r="I6" s="24" t="str">
        <f t="shared" si="1"/>
        <v>4030</v>
      </c>
      <c r="J6" s="46" t="str">
        <f t="shared" si="2"/>
        <v>Move Fee</v>
      </c>
      <c r="K6" s="25" t="s">
        <v>45022</v>
      </c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01</v>
      </c>
      <c r="BB6" s="54">
        <f t="shared" si="7"/>
        <v>1</v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>
        <f t="shared" si="4"/>
        <v>41438</v>
      </c>
      <c r="B7" s="44" t="str">
        <f t="shared" si="5"/>
        <v>0554</v>
      </c>
      <c r="C7" s="22" t="s">
        <v>45023</v>
      </c>
      <c r="D7" s="60" t="str">
        <f t="shared" si="0"/>
        <v>01</v>
      </c>
      <c r="E7" s="45" t="s">
        <v>45024</v>
      </c>
      <c r="F7" s="31" t="s">
        <v>37888</v>
      </c>
      <c r="G7" s="56">
        <v>25</v>
      </c>
      <c r="H7" s="21" t="s">
        <v>9899</v>
      </c>
      <c r="I7" s="24" t="str">
        <f t="shared" si="1"/>
        <v>4130</v>
      </c>
      <c r="J7" s="46" t="str">
        <f t="shared" si="2"/>
        <v>Key Fee</v>
      </c>
      <c r="K7" s="25" t="s">
        <v>45025</v>
      </c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01</v>
      </c>
      <c r="BB7" s="54">
        <f t="shared" si="7"/>
        <v>1</v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>
        <f t="shared" si="4"/>
        <v>41438</v>
      </c>
      <c r="B8" s="44" t="str">
        <f t="shared" si="5"/>
        <v>0554</v>
      </c>
      <c r="C8" s="22" t="s">
        <v>45026</v>
      </c>
      <c r="D8" s="60" t="str">
        <f t="shared" si="0"/>
        <v>01</v>
      </c>
      <c r="E8" s="45" t="s">
        <v>45027</v>
      </c>
      <c r="F8" s="31" t="s">
        <v>37888</v>
      </c>
      <c r="G8" s="56">
        <v>150</v>
      </c>
      <c r="H8" s="21" t="s">
        <v>8207</v>
      </c>
      <c r="I8" s="24" t="str">
        <f t="shared" si="1"/>
        <v>4030</v>
      </c>
      <c r="J8" s="46" t="str">
        <f t="shared" si="2"/>
        <v>Move Fee</v>
      </c>
      <c r="K8" s="25" t="s">
        <v>45022</v>
      </c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01</v>
      </c>
      <c r="BB8" s="54">
        <f t="shared" si="7"/>
        <v>1</v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7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3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F101</v>
      </c>
      <c r="C2" s="3" t="str">
        <f>'Billing Adjustment'!D3</f>
        <v>01</v>
      </c>
      <c r="D2" t="str">
        <f>'Billing Adjustment'!H3</f>
        <v>SW</v>
      </c>
      <c r="E2" s="59">
        <f>IF('Billing Adjustment'!A3="","",'Billing Adjustment'!A3)</f>
        <v>41438</v>
      </c>
      <c r="F2" s="12" t="str">
        <f>'Billing Adjustment'!K3</f>
        <v>Replacement pool passes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00-0554</v>
      </c>
      <c r="B3" s="3" t="str">
        <f>'Billing Adjustment'!C4</f>
        <v>B103</v>
      </c>
      <c r="C3" s="3" t="str">
        <f>'Billing Adjustment'!D4</f>
        <v>01</v>
      </c>
      <c r="D3" t="str">
        <f>'Billing Adjustment'!H4</f>
        <v>MS</v>
      </c>
      <c r="E3" s="59">
        <f>'Billing Adjustment'!A4</f>
        <v>41438</v>
      </c>
      <c r="F3" s="12" t="str">
        <f>'Billing Adjustment'!K4</f>
        <v>Document Copy Charge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4.4000000000000004</v>
      </c>
    </row>
    <row r="4" spans="1:8" x14ac:dyDescent="0.2">
      <c r="A4" t="str">
        <f>"00-"&amp;'Billing Adjustment'!B5</f>
        <v>00-0554</v>
      </c>
      <c r="B4" s="3" t="str">
        <f>'Billing Adjustment'!C5</f>
        <v>D101</v>
      </c>
      <c r="C4" s="3" t="str">
        <f>'Billing Adjustment'!D5</f>
        <v>01</v>
      </c>
      <c r="D4" t="str">
        <f>'Billing Adjustment'!H5</f>
        <v>MF</v>
      </c>
      <c r="E4" s="59">
        <f>'Billing Adjustment'!A5</f>
        <v>41438</v>
      </c>
      <c r="F4" s="12" t="str">
        <f>'Billing Adjustment'!K5</f>
        <v>New owner Move in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150</v>
      </c>
    </row>
    <row r="5" spans="1:8" x14ac:dyDescent="0.2">
      <c r="A5" t="str">
        <f>"00-"&amp;'Billing Adjustment'!B6</f>
        <v>00-0554</v>
      </c>
      <c r="B5" s="3" t="str">
        <f>'Billing Adjustment'!C6</f>
        <v>C406</v>
      </c>
      <c r="C5" s="3" t="str">
        <f>'Billing Adjustment'!D6</f>
        <v>01</v>
      </c>
      <c r="D5" t="str">
        <f>'Billing Adjustment'!H6</f>
        <v>MF</v>
      </c>
      <c r="E5" s="59">
        <f>'Billing Adjustment'!A6</f>
        <v>41438</v>
      </c>
      <c r="F5" s="12" t="str">
        <f>'Billing Adjustment'!K6</f>
        <v>New owner Move in</v>
      </c>
      <c r="G5" t="str">
        <f t="shared" si="0"/>
        <v>CR</v>
      </c>
      <c r="H5" s="9">
        <f>IF('Billing Adjustment'!F6="Charge",'Billing Adjustment'!G6,IF('Billing Adjustment'!F6="Credit",-'Billing Adjustment'!G6,"Error"))</f>
        <v>150</v>
      </c>
    </row>
    <row r="6" spans="1:8" x14ac:dyDescent="0.2">
      <c r="A6" t="str">
        <f>"00-"&amp;'Billing Adjustment'!B7</f>
        <v>00-0554</v>
      </c>
      <c r="B6" s="3" t="str">
        <f>'Billing Adjustment'!C7</f>
        <v>C406</v>
      </c>
      <c r="C6" s="3" t="str">
        <f>'Billing Adjustment'!D7</f>
        <v>01</v>
      </c>
      <c r="D6" t="str">
        <f>'Billing Adjustment'!H7</f>
        <v>KE</v>
      </c>
      <c r="E6" s="59">
        <f>'Billing Adjustment'!A7</f>
        <v>41438</v>
      </c>
      <c r="F6" s="12" t="str">
        <f>'Billing Adjustment'!K7</f>
        <v>New owner key fee</v>
      </c>
      <c r="G6" t="str">
        <f t="shared" si="0"/>
        <v>CR</v>
      </c>
      <c r="H6" s="9">
        <f>IF('Billing Adjustment'!F7="Charge",'Billing Adjustment'!G7,IF('Billing Adjustment'!F7="Credit",-'Billing Adjustment'!G7,"Error"))</f>
        <v>25</v>
      </c>
    </row>
    <row r="7" spans="1:8" x14ac:dyDescent="0.2">
      <c r="A7" t="str">
        <f>"00-"&amp;'Billing Adjustment'!B8</f>
        <v>00-0554</v>
      </c>
      <c r="B7" s="3" t="str">
        <f>'Billing Adjustment'!C8</f>
        <v>A212</v>
      </c>
      <c r="C7" s="3" t="str">
        <f>'Billing Adjustment'!D8</f>
        <v>01</v>
      </c>
      <c r="D7" t="str">
        <f>'Billing Adjustment'!H8</f>
        <v>MF</v>
      </c>
      <c r="E7" s="59">
        <f>'Billing Adjustment'!A8</f>
        <v>41438</v>
      </c>
      <c r="F7" s="12" t="str">
        <f>'Billing Adjustment'!K8</f>
        <v>New owner Move in</v>
      </c>
      <c r="G7" t="str">
        <f t="shared" si="0"/>
        <v>CR</v>
      </c>
      <c r="H7" s="9">
        <f>IF('Billing Adjustment'!F8="Charge",'Billing Adjustment'!G8,IF('Billing Adjustment'!F8="Credit",-'Billing Adjustment'!G8,"Error"))</f>
        <v>150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2013-06-13T19:13:55Z</dcterms:modified>
</cp:coreProperties>
</file>