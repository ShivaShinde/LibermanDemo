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45" yWindow="1020" windowWidth="15480" windowHeight="4905" tabRatio="752" firstSheet="1" activeTab="1"/>
  </bookViews>
  <sheets>
    <sheet name="Market Analysis" sheetId="28" state="hidden" r:id="rId1"/>
    <sheet name="Options - EE Only" sheetId="24" r:id="rId2"/>
    <sheet name="Dental" sheetId="25" r:id="rId3"/>
    <sheet name="Life Only" sheetId="22" r:id="rId4"/>
  </sheets>
  <definedNames>
    <definedName name="_xlnm.Print_Area" localSheetId="2">Dental!$A$1:$J$31</definedName>
    <definedName name="_xlnm.Print_Area" localSheetId="3">'Life Only'!$A$1:$F$15</definedName>
    <definedName name="_xlnm.Print_Area" localSheetId="0">'Market Analysis'!$A$1:$C$54</definedName>
    <definedName name="_xlnm.Print_Area" localSheetId="1">'Options - EE Only'!$A$1:$O$32</definedName>
    <definedName name="_xlnm.Print_Titles" localSheetId="0">'Market Analysis'!$1:$3</definedName>
    <definedName name="wpsMainContent" localSheetId="2">Dental!#REF!</definedName>
    <definedName name="wpsMainContent" localSheetId="3">'Life Only'!#REF!</definedName>
    <definedName name="wpsMainContent" localSheetId="1">'Options - EE Only'!#REF!</definedName>
  </definedNames>
  <calcPr calcId="145621"/>
</workbook>
</file>

<file path=xl/calcChain.xml><?xml version="1.0" encoding="utf-8"?>
<calcChain xmlns="http://schemas.openxmlformats.org/spreadsheetml/2006/main">
  <c r="E14" i="22" l="1"/>
  <c r="E15" i="22" s="1"/>
  <c r="H11" i="25"/>
  <c r="H13" i="25" s="1"/>
  <c r="H15" i="25" s="1"/>
  <c r="M10" i="24"/>
  <c r="M13" i="24" s="1"/>
  <c r="C14" i="22"/>
  <c r="C15" i="22" s="1"/>
  <c r="M15" i="24" l="1"/>
  <c r="J10" i="24"/>
  <c r="J13" i="24" s="1"/>
  <c r="E10" i="24"/>
  <c r="E13" i="24" s="1"/>
  <c r="M17" i="24" s="1"/>
  <c r="A1" i="25" l="1"/>
  <c r="E11" i="25"/>
  <c r="B11" i="25"/>
  <c r="A1" i="24"/>
  <c r="A1" i="22" s="1"/>
  <c r="J15" i="24"/>
  <c r="E13" i="25" l="1"/>
  <c r="E15" i="25" s="1"/>
  <c r="E15" i="24"/>
  <c r="M19" i="24" s="1"/>
  <c r="J17" i="24"/>
  <c r="J19" i="24" l="1"/>
</calcChain>
</file>

<file path=xl/sharedStrings.xml><?xml version="1.0" encoding="utf-8"?>
<sst xmlns="http://schemas.openxmlformats.org/spreadsheetml/2006/main" count="127" uniqueCount="73">
  <si>
    <t>PPO</t>
  </si>
  <si>
    <t>Annual Totals</t>
  </si>
  <si>
    <t>Co-insurance</t>
  </si>
  <si>
    <t>Current</t>
  </si>
  <si>
    <t>Percentage Based off of Current</t>
  </si>
  <si>
    <t>Monthly Total</t>
  </si>
  <si>
    <t>Preventive</t>
  </si>
  <si>
    <t>Basic</t>
  </si>
  <si>
    <t>Major</t>
  </si>
  <si>
    <t>Orthodontia</t>
  </si>
  <si>
    <t>Alternative Option</t>
  </si>
  <si>
    <t>Employee</t>
  </si>
  <si>
    <t>Employee + Spouse</t>
  </si>
  <si>
    <t>Family</t>
  </si>
  <si>
    <t>Employee + Child</t>
  </si>
  <si>
    <t>Life/AD&amp;D</t>
  </si>
  <si>
    <t>In-Network</t>
  </si>
  <si>
    <t>Out-of-Network</t>
  </si>
  <si>
    <t>Individual OOP Max. (including Ded)</t>
  </si>
  <si>
    <t>Family OOP Max. (including Ded)</t>
  </si>
  <si>
    <t>Annual Maximum</t>
  </si>
  <si>
    <t>Orthodontia Lifetime Maximum</t>
  </si>
  <si>
    <t>Total Annual $ Increase from Current</t>
  </si>
  <si>
    <t>Marketing Analysis</t>
  </si>
  <si>
    <t>Result</t>
  </si>
  <si>
    <t>Incumbent</t>
  </si>
  <si>
    <t>All Full Time Employees</t>
  </si>
  <si>
    <t>Benefit</t>
  </si>
  <si>
    <t>Total Volume</t>
  </si>
  <si>
    <t>Rate/$1000 of Benefit</t>
  </si>
  <si>
    <t>Rate Guarantee</t>
  </si>
  <si>
    <t>Class Description</t>
  </si>
  <si>
    <t>Individual Annual Deductible</t>
  </si>
  <si>
    <t>Individual Deductible</t>
  </si>
  <si>
    <t>Family Deductible</t>
  </si>
  <si>
    <t>Dr. Office Visit (In-network)</t>
  </si>
  <si>
    <t>Rx Copays (In-Network)</t>
  </si>
  <si>
    <t>ER Copay</t>
  </si>
  <si>
    <t>Annual Premiums column is optional only  based on the request of the agent.</t>
  </si>
  <si>
    <t>Medical Carriers Approached</t>
  </si>
  <si>
    <t>Dental Carriers Approached</t>
  </si>
  <si>
    <t>Life Carriers Approached</t>
  </si>
  <si>
    <t>Short Term Disability Carriers Approached</t>
  </si>
  <si>
    <t>Long Term Disability Carriers Approached</t>
  </si>
  <si>
    <t>Vision Carriers Approached</t>
  </si>
  <si>
    <t>Annual Premiums</t>
  </si>
  <si>
    <t>Family Annual Deductible</t>
  </si>
  <si>
    <t>Renewal Date</t>
  </si>
  <si>
    <t>The Dana Point Condominium Association</t>
  </si>
  <si>
    <t>United Healthcare</t>
  </si>
  <si>
    <t>$10/35/60</t>
  </si>
  <si>
    <t>$30 PCP/$40 SPEC</t>
  </si>
  <si>
    <t>N/A</t>
  </si>
  <si>
    <t>Steven Mulvey</t>
  </si>
  <si>
    <t>EE</t>
  </si>
  <si>
    <t>Juan Medina</t>
  </si>
  <si>
    <t>IL OAMC</t>
  </si>
  <si>
    <t>$30 PCP/$50 SPEC</t>
  </si>
  <si>
    <r>
      <t>$10/</t>
    </r>
    <r>
      <rPr>
        <b/>
        <sz val="12"/>
        <rFont val="Times New Roman"/>
        <family val="1"/>
      </rPr>
      <t>40/65</t>
    </r>
  </si>
  <si>
    <t>June 1, 2013 ~ Dental Insurance Summary</t>
  </si>
  <si>
    <t>Alternative Carriers Options</t>
  </si>
  <si>
    <t>Endodontics/Periodontics</t>
  </si>
  <si>
    <t>None</t>
  </si>
  <si>
    <t>1 Year</t>
  </si>
  <si>
    <t>PPO Option 4</t>
  </si>
  <si>
    <t>Age Rated</t>
  </si>
  <si>
    <t>Annual Total</t>
  </si>
  <si>
    <t>July 1, 2013 ~ Life/AD&amp;D Insurance Summary</t>
  </si>
  <si>
    <t>Aetna - Quoted</t>
  </si>
  <si>
    <t>Aetna - Prescreen</t>
  </si>
  <si>
    <t>July 1, 20013 ~ Health Insurance Summary</t>
  </si>
  <si>
    <t>Aetna Quoted</t>
  </si>
  <si>
    <t>Aetna Prescreen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</si>
</sst>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.000"/>
    <numFmt numFmtId="166" formatCode="&quot;$&quot;#,##0"/>
    <numFmt numFmtId="167" formatCode="m/d;@"/>
    <numFmt numFmtId="168" formatCode="[$-409]mmmm\ d\,\ yyyy;@"/>
  </numFmts>
  <fonts count="49" x14ac:knownFonts="1">
    <font>
      <sz val="10"/>
      <name val="Arial"/>
    </font>
    <font>
      <sz val="10"/>
      <name val="Arial"/>
      <family val="2"/>
    </font>
    <font>
      <b/>
      <sz val="16"/>
      <name val="Times New Roman"/>
      <family val="1"/>
    </font>
    <font>
      <sz val="12"/>
      <name val="Times New Roman"/>
      <family val="1"/>
    </font>
    <font>
      <u/>
      <sz val="12"/>
      <name val="Times New Roman"/>
      <family val="1"/>
    </font>
    <font>
      <b/>
      <sz val="12"/>
      <name val="Times New Roman"/>
      <family val="1"/>
    </font>
    <font>
      <b/>
      <i/>
      <sz val="16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b/>
      <sz val="12"/>
      <color indexed="9"/>
      <name val="Times New Roman"/>
      <family val="1"/>
    </font>
    <font>
      <sz val="12"/>
      <color indexed="9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b/>
      <sz val="12"/>
      <color indexed="62"/>
      <name val="Times New Roman"/>
      <family val="1"/>
    </font>
    <font>
      <u/>
      <sz val="12"/>
      <color indexed="51"/>
      <name val="Times New Roman"/>
      <family val="1"/>
    </font>
    <font>
      <sz val="12"/>
      <color indexed="51"/>
      <name val="Times New Roman"/>
      <family val="1"/>
    </font>
    <font>
      <b/>
      <sz val="18"/>
      <color indexed="9"/>
      <name val="Times New Roman"/>
      <family val="1"/>
    </font>
    <font>
      <u/>
      <sz val="12"/>
      <color indexed="12"/>
      <name val="Times New Roman"/>
      <family val="1"/>
    </font>
    <font>
      <b/>
      <u/>
      <sz val="12"/>
      <name val="Times New Roman"/>
      <family val="1"/>
    </font>
    <font>
      <sz val="11"/>
      <name val="Times New Roman"/>
      <family val="1"/>
    </font>
    <font>
      <b/>
      <i/>
      <sz val="16"/>
      <name val="Times"/>
      <family val="1"/>
    </font>
    <font>
      <b/>
      <sz val="18"/>
      <color indexed="9"/>
      <name val="Times"/>
      <family val="1"/>
    </font>
    <font>
      <sz val="10"/>
      <name val="Times"/>
      <family val="1"/>
    </font>
    <font>
      <b/>
      <u/>
      <sz val="14"/>
      <name val="Times"/>
      <family val="1"/>
    </font>
    <font>
      <b/>
      <u/>
      <sz val="11"/>
      <name val="Times"/>
      <family val="1"/>
    </font>
    <font>
      <sz val="14"/>
      <name val="Times"/>
      <family val="1"/>
    </font>
    <font>
      <b/>
      <sz val="14"/>
      <name val="Times"/>
      <family val="1"/>
    </font>
    <font>
      <b/>
      <u/>
      <sz val="16"/>
      <name val="Times"/>
      <family val="1"/>
    </font>
    <font>
      <sz val="16"/>
      <name val="Times"/>
      <family val="1"/>
    </font>
    <font>
      <b/>
      <i/>
      <sz val="12"/>
      <color indexed="62"/>
      <name val="Times New Roman"/>
      <family val="1"/>
    </font>
    <font>
      <b/>
      <sz val="12"/>
      <color indexed="9"/>
      <name val="Times New Roman"/>
      <family val="1"/>
    </font>
    <font>
      <sz val="8"/>
      <name val="Arial"/>
      <family val="2"/>
    </font>
    <font>
      <b/>
      <i/>
      <u/>
      <sz val="12"/>
      <color indexed="12"/>
      <name val="Times New Roman"/>
      <family val="1"/>
    </font>
    <font>
      <b/>
      <sz val="14"/>
      <color indexed="12"/>
      <name val="Times New Roman"/>
      <family val="1"/>
    </font>
    <font>
      <sz val="12"/>
      <color indexed="12"/>
      <name val="Times New Roman"/>
      <family val="1"/>
    </font>
    <font>
      <b/>
      <sz val="12"/>
      <color indexed="12"/>
      <name val="Times New Roman"/>
      <family val="1"/>
    </font>
    <font>
      <b/>
      <i/>
      <sz val="12"/>
      <color indexed="12"/>
      <name val="Times New Roman"/>
      <family val="1"/>
    </font>
    <font>
      <b/>
      <i/>
      <sz val="26"/>
      <color indexed="12"/>
      <name val="Times New Roman"/>
      <family val="1"/>
    </font>
    <font>
      <b/>
      <i/>
      <sz val="16"/>
      <color indexed="12"/>
      <name val="Times New Roman"/>
      <family val="1"/>
    </font>
    <font>
      <b/>
      <i/>
      <u/>
      <sz val="12"/>
      <color rgb="FF00467F"/>
      <name val="Cambria"/>
      <family val="1"/>
    </font>
    <font>
      <u/>
      <sz val="12"/>
      <color rgb="FF00467F"/>
      <name val="Cambria"/>
      <family val="1"/>
    </font>
    <font>
      <b/>
      <sz val="14"/>
      <color rgb="FF00467F"/>
      <name val="Times New Roman"/>
      <family val="1"/>
    </font>
    <font>
      <sz val="12"/>
      <color rgb="FF00467F"/>
      <name val="Times New Roman"/>
      <family val="1"/>
    </font>
    <font>
      <b/>
      <i/>
      <sz val="26"/>
      <color rgb="FF00467F"/>
      <name val="Times"/>
      <family val="1"/>
    </font>
    <font>
      <b/>
      <i/>
      <sz val="14"/>
      <color rgb="FF00467F"/>
      <name val="Cambria"/>
      <family val="1"/>
    </font>
    <font>
      <b/>
      <sz val="12"/>
      <color rgb="FF00467F"/>
      <name val="Cambria"/>
      <family val="1"/>
    </font>
    <font>
      <sz val="14"/>
      <color rgb="FF00467F"/>
      <name val="Cambria"/>
      <family val="1"/>
    </font>
    <font>
      <b/>
      <i/>
      <sz val="26"/>
      <color rgb="FF00467F"/>
      <name val="Times New Roman"/>
      <family val="1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52"/>
      </patternFill>
    </fill>
    <fill>
      <patternFill patternType="solid">
        <fgColor indexed="12"/>
        <bgColor indexed="64"/>
      </patternFill>
    </fill>
    <fill>
      <patternFill patternType="solid">
        <fgColor rgb="FF00467F"/>
        <bgColor indexed="64"/>
      </patternFill>
    </fill>
    <fill>
      <patternFill patternType="solid">
        <fgColor rgb="FFD4891C"/>
        <bgColor indexed="52"/>
      </patternFill>
    </fill>
    <fill>
      <patternFill patternType="solid">
        <fgColor rgb="FFD4891C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1" fillId="0" borderId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48" fillId="0" borderId="0" applyFont="0" applyFill="0" applyBorder="0" applyAlignment="0" applyProtection="0"/>
    <xf numFmtId="0" fontId="1" fillId="0" borderId="0"/>
    <xf numFmtId="9" fontId="48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0" fontId="7" fillId="0" borderId="0" xfId="0" applyFont="1" applyBorder="1"/>
    <xf numFmtId="164" fontId="3" fillId="0" borderId="1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Fill="1"/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3" fillId="0" borderId="1" xfId="0" applyFont="1" applyBorder="1"/>
    <xf numFmtId="166" fontId="5" fillId="0" borderId="0" xfId="0" applyNumberFormat="1" applyFont="1" applyFill="1" applyBorder="1" applyAlignment="1">
      <alignment horizontal="center"/>
    </xf>
    <xf numFmtId="166" fontId="5" fillId="0" borderId="1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6" fontId="3" fillId="0" borderId="2" xfId="0" applyNumberFormat="1" applyFont="1" applyBorder="1" applyAlignment="1">
      <alignment horizontal="center"/>
    </xf>
    <xf numFmtId="0" fontId="3" fillId="0" borderId="0" xfId="0" quotePrefix="1" applyNumberFormat="1" applyFont="1" applyAlignment="1">
      <alignment horizontal="center"/>
    </xf>
    <xf numFmtId="0" fontId="3" fillId="0" borderId="2" xfId="0" quotePrefix="1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7" fillId="0" borderId="0" xfId="0" applyFont="1" applyFill="1" applyBorder="1"/>
    <xf numFmtId="0" fontId="3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6" fillId="0" borderId="0" xfId="0" applyFont="1" applyFill="1" applyBorder="1"/>
    <xf numFmtId="0" fontId="7" fillId="0" borderId="3" xfId="0" applyFont="1" applyBorder="1" applyAlignment="1">
      <alignment horizontal="center"/>
    </xf>
    <xf numFmtId="0" fontId="7" fillId="0" borderId="4" xfId="0" applyFont="1" applyBorder="1"/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66" fontId="3" fillId="0" borderId="0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0" fontId="5" fillId="0" borderId="6" xfId="0" applyFont="1" applyFill="1" applyBorder="1" applyAlignment="1">
      <alignment horizontal="center"/>
    </xf>
    <xf numFmtId="166" fontId="5" fillId="0" borderId="3" xfId="0" applyNumberFormat="1" applyFont="1" applyFill="1" applyBorder="1" applyAlignment="1">
      <alignment horizontal="center"/>
    </xf>
    <xf numFmtId="0" fontId="3" fillId="0" borderId="0" xfId="0" applyNumberFormat="1" applyFont="1" applyBorder="1" applyAlignment="1">
      <alignment horizontal="center" vertical="center" shrinkToFit="1"/>
    </xf>
    <xf numFmtId="0" fontId="3" fillId="0" borderId="1" xfId="0" applyNumberFormat="1" applyFont="1" applyBorder="1" applyAlignment="1">
      <alignment horizontal="center" vertical="center" shrinkToFit="1"/>
    </xf>
    <xf numFmtId="0" fontId="5" fillId="0" borderId="4" xfId="0" applyFont="1" applyFill="1" applyBorder="1" applyAlignment="1">
      <alignment horizontal="center"/>
    </xf>
    <xf numFmtId="9" fontId="3" fillId="0" borderId="0" xfId="0" applyNumberFormat="1" applyFont="1" applyBorder="1" applyAlignment="1">
      <alignment horizontal="center"/>
    </xf>
    <xf numFmtId="0" fontId="8" fillId="0" borderId="0" xfId="0" applyFont="1" applyAlignment="1">
      <alignment vertical="center"/>
    </xf>
    <xf numFmtId="166" fontId="3" fillId="0" borderId="0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14" fontId="9" fillId="0" borderId="7" xfId="0" applyNumberFormat="1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center"/>
    </xf>
    <xf numFmtId="164" fontId="14" fillId="0" borderId="1" xfId="0" applyNumberFormat="1" applyFont="1" applyFill="1" applyBorder="1" applyAlignment="1">
      <alignment horizontal="center"/>
    </xf>
    <xf numFmtId="164" fontId="15" fillId="0" borderId="0" xfId="0" applyNumberFormat="1" applyFont="1" applyFill="1" applyBorder="1" applyAlignment="1">
      <alignment horizontal="center"/>
    </xf>
    <xf numFmtId="0" fontId="15" fillId="0" borderId="2" xfId="0" applyFont="1" applyFill="1" applyBorder="1" applyAlignment="1">
      <alignment horizontal="center"/>
    </xf>
    <xf numFmtId="167" fontId="3" fillId="0" borderId="0" xfId="0" applyNumberFormat="1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 applyAlignment="1">
      <alignment shrinkToFit="1"/>
    </xf>
    <xf numFmtId="166" fontId="3" fillId="0" borderId="2" xfId="0" quotePrefix="1" applyNumberFormat="1" applyFont="1" applyBorder="1" applyAlignment="1">
      <alignment horizontal="center"/>
    </xf>
    <xf numFmtId="166" fontId="3" fillId="0" borderId="0" xfId="0" applyNumberFormat="1" applyFont="1" applyFill="1" applyBorder="1" applyAlignment="1">
      <alignment horizontal="center" vertical="center"/>
    </xf>
    <xf numFmtId="9" fontId="3" fillId="0" borderId="0" xfId="0" applyNumberFormat="1" applyFont="1" applyFill="1" applyBorder="1" applyAlignment="1">
      <alignment horizontal="center"/>
    </xf>
    <xf numFmtId="9" fontId="3" fillId="0" borderId="0" xfId="0" applyNumberFormat="1" applyFont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0" fontId="29" fillId="0" borderId="0" xfId="0" applyFont="1" applyBorder="1" applyAlignment="1"/>
    <xf numFmtId="0" fontId="3" fillId="0" borderId="6" xfId="0" applyFont="1" applyFill="1" applyBorder="1" applyAlignment="1">
      <alignment horizontal="center"/>
    </xf>
    <xf numFmtId="0" fontId="7" fillId="0" borderId="0" xfId="1" applyFont="1"/>
    <xf numFmtId="0" fontId="7" fillId="0" borderId="0" xfId="1" applyFont="1" applyAlignment="1"/>
    <xf numFmtId="0" fontId="19" fillId="0" borderId="0" xfId="1" applyFont="1" applyAlignment="1"/>
    <xf numFmtId="0" fontId="3" fillId="0" borderId="0" xfId="1" applyFont="1"/>
    <xf numFmtId="0" fontId="7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7" fillId="0" borderId="0" xfId="1" applyFont="1" applyAlignment="1">
      <alignment horizontal="left" indent="1"/>
    </xf>
    <xf numFmtId="0" fontId="7" fillId="0" borderId="0" xfId="1" applyFont="1" applyBorder="1" applyAlignment="1">
      <alignment horizontal="left" indent="1"/>
    </xf>
    <xf numFmtId="0" fontId="7" fillId="0" borderId="0" xfId="1" applyFont="1" applyFill="1" applyAlignment="1"/>
    <xf numFmtId="0" fontId="19" fillId="0" borderId="0" xfId="1" applyFont="1" applyFill="1" applyAlignment="1"/>
    <xf numFmtId="0" fontId="9" fillId="0" borderId="0" xfId="1" applyFont="1" applyFill="1" applyAlignment="1">
      <alignment horizontal="center"/>
    </xf>
    <xf numFmtId="0" fontId="7" fillId="0" borderId="0" xfId="1" applyFont="1" applyFill="1"/>
    <xf numFmtId="0" fontId="7" fillId="0" borderId="0" xfId="1" applyFont="1" applyFill="1" applyAlignment="1">
      <alignment horizontal="left" indent="1"/>
    </xf>
    <xf numFmtId="0" fontId="5" fillId="0" borderId="0" xfId="1" applyFont="1" applyFill="1" applyAlignment="1">
      <alignment horizontal="left" vertical="center"/>
    </xf>
    <xf numFmtId="6" fontId="7" fillId="0" borderId="9" xfId="1" applyNumberFormat="1" applyFont="1" applyBorder="1" applyAlignment="1">
      <alignment horizontal="center"/>
    </xf>
    <xf numFmtId="165" fontId="7" fillId="0" borderId="9" xfId="1" applyNumberFormat="1" applyFont="1" applyBorder="1" applyAlignment="1">
      <alignment horizontal="center"/>
    </xf>
    <xf numFmtId="166" fontId="7" fillId="0" borderId="9" xfId="1" applyNumberFormat="1" applyFont="1" applyBorder="1" applyAlignment="1">
      <alignment horizontal="center"/>
    </xf>
    <xf numFmtId="8" fontId="5" fillId="0" borderId="10" xfId="1" applyNumberFormat="1" applyFont="1" applyBorder="1" applyAlignment="1">
      <alignment horizontal="center" vertical="center"/>
    </xf>
    <xf numFmtId="0" fontId="7" fillId="2" borderId="9" xfId="1" applyFont="1" applyFill="1" applyBorder="1"/>
    <xf numFmtId="0" fontId="5" fillId="2" borderId="10" xfId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6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center"/>
    </xf>
    <xf numFmtId="0" fontId="3" fillId="2" borderId="11" xfId="0" applyFont="1" applyFill="1" applyBorder="1"/>
    <xf numFmtId="0" fontId="3" fillId="2" borderId="7" xfId="0" applyFont="1" applyFill="1" applyBorder="1" applyAlignment="1">
      <alignment horizontal="center"/>
    </xf>
    <xf numFmtId="0" fontId="3" fillId="2" borderId="6" xfId="0" applyFont="1" applyFill="1" applyBorder="1"/>
    <xf numFmtId="0" fontId="3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left"/>
    </xf>
    <xf numFmtId="166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/>
    </xf>
    <xf numFmtId="0" fontId="10" fillId="0" borderId="11" xfId="0" applyFont="1" applyFill="1" applyBorder="1" applyAlignment="1">
      <alignment horizontal="center" vertical="center"/>
    </xf>
    <xf numFmtId="0" fontId="3" fillId="0" borderId="7" xfId="0" applyFont="1" applyBorder="1"/>
    <xf numFmtId="0" fontId="3" fillId="0" borderId="7" xfId="0" applyFont="1" applyBorder="1" applyAlignment="1">
      <alignment vertical="center"/>
    </xf>
    <xf numFmtId="10" fontId="5" fillId="0" borderId="1" xfId="0" applyNumberFormat="1" applyFont="1" applyFill="1" applyBorder="1" applyAlignment="1">
      <alignment horizontal="center"/>
    </xf>
    <xf numFmtId="10" fontId="5" fillId="0" borderId="0" xfId="0" applyNumberFormat="1" applyFont="1" applyFill="1" applyBorder="1" applyAlignment="1">
      <alignment horizontal="center"/>
    </xf>
    <xf numFmtId="10" fontId="5" fillId="0" borderId="2" xfId="0" applyNumberFormat="1" applyFont="1" applyFill="1" applyBorder="1" applyAlignment="1">
      <alignment horizontal="center"/>
    </xf>
    <xf numFmtId="0" fontId="7" fillId="0" borderId="0" xfId="1" applyFont="1" applyBorder="1"/>
    <xf numFmtId="0" fontId="3" fillId="0" borderId="0" xfId="1" applyFont="1" applyBorder="1" applyAlignment="1">
      <alignment vertical="center"/>
    </xf>
    <xf numFmtId="5" fontId="5" fillId="0" borderId="0" xfId="0" applyNumberFormat="1" applyFont="1" applyFill="1" applyBorder="1" applyAlignment="1">
      <alignment horizontal="center"/>
    </xf>
    <xf numFmtId="6" fontId="5" fillId="0" borderId="0" xfId="0" applyNumberFormat="1" applyFont="1" applyFill="1" applyBorder="1" applyAlignment="1">
      <alignment horizontal="center"/>
    </xf>
    <xf numFmtId="6" fontId="5" fillId="0" borderId="1" xfId="0" applyNumberFormat="1" applyFont="1" applyFill="1" applyBorder="1" applyAlignment="1">
      <alignment horizontal="center"/>
    </xf>
    <xf numFmtId="6" fontId="5" fillId="0" borderId="2" xfId="0" applyNumberFormat="1" applyFont="1" applyFill="1" applyBorder="1" applyAlignment="1">
      <alignment horizontal="center"/>
    </xf>
    <xf numFmtId="5" fontId="5" fillId="0" borderId="2" xfId="0" applyNumberFormat="1" applyFont="1" applyFill="1" applyBorder="1" applyAlignment="1">
      <alignment horizontal="center"/>
    </xf>
    <xf numFmtId="0" fontId="20" fillId="0" borderId="0" xfId="0" applyFont="1" applyFill="1" applyBorder="1"/>
    <xf numFmtId="0" fontId="22" fillId="0" borderId="0" xfId="0" applyFont="1" applyFill="1" applyBorder="1"/>
    <xf numFmtId="0" fontId="23" fillId="0" borderId="0" xfId="0" applyFont="1" applyAlignment="1">
      <alignment horizontal="center"/>
    </xf>
    <xf numFmtId="0" fontId="22" fillId="0" borderId="0" xfId="0" applyFont="1"/>
    <xf numFmtId="0" fontId="25" fillId="0" borderId="0" xfId="0" applyFont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/>
    <xf numFmtId="0" fontId="3" fillId="0" borderId="4" xfId="0" applyFont="1" applyFill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164" fontId="39" fillId="0" borderId="5" xfId="0" applyNumberFormat="1" applyFont="1" applyBorder="1" applyAlignment="1">
      <alignment horizontal="center" vertical="center" wrapText="1"/>
    </xf>
    <xf numFmtId="0" fontId="40" fillId="0" borderId="7" xfId="0" applyFont="1" applyBorder="1" applyAlignment="1">
      <alignment vertical="center"/>
    </xf>
    <xf numFmtId="0" fontId="40" fillId="0" borderId="0" xfId="0" applyFont="1" applyAlignment="1">
      <alignment vertical="center"/>
    </xf>
    <xf numFmtId="0" fontId="40" fillId="0" borderId="11" xfId="0" applyFont="1" applyBorder="1" applyAlignment="1">
      <alignment vertical="center"/>
    </xf>
    <xf numFmtId="0" fontId="40" fillId="0" borderId="5" xfId="0" applyFont="1" applyBorder="1" applyAlignment="1">
      <alignment vertical="center"/>
    </xf>
    <xf numFmtId="14" fontId="13" fillId="0" borderId="7" xfId="0" applyNumberFormat="1" applyFont="1" applyFill="1" applyBorder="1" applyAlignment="1">
      <alignment horizontal="center" wrapText="1"/>
    </xf>
    <xf numFmtId="14" fontId="13" fillId="0" borderId="0" xfId="0" applyNumberFormat="1" applyFont="1" applyFill="1" applyBorder="1" applyAlignment="1">
      <alignment horizontal="center" wrapText="1"/>
    </xf>
    <xf numFmtId="14" fontId="13" fillId="0" borderId="9" xfId="0" applyNumberFormat="1" applyFont="1" applyFill="1" applyBorder="1" applyAlignment="1">
      <alignment horizontal="center" wrapText="1"/>
    </xf>
    <xf numFmtId="0" fontId="42" fillId="0" borderId="0" xfId="1" applyFont="1" applyAlignment="1">
      <alignment horizontal="center"/>
    </xf>
    <xf numFmtId="0" fontId="9" fillId="6" borderId="13" xfId="1" applyFont="1" applyFill="1" applyBorder="1" applyAlignment="1">
      <alignment horizontal="center"/>
    </xf>
    <xf numFmtId="0" fontId="41" fillId="7" borderId="12" xfId="0" applyFont="1" applyFill="1" applyBorder="1" applyAlignment="1">
      <alignment horizontal="center" wrapText="1"/>
    </xf>
    <xf numFmtId="0" fontId="3" fillId="2" borderId="5" xfId="0" applyFont="1" applyFill="1" applyBorder="1"/>
    <xf numFmtId="0" fontId="5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5" fillId="2" borderId="0" xfId="0" applyFont="1" applyFill="1" applyBorder="1"/>
    <xf numFmtId="0" fontId="5" fillId="2" borderId="4" xfId="0" applyFont="1" applyFill="1" applyBorder="1" applyAlignment="1">
      <alignment horizontal="left"/>
    </xf>
    <xf numFmtId="0" fontId="36" fillId="0" borderId="0" xfId="0" applyFont="1" applyBorder="1" applyAlignment="1"/>
    <xf numFmtId="14" fontId="35" fillId="0" borderId="0" xfId="0" applyNumberFormat="1" applyFont="1" applyFill="1" applyBorder="1" applyAlignment="1">
      <alignment horizontal="center" wrapText="1"/>
    </xf>
    <xf numFmtId="14" fontId="35" fillId="0" borderId="9" xfId="0" applyNumberFormat="1" applyFont="1" applyFill="1" applyBorder="1" applyAlignment="1">
      <alignment horizontal="center" wrapText="1"/>
    </xf>
    <xf numFmtId="5" fontId="35" fillId="0" borderId="0" xfId="0" applyNumberFormat="1" applyFont="1" applyFill="1" applyBorder="1" applyAlignment="1">
      <alignment horizontal="center"/>
    </xf>
    <xf numFmtId="5" fontId="35" fillId="0" borderId="2" xfId="0" applyNumberFormat="1" applyFont="1" applyFill="1" applyBorder="1" applyAlignment="1">
      <alignment horizontal="center"/>
    </xf>
    <xf numFmtId="164" fontId="32" fillId="0" borderId="5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7" fillId="0" borderId="11" xfId="0" applyFont="1" applyBorder="1" applyAlignment="1">
      <alignment vertical="center"/>
    </xf>
    <xf numFmtId="0" fontId="34" fillId="0" borderId="5" xfId="0" applyFont="1" applyBorder="1" applyAlignment="1">
      <alignment vertical="center"/>
    </xf>
    <xf numFmtId="166" fontId="3" fillId="0" borderId="0" xfId="0" applyNumberFormat="1" applyFont="1" applyAlignment="1">
      <alignment horizontal="center"/>
    </xf>
    <xf numFmtId="166" fontId="3" fillId="0" borderId="0" xfId="0" quotePrefix="1" applyNumberFormat="1" applyFont="1" applyAlignment="1">
      <alignment horizontal="center"/>
    </xf>
    <xf numFmtId="0" fontId="7" fillId="0" borderId="1" xfId="0" applyFont="1" applyBorder="1"/>
    <xf numFmtId="0" fontId="22" fillId="0" borderId="0" xfId="0" applyFont="1" applyAlignment="1">
      <alignment horizontal="center"/>
    </xf>
    <xf numFmtId="166" fontId="22" fillId="0" borderId="0" xfId="0" applyNumberFormat="1" applyFont="1" applyAlignment="1">
      <alignment horizontal="center"/>
    </xf>
    <xf numFmtId="166" fontId="23" fillId="0" borderId="0" xfId="0" applyNumberFormat="1" applyFont="1" applyAlignment="1">
      <alignment horizontal="center" wrapText="1"/>
    </xf>
    <xf numFmtId="166" fontId="26" fillId="0" borderId="0" xfId="0" applyNumberFormat="1" applyFont="1" applyAlignment="1">
      <alignment horizontal="center"/>
    </xf>
    <xf numFmtId="166" fontId="25" fillId="0" borderId="0" xfId="0" applyNumberFormat="1" applyFont="1" applyAlignment="1">
      <alignment horizontal="center"/>
    </xf>
    <xf numFmtId="166" fontId="24" fillId="0" borderId="0" xfId="0" applyNumberFormat="1" applyFont="1" applyAlignment="1">
      <alignment horizontal="center" wrapText="1"/>
    </xf>
    <xf numFmtId="164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4" fontId="39" fillId="0" borderId="5" xfId="0" applyNumberFormat="1" applyFont="1" applyBorder="1" applyAlignment="1">
      <alignment horizontal="center" vertical="center" wrapText="1"/>
    </xf>
    <xf numFmtId="9" fontId="3" fillId="0" borderId="0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0" borderId="0" xfId="1" applyFont="1" applyBorder="1" applyAlignment="1">
      <alignment horizontal="center" vertical="center"/>
    </xf>
    <xf numFmtId="166" fontId="5" fillId="0" borderId="0" xfId="0" applyNumberFormat="1" applyFont="1" applyFill="1" applyBorder="1" applyAlignment="1">
      <alignment horizontal="center" vertical="center"/>
    </xf>
    <xf numFmtId="166" fontId="5" fillId="0" borderId="0" xfId="0" applyNumberFormat="1" applyFont="1" applyBorder="1" applyAlignment="1">
      <alignment horizontal="center" vertical="center" wrapText="1"/>
    </xf>
    <xf numFmtId="166" fontId="5" fillId="0" borderId="0" xfId="0" applyNumberFormat="1" applyFont="1" applyBorder="1" applyAlignment="1">
      <alignment horizontal="center" vertical="center"/>
    </xf>
    <xf numFmtId="0" fontId="3" fillId="2" borderId="9" xfId="1" applyFont="1" applyFill="1" applyBorder="1" applyAlignment="1">
      <alignment horizontal="right" indent="1"/>
    </xf>
    <xf numFmtId="164" fontId="7" fillId="0" borderId="9" xfId="1" applyNumberFormat="1" applyFont="1" applyBorder="1" applyAlignment="1">
      <alignment horizontal="center"/>
    </xf>
    <xf numFmtId="0" fontId="5" fillId="2" borderId="9" xfId="1" applyFont="1" applyFill="1" applyBorder="1" applyAlignment="1">
      <alignment horizontal="left" vertical="center"/>
    </xf>
    <xf numFmtId="8" fontId="5" fillId="0" borderId="9" xfId="1" applyNumberFormat="1" applyFont="1" applyBorder="1" applyAlignment="1">
      <alignment horizontal="center" vertical="center"/>
    </xf>
    <xf numFmtId="0" fontId="5" fillId="0" borderId="0" xfId="1" applyFont="1" applyFill="1" applyBorder="1" applyAlignment="1">
      <alignment horizontal="left" vertical="center"/>
    </xf>
    <xf numFmtId="0" fontId="7" fillId="0" borderId="0" xfId="1" applyFont="1" applyFill="1" applyBorder="1" applyAlignment="1"/>
    <xf numFmtId="0" fontId="3" fillId="2" borderId="9" xfId="1" applyFont="1" applyFill="1" applyBorder="1" applyAlignment="1">
      <alignment horizontal="left" indent="1"/>
    </xf>
    <xf numFmtId="166" fontId="5" fillId="0" borderId="0" xfId="0" applyNumberFormat="1" applyFont="1" applyFill="1" applyBorder="1" applyAlignment="1">
      <alignment horizontal="center" vertical="center"/>
    </xf>
    <xf numFmtId="9" fontId="3" fillId="0" borderId="0" xfId="0" applyNumberFormat="1" applyFont="1" applyBorder="1" applyAlignment="1">
      <alignment horizontal="center"/>
    </xf>
    <xf numFmtId="0" fontId="25" fillId="0" borderId="0" xfId="0" applyFont="1" applyAlignment="1">
      <alignment horizontal="center" wrapText="1"/>
    </xf>
    <xf numFmtId="0" fontId="26" fillId="0" borderId="0" xfId="0" applyFont="1" applyAlignment="1">
      <alignment horizontal="center"/>
    </xf>
    <xf numFmtId="0" fontId="21" fillId="6" borderId="14" xfId="0" applyFont="1" applyFill="1" applyBorder="1" applyAlignment="1">
      <alignment horizontal="center" vertical="center"/>
    </xf>
    <xf numFmtId="0" fontId="21" fillId="6" borderId="8" xfId="0" applyFont="1" applyFill="1" applyBorder="1" applyAlignment="1">
      <alignment horizontal="center" vertical="center"/>
    </xf>
    <xf numFmtId="0" fontId="21" fillId="6" borderId="15" xfId="0" applyFont="1" applyFill="1" applyBorder="1" applyAlignment="1">
      <alignment horizontal="center" vertical="center"/>
    </xf>
    <xf numFmtId="0" fontId="43" fillId="0" borderId="4" xfId="0" applyFont="1" applyFill="1" applyBorder="1" applyAlignment="1">
      <alignment horizontal="center" vertical="center"/>
    </xf>
    <xf numFmtId="168" fontId="28" fillId="0" borderId="5" xfId="0" applyNumberFormat="1" applyFont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0" fillId="6" borderId="14" xfId="0" applyFont="1" applyFill="1" applyBorder="1" applyAlignment="1">
      <alignment horizontal="center" vertical="center"/>
    </xf>
    <xf numFmtId="0" fontId="30" fillId="6" borderId="8" xfId="0" applyFont="1" applyFill="1" applyBorder="1" applyAlignment="1">
      <alignment horizontal="center" vertical="center"/>
    </xf>
    <xf numFmtId="0" fontId="30" fillId="6" borderId="15" xfId="0" applyFont="1" applyFill="1" applyBorder="1" applyAlignment="1">
      <alignment horizontal="center" vertical="center"/>
    </xf>
    <xf numFmtId="166" fontId="3" fillId="0" borderId="4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6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66" fontId="3" fillId="0" borderId="0" xfId="0" applyNumberFormat="1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center" wrapText="1"/>
    </xf>
    <xf numFmtId="0" fontId="45" fillId="3" borderId="15" xfId="0" applyFont="1" applyFill="1" applyBorder="1" applyAlignment="1">
      <alignment horizontal="center" wrapText="1"/>
    </xf>
    <xf numFmtId="0" fontId="14" fillId="0" borderId="0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/>
    </xf>
    <xf numFmtId="0" fontId="30" fillId="6" borderId="14" xfId="0" applyFont="1" applyFill="1" applyBorder="1" applyAlignment="1">
      <alignment horizontal="center"/>
    </xf>
    <xf numFmtId="0" fontId="30" fillId="6" borderId="8" xfId="0" applyFont="1" applyFill="1" applyBorder="1" applyAlignment="1">
      <alignment horizontal="center"/>
    </xf>
    <xf numFmtId="0" fontId="30" fillId="6" borderId="15" xfId="0" applyFont="1" applyFill="1" applyBorder="1" applyAlignment="1">
      <alignment horizontal="center"/>
    </xf>
    <xf numFmtId="166" fontId="3" fillId="0" borderId="0" xfId="0" applyNumberFormat="1" applyFont="1" applyFill="1" applyBorder="1" applyAlignment="1">
      <alignment horizontal="center"/>
    </xf>
    <xf numFmtId="7" fontId="5" fillId="0" borderId="4" xfId="0" applyNumberFormat="1" applyFont="1" applyBorder="1" applyAlignment="1">
      <alignment horizontal="center"/>
    </xf>
    <xf numFmtId="0" fontId="44" fillId="0" borderId="0" xfId="0" applyFont="1" applyFill="1" applyBorder="1" applyAlignment="1">
      <alignment horizontal="center" wrapText="1" shrinkToFit="1"/>
    </xf>
    <xf numFmtId="0" fontId="46" fillId="0" borderId="0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45" fillId="8" borderId="14" xfId="0" applyFont="1" applyFill="1" applyBorder="1" applyAlignment="1">
      <alignment horizontal="center" wrapText="1"/>
    </xf>
    <xf numFmtId="0" fontId="45" fillId="8" borderId="15" xfId="0" applyFont="1" applyFill="1" applyBorder="1" applyAlignment="1">
      <alignment horizontal="center" wrapText="1"/>
    </xf>
    <xf numFmtId="0" fontId="44" fillId="0" borderId="4" xfId="0" applyFont="1" applyFill="1" applyBorder="1" applyAlignment="1">
      <alignment horizontal="center"/>
    </xf>
    <xf numFmtId="5" fontId="5" fillId="0" borderId="0" xfId="0" applyNumberFormat="1" applyFont="1" applyFill="1" applyBorder="1" applyAlignment="1">
      <alignment horizontal="center"/>
    </xf>
    <xf numFmtId="5" fontId="13" fillId="3" borderId="14" xfId="0" applyNumberFormat="1" applyFont="1" applyFill="1" applyBorder="1" applyAlignment="1">
      <alignment horizontal="center"/>
    </xf>
    <xf numFmtId="5" fontId="13" fillId="3" borderId="15" xfId="0" applyNumberFormat="1" applyFont="1" applyFill="1" applyBorder="1" applyAlignment="1">
      <alignment horizontal="center"/>
    </xf>
    <xf numFmtId="7" fontId="5" fillId="0" borderId="0" xfId="0" applyNumberFormat="1" applyFont="1" applyFill="1" applyBorder="1" applyAlignment="1">
      <alignment horizontal="center"/>
    </xf>
    <xf numFmtId="166" fontId="5" fillId="0" borderId="5" xfId="0" applyNumberFormat="1" applyFont="1" applyFill="1" applyBorder="1" applyAlignment="1">
      <alignment horizontal="center"/>
    </xf>
    <xf numFmtId="166" fontId="5" fillId="0" borderId="0" xfId="0" applyNumberFormat="1" applyFont="1" applyFill="1" applyBorder="1" applyAlignment="1">
      <alignment horizontal="center"/>
    </xf>
    <xf numFmtId="166" fontId="5" fillId="0" borderId="4" xfId="0" applyNumberFormat="1" applyFont="1" applyFill="1" applyBorder="1" applyAlignment="1">
      <alignment horizontal="center"/>
    </xf>
    <xf numFmtId="0" fontId="47" fillId="0" borderId="0" xfId="0" applyFont="1" applyFill="1" applyBorder="1" applyAlignment="1">
      <alignment horizontal="center" vertical="center"/>
    </xf>
    <xf numFmtId="6" fontId="5" fillId="0" borderId="0" xfId="0" applyNumberFormat="1" applyFont="1" applyFill="1" applyBorder="1" applyAlignment="1">
      <alignment horizontal="center"/>
    </xf>
    <xf numFmtId="10" fontId="5" fillId="0" borderId="0" xfId="2" applyNumberFormat="1" applyFont="1" applyFill="1" applyBorder="1" applyAlignment="1">
      <alignment horizontal="center"/>
    </xf>
    <xf numFmtId="0" fontId="16" fillId="6" borderId="14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6" fillId="6" borderId="15" xfId="0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9" fontId="3" fillId="0" borderId="0" xfId="0" applyNumberFormat="1" applyFont="1" applyBorder="1" applyAlignment="1">
      <alignment horizontal="center"/>
    </xf>
    <xf numFmtId="5" fontId="5" fillId="0" borderId="4" xfId="0" applyNumberFormat="1" applyFont="1" applyFill="1" applyBorder="1" applyAlignment="1">
      <alignment horizontal="center"/>
    </xf>
    <xf numFmtId="5" fontId="35" fillId="3" borderId="14" xfId="0" applyNumberFormat="1" applyFont="1" applyFill="1" applyBorder="1" applyAlignment="1">
      <alignment horizontal="center"/>
    </xf>
    <xf numFmtId="5" fontId="35" fillId="3" borderId="15" xfId="0" applyNumberFormat="1" applyFont="1" applyFill="1" applyBorder="1" applyAlignment="1">
      <alignment horizontal="center"/>
    </xf>
    <xf numFmtId="0" fontId="37" fillId="0" borderId="0" xfId="0" applyFont="1" applyFill="1" applyBorder="1" applyAlignment="1">
      <alignment horizontal="center" vertical="center"/>
    </xf>
    <xf numFmtId="0" fontId="38" fillId="0" borderId="4" xfId="0" applyFont="1" applyFill="1" applyBorder="1" applyAlignment="1">
      <alignment horizontal="center"/>
    </xf>
    <xf numFmtId="0" fontId="33" fillId="4" borderId="14" xfId="0" applyFont="1" applyFill="1" applyBorder="1" applyAlignment="1">
      <alignment horizontal="center" wrapText="1"/>
    </xf>
    <xf numFmtId="0" fontId="33" fillId="4" borderId="15" xfId="0" applyFont="1" applyFill="1" applyBorder="1" applyAlignment="1">
      <alignment horizontal="center" wrapText="1"/>
    </xf>
    <xf numFmtId="0" fontId="9" fillId="6" borderId="14" xfId="0" applyFont="1" applyFill="1" applyBorder="1" applyAlignment="1">
      <alignment horizontal="center"/>
    </xf>
    <xf numFmtId="0" fontId="9" fillId="5" borderId="15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4" fillId="0" borderId="5" xfId="0" applyNumberFormat="1" applyFont="1" applyFill="1" applyBorder="1" applyAlignment="1">
      <alignment horizontal="center" vertical="center"/>
    </xf>
    <xf numFmtId="166" fontId="3" fillId="0" borderId="0" xfId="0" applyNumberFormat="1" applyFont="1" applyBorder="1" applyAlignment="1">
      <alignment horizontal="center"/>
    </xf>
    <xf numFmtId="9" fontId="3" fillId="0" borderId="0" xfId="0" applyNumberFormat="1" applyFont="1" applyBorder="1" applyAlignment="1">
      <alignment horizontal="center" vertical="center"/>
    </xf>
    <xf numFmtId="166" fontId="3" fillId="0" borderId="0" xfId="0" applyNumberFormat="1" applyFont="1" applyBorder="1" applyAlignment="1">
      <alignment horizontal="center" vertical="center"/>
    </xf>
    <xf numFmtId="166" fontId="3" fillId="0" borderId="0" xfId="0" applyNumberFormat="1" applyFont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/>
    </xf>
    <xf numFmtId="0" fontId="16" fillId="6" borderId="0" xfId="0" applyFont="1" applyFill="1" applyBorder="1" applyAlignment="1">
      <alignment horizontal="center" vertical="center"/>
    </xf>
  </cellXfs>
  <cellStyles count="8">
    <cellStyle name="Currency 2" xfId="4"/>
    <cellStyle name="Normal" xfId="0" builtinId="0"/>
    <cellStyle name="Normal 2" xfId="1"/>
    <cellStyle name="Normal 2 2" xfId="5"/>
    <cellStyle name="Percent" xfId="2" builtinId="5"/>
    <cellStyle name="Percent 2" xfId="3"/>
    <cellStyle name="Percent 2 2" xfId="7"/>
    <cellStyle name="Percent 3" xfId="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467F"/>
      <rgbColor rgb="00FFFF00"/>
      <rgbColor rgb="00FF00FF"/>
      <rgbColor rgb="0000FFFF"/>
      <rgbColor rgb="00800000"/>
      <rgbColor rgb="00008000"/>
      <rgbColor rgb="00000080"/>
      <rgbColor rgb="008A68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D4891C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54"/>
  <sheetViews>
    <sheetView zoomScale="90" zoomScaleNormal="90" workbookViewId="0">
      <selection activeCell="A6" sqref="A6"/>
    </sheetView>
  </sheetViews>
  <sheetFormatPr defaultRowHeight="12.75" x14ac:dyDescent="0.2"/>
  <cols>
    <col min="1" max="1" width="40.7109375" style="157" customWidth="1"/>
    <col min="2" max="2" width="37.42578125" style="157" customWidth="1"/>
    <col min="3" max="3" width="35.5703125" style="158" customWidth="1"/>
    <col min="4" max="256" width="9.140625" style="120"/>
    <col min="257" max="257" width="40.7109375" style="120" customWidth="1"/>
    <col min="258" max="258" width="37.42578125" style="120" customWidth="1"/>
    <col min="259" max="259" width="35.5703125" style="120" customWidth="1"/>
    <col min="260" max="512" width="9.140625" style="120"/>
    <col min="513" max="513" width="40.7109375" style="120" customWidth="1"/>
    <col min="514" max="514" width="37.42578125" style="120" customWidth="1"/>
    <col min="515" max="515" width="35.5703125" style="120" customWidth="1"/>
    <col min="516" max="768" width="9.140625" style="120"/>
    <col min="769" max="769" width="40.7109375" style="120" customWidth="1"/>
    <col min="770" max="770" width="37.42578125" style="120" customWidth="1"/>
    <col min="771" max="771" width="35.5703125" style="120" customWidth="1"/>
    <col min="772" max="1024" width="9.140625" style="120"/>
    <col min="1025" max="1025" width="40.7109375" style="120" customWidth="1"/>
    <col min="1026" max="1026" width="37.42578125" style="120" customWidth="1"/>
    <col min="1027" max="1027" width="35.5703125" style="120" customWidth="1"/>
    <col min="1028" max="1280" width="9.140625" style="120"/>
    <col min="1281" max="1281" width="40.7109375" style="120" customWidth="1"/>
    <col min="1282" max="1282" width="37.42578125" style="120" customWidth="1"/>
    <col min="1283" max="1283" width="35.5703125" style="120" customWidth="1"/>
    <col min="1284" max="1536" width="9.140625" style="120"/>
    <col min="1537" max="1537" width="40.7109375" style="120" customWidth="1"/>
    <col min="1538" max="1538" width="37.42578125" style="120" customWidth="1"/>
    <col min="1539" max="1539" width="35.5703125" style="120" customWidth="1"/>
    <col min="1540" max="1792" width="9.140625" style="120"/>
    <col min="1793" max="1793" width="40.7109375" style="120" customWidth="1"/>
    <col min="1794" max="1794" width="37.42578125" style="120" customWidth="1"/>
    <col min="1795" max="1795" width="35.5703125" style="120" customWidth="1"/>
    <col min="1796" max="2048" width="9.140625" style="120"/>
    <col min="2049" max="2049" width="40.7109375" style="120" customWidth="1"/>
    <col min="2050" max="2050" width="37.42578125" style="120" customWidth="1"/>
    <col min="2051" max="2051" width="35.5703125" style="120" customWidth="1"/>
    <col min="2052" max="2304" width="9.140625" style="120"/>
    <col min="2305" max="2305" width="40.7109375" style="120" customWidth="1"/>
    <col min="2306" max="2306" width="37.42578125" style="120" customWidth="1"/>
    <col min="2307" max="2307" width="35.5703125" style="120" customWidth="1"/>
    <col min="2308" max="2560" width="9.140625" style="120"/>
    <col min="2561" max="2561" width="40.7109375" style="120" customWidth="1"/>
    <col min="2562" max="2562" width="37.42578125" style="120" customWidth="1"/>
    <col min="2563" max="2563" width="35.5703125" style="120" customWidth="1"/>
    <col min="2564" max="2816" width="9.140625" style="120"/>
    <col min="2817" max="2817" width="40.7109375" style="120" customWidth="1"/>
    <col min="2818" max="2818" width="37.42578125" style="120" customWidth="1"/>
    <col min="2819" max="2819" width="35.5703125" style="120" customWidth="1"/>
    <col min="2820" max="3072" width="9.140625" style="120"/>
    <col min="3073" max="3073" width="40.7109375" style="120" customWidth="1"/>
    <col min="3074" max="3074" width="37.42578125" style="120" customWidth="1"/>
    <col min="3075" max="3075" width="35.5703125" style="120" customWidth="1"/>
    <col min="3076" max="3328" width="9.140625" style="120"/>
    <col min="3329" max="3329" width="40.7109375" style="120" customWidth="1"/>
    <col min="3330" max="3330" width="37.42578125" style="120" customWidth="1"/>
    <col min="3331" max="3331" width="35.5703125" style="120" customWidth="1"/>
    <col min="3332" max="3584" width="9.140625" style="120"/>
    <col min="3585" max="3585" width="40.7109375" style="120" customWidth="1"/>
    <col min="3586" max="3586" width="37.42578125" style="120" customWidth="1"/>
    <col min="3587" max="3587" width="35.5703125" style="120" customWidth="1"/>
    <col min="3588" max="3840" width="9.140625" style="120"/>
    <col min="3841" max="3841" width="40.7109375" style="120" customWidth="1"/>
    <col min="3842" max="3842" width="37.42578125" style="120" customWidth="1"/>
    <col min="3843" max="3843" width="35.5703125" style="120" customWidth="1"/>
    <col min="3844" max="4096" width="9.140625" style="120"/>
    <col min="4097" max="4097" width="40.7109375" style="120" customWidth="1"/>
    <col min="4098" max="4098" width="37.42578125" style="120" customWidth="1"/>
    <col min="4099" max="4099" width="35.5703125" style="120" customWidth="1"/>
    <col min="4100" max="4352" width="9.140625" style="120"/>
    <col min="4353" max="4353" width="40.7109375" style="120" customWidth="1"/>
    <col min="4354" max="4354" width="37.42578125" style="120" customWidth="1"/>
    <col min="4355" max="4355" width="35.5703125" style="120" customWidth="1"/>
    <col min="4356" max="4608" width="9.140625" style="120"/>
    <col min="4609" max="4609" width="40.7109375" style="120" customWidth="1"/>
    <col min="4610" max="4610" width="37.42578125" style="120" customWidth="1"/>
    <col min="4611" max="4611" width="35.5703125" style="120" customWidth="1"/>
    <col min="4612" max="4864" width="9.140625" style="120"/>
    <col min="4865" max="4865" width="40.7109375" style="120" customWidth="1"/>
    <col min="4866" max="4866" width="37.42578125" style="120" customWidth="1"/>
    <col min="4867" max="4867" width="35.5703125" style="120" customWidth="1"/>
    <col min="4868" max="5120" width="9.140625" style="120"/>
    <col min="5121" max="5121" width="40.7109375" style="120" customWidth="1"/>
    <col min="5122" max="5122" width="37.42578125" style="120" customWidth="1"/>
    <col min="5123" max="5123" width="35.5703125" style="120" customWidth="1"/>
    <col min="5124" max="5376" width="9.140625" style="120"/>
    <col min="5377" max="5377" width="40.7109375" style="120" customWidth="1"/>
    <col min="5378" max="5378" width="37.42578125" style="120" customWidth="1"/>
    <col min="5379" max="5379" width="35.5703125" style="120" customWidth="1"/>
    <col min="5380" max="5632" width="9.140625" style="120"/>
    <col min="5633" max="5633" width="40.7109375" style="120" customWidth="1"/>
    <col min="5634" max="5634" width="37.42578125" style="120" customWidth="1"/>
    <col min="5635" max="5635" width="35.5703125" style="120" customWidth="1"/>
    <col min="5636" max="5888" width="9.140625" style="120"/>
    <col min="5889" max="5889" width="40.7109375" style="120" customWidth="1"/>
    <col min="5890" max="5890" width="37.42578125" style="120" customWidth="1"/>
    <col min="5891" max="5891" width="35.5703125" style="120" customWidth="1"/>
    <col min="5892" max="6144" width="9.140625" style="120"/>
    <col min="6145" max="6145" width="40.7109375" style="120" customWidth="1"/>
    <col min="6146" max="6146" width="37.42578125" style="120" customWidth="1"/>
    <col min="6147" max="6147" width="35.5703125" style="120" customWidth="1"/>
    <col min="6148" max="6400" width="9.140625" style="120"/>
    <col min="6401" max="6401" width="40.7109375" style="120" customWidth="1"/>
    <col min="6402" max="6402" width="37.42578125" style="120" customWidth="1"/>
    <col min="6403" max="6403" width="35.5703125" style="120" customWidth="1"/>
    <col min="6404" max="6656" width="9.140625" style="120"/>
    <col min="6657" max="6657" width="40.7109375" style="120" customWidth="1"/>
    <col min="6658" max="6658" width="37.42578125" style="120" customWidth="1"/>
    <col min="6659" max="6659" width="35.5703125" style="120" customWidth="1"/>
    <col min="6660" max="6912" width="9.140625" style="120"/>
    <col min="6913" max="6913" width="40.7109375" style="120" customWidth="1"/>
    <col min="6914" max="6914" width="37.42578125" style="120" customWidth="1"/>
    <col min="6915" max="6915" width="35.5703125" style="120" customWidth="1"/>
    <col min="6916" max="7168" width="9.140625" style="120"/>
    <col min="7169" max="7169" width="40.7109375" style="120" customWidth="1"/>
    <col min="7170" max="7170" width="37.42578125" style="120" customWidth="1"/>
    <col min="7171" max="7171" width="35.5703125" style="120" customWidth="1"/>
    <col min="7172" max="7424" width="9.140625" style="120"/>
    <col min="7425" max="7425" width="40.7109375" style="120" customWidth="1"/>
    <col min="7426" max="7426" width="37.42578125" style="120" customWidth="1"/>
    <col min="7427" max="7427" width="35.5703125" style="120" customWidth="1"/>
    <col min="7428" max="7680" width="9.140625" style="120"/>
    <col min="7681" max="7681" width="40.7109375" style="120" customWidth="1"/>
    <col min="7682" max="7682" width="37.42578125" style="120" customWidth="1"/>
    <col min="7683" max="7683" width="35.5703125" style="120" customWidth="1"/>
    <col min="7684" max="7936" width="9.140625" style="120"/>
    <col min="7937" max="7937" width="40.7109375" style="120" customWidth="1"/>
    <col min="7938" max="7938" width="37.42578125" style="120" customWidth="1"/>
    <col min="7939" max="7939" width="35.5703125" style="120" customWidth="1"/>
    <col min="7940" max="8192" width="9.140625" style="120"/>
    <col min="8193" max="8193" width="40.7109375" style="120" customWidth="1"/>
    <col min="8194" max="8194" width="37.42578125" style="120" customWidth="1"/>
    <col min="8195" max="8195" width="35.5703125" style="120" customWidth="1"/>
    <col min="8196" max="8448" width="9.140625" style="120"/>
    <col min="8449" max="8449" width="40.7109375" style="120" customWidth="1"/>
    <col min="8450" max="8450" width="37.42578125" style="120" customWidth="1"/>
    <col min="8451" max="8451" width="35.5703125" style="120" customWidth="1"/>
    <col min="8452" max="8704" width="9.140625" style="120"/>
    <col min="8705" max="8705" width="40.7109375" style="120" customWidth="1"/>
    <col min="8706" max="8706" width="37.42578125" style="120" customWidth="1"/>
    <col min="8707" max="8707" width="35.5703125" style="120" customWidth="1"/>
    <col min="8708" max="8960" width="9.140625" style="120"/>
    <col min="8961" max="8961" width="40.7109375" style="120" customWidth="1"/>
    <col min="8962" max="8962" width="37.42578125" style="120" customWidth="1"/>
    <col min="8963" max="8963" width="35.5703125" style="120" customWidth="1"/>
    <col min="8964" max="9216" width="9.140625" style="120"/>
    <col min="9217" max="9217" width="40.7109375" style="120" customWidth="1"/>
    <col min="9218" max="9218" width="37.42578125" style="120" customWidth="1"/>
    <col min="9219" max="9219" width="35.5703125" style="120" customWidth="1"/>
    <col min="9220" max="9472" width="9.140625" style="120"/>
    <col min="9473" max="9473" width="40.7109375" style="120" customWidth="1"/>
    <col min="9474" max="9474" width="37.42578125" style="120" customWidth="1"/>
    <col min="9475" max="9475" width="35.5703125" style="120" customWidth="1"/>
    <col min="9476" max="9728" width="9.140625" style="120"/>
    <col min="9729" max="9729" width="40.7109375" style="120" customWidth="1"/>
    <col min="9730" max="9730" width="37.42578125" style="120" customWidth="1"/>
    <col min="9731" max="9731" width="35.5703125" style="120" customWidth="1"/>
    <col min="9732" max="9984" width="9.140625" style="120"/>
    <col min="9985" max="9985" width="40.7109375" style="120" customWidth="1"/>
    <col min="9986" max="9986" width="37.42578125" style="120" customWidth="1"/>
    <col min="9987" max="9987" width="35.5703125" style="120" customWidth="1"/>
    <col min="9988" max="10240" width="9.140625" style="120"/>
    <col min="10241" max="10241" width="40.7109375" style="120" customWidth="1"/>
    <col min="10242" max="10242" width="37.42578125" style="120" customWidth="1"/>
    <col min="10243" max="10243" width="35.5703125" style="120" customWidth="1"/>
    <col min="10244" max="10496" width="9.140625" style="120"/>
    <col min="10497" max="10497" width="40.7109375" style="120" customWidth="1"/>
    <col min="10498" max="10498" width="37.42578125" style="120" customWidth="1"/>
    <col min="10499" max="10499" width="35.5703125" style="120" customWidth="1"/>
    <col min="10500" max="10752" width="9.140625" style="120"/>
    <col min="10753" max="10753" width="40.7109375" style="120" customWidth="1"/>
    <col min="10754" max="10754" width="37.42578125" style="120" customWidth="1"/>
    <col min="10755" max="10755" width="35.5703125" style="120" customWidth="1"/>
    <col min="10756" max="11008" width="9.140625" style="120"/>
    <col min="11009" max="11009" width="40.7109375" style="120" customWidth="1"/>
    <col min="11010" max="11010" width="37.42578125" style="120" customWidth="1"/>
    <col min="11011" max="11011" width="35.5703125" style="120" customWidth="1"/>
    <col min="11012" max="11264" width="9.140625" style="120"/>
    <col min="11265" max="11265" width="40.7109375" style="120" customWidth="1"/>
    <col min="11266" max="11266" width="37.42578125" style="120" customWidth="1"/>
    <col min="11267" max="11267" width="35.5703125" style="120" customWidth="1"/>
    <col min="11268" max="11520" width="9.140625" style="120"/>
    <col min="11521" max="11521" width="40.7109375" style="120" customWidth="1"/>
    <col min="11522" max="11522" width="37.42578125" style="120" customWidth="1"/>
    <col min="11523" max="11523" width="35.5703125" style="120" customWidth="1"/>
    <col min="11524" max="11776" width="9.140625" style="120"/>
    <col min="11777" max="11777" width="40.7109375" style="120" customWidth="1"/>
    <col min="11778" max="11778" width="37.42578125" style="120" customWidth="1"/>
    <col min="11779" max="11779" width="35.5703125" style="120" customWidth="1"/>
    <col min="11780" max="12032" width="9.140625" style="120"/>
    <col min="12033" max="12033" width="40.7109375" style="120" customWidth="1"/>
    <col min="12034" max="12034" width="37.42578125" style="120" customWidth="1"/>
    <col min="12035" max="12035" width="35.5703125" style="120" customWidth="1"/>
    <col min="12036" max="12288" width="9.140625" style="120"/>
    <col min="12289" max="12289" width="40.7109375" style="120" customWidth="1"/>
    <col min="12290" max="12290" width="37.42578125" style="120" customWidth="1"/>
    <col min="12291" max="12291" width="35.5703125" style="120" customWidth="1"/>
    <col min="12292" max="12544" width="9.140625" style="120"/>
    <col min="12545" max="12545" width="40.7109375" style="120" customWidth="1"/>
    <col min="12546" max="12546" width="37.42578125" style="120" customWidth="1"/>
    <col min="12547" max="12547" width="35.5703125" style="120" customWidth="1"/>
    <col min="12548" max="12800" width="9.140625" style="120"/>
    <col min="12801" max="12801" width="40.7109375" style="120" customWidth="1"/>
    <col min="12802" max="12802" width="37.42578125" style="120" customWidth="1"/>
    <col min="12803" max="12803" width="35.5703125" style="120" customWidth="1"/>
    <col min="12804" max="13056" width="9.140625" style="120"/>
    <col min="13057" max="13057" width="40.7109375" style="120" customWidth="1"/>
    <col min="13058" max="13058" width="37.42578125" style="120" customWidth="1"/>
    <col min="13059" max="13059" width="35.5703125" style="120" customWidth="1"/>
    <col min="13060" max="13312" width="9.140625" style="120"/>
    <col min="13313" max="13313" width="40.7109375" style="120" customWidth="1"/>
    <col min="13314" max="13314" width="37.42578125" style="120" customWidth="1"/>
    <col min="13315" max="13315" width="35.5703125" style="120" customWidth="1"/>
    <col min="13316" max="13568" width="9.140625" style="120"/>
    <col min="13569" max="13569" width="40.7109375" style="120" customWidth="1"/>
    <col min="13570" max="13570" width="37.42578125" style="120" customWidth="1"/>
    <col min="13571" max="13571" width="35.5703125" style="120" customWidth="1"/>
    <col min="13572" max="13824" width="9.140625" style="120"/>
    <col min="13825" max="13825" width="40.7109375" style="120" customWidth="1"/>
    <col min="13826" max="13826" width="37.42578125" style="120" customWidth="1"/>
    <col min="13827" max="13827" width="35.5703125" style="120" customWidth="1"/>
    <col min="13828" max="14080" width="9.140625" style="120"/>
    <col min="14081" max="14081" width="40.7109375" style="120" customWidth="1"/>
    <col min="14082" max="14082" width="37.42578125" style="120" customWidth="1"/>
    <col min="14083" max="14083" width="35.5703125" style="120" customWidth="1"/>
    <col min="14084" max="14336" width="9.140625" style="120"/>
    <col min="14337" max="14337" width="40.7109375" style="120" customWidth="1"/>
    <col min="14338" max="14338" width="37.42578125" style="120" customWidth="1"/>
    <col min="14339" max="14339" width="35.5703125" style="120" customWidth="1"/>
    <col min="14340" max="14592" width="9.140625" style="120"/>
    <col min="14593" max="14593" width="40.7109375" style="120" customWidth="1"/>
    <col min="14594" max="14594" width="37.42578125" style="120" customWidth="1"/>
    <col min="14595" max="14595" width="35.5703125" style="120" customWidth="1"/>
    <col min="14596" max="14848" width="9.140625" style="120"/>
    <col min="14849" max="14849" width="40.7109375" style="120" customWidth="1"/>
    <col min="14850" max="14850" width="37.42578125" style="120" customWidth="1"/>
    <col min="14851" max="14851" width="35.5703125" style="120" customWidth="1"/>
    <col min="14852" max="15104" width="9.140625" style="120"/>
    <col min="15105" max="15105" width="40.7109375" style="120" customWidth="1"/>
    <col min="15106" max="15106" width="37.42578125" style="120" customWidth="1"/>
    <col min="15107" max="15107" width="35.5703125" style="120" customWidth="1"/>
    <col min="15108" max="15360" width="9.140625" style="120"/>
    <col min="15361" max="15361" width="40.7109375" style="120" customWidth="1"/>
    <col min="15362" max="15362" width="37.42578125" style="120" customWidth="1"/>
    <col min="15363" max="15363" width="35.5703125" style="120" customWidth="1"/>
    <col min="15364" max="15616" width="9.140625" style="120"/>
    <col min="15617" max="15617" width="40.7109375" style="120" customWidth="1"/>
    <col min="15618" max="15618" width="37.42578125" style="120" customWidth="1"/>
    <col min="15619" max="15619" width="35.5703125" style="120" customWidth="1"/>
    <col min="15620" max="15872" width="9.140625" style="120"/>
    <col min="15873" max="15873" width="40.7109375" style="120" customWidth="1"/>
    <col min="15874" max="15874" width="37.42578125" style="120" customWidth="1"/>
    <col min="15875" max="15875" width="35.5703125" style="120" customWidth="1"/>
    <col min="15876" max="16128" width="9.140625" style="120"/>
    <col min="16129" max="16129" width="40.7109375" style="120" customWidth="1"/>
    <col min="16130" max="16130" width="37.42578125" style="120" customWidth="1"/>
    <col min="16131" max="16131" width="35.5703125" style="120" customWidth="1"/>
    <col min="16132" max="16384" width="9.140625" style="120"/>
  </cols>
  <sheetData>
    <row r="1" spans="1:8" s="117" customFormat="1" ht="48.75" customHeight="1" x14ac:dyDescent="0.3">
      <c r="A1" s="188" t="s">
        <v>48</v>
      </c>
      <c r="B1" s="188"/>
      <c r="C1" s="188"/>
    </row>
    <row r="2" spans="1:8" s="118" customFormat="1" ht="26.25" customHeight="1" x14ac:dyDescent="0.2">
      <c r="A2" s="185" t="s">
        <v>23</v>
      </c>
      <c r="B2" s="186"/>
      <c r="C2" s="187"/>
    </row>
    <row r="3" spans="1:8" ht="23.25" customHeight="1" x14ac:dyDescent="0.3">
      <c r="A3" s="189" t="s">
        <v>47</v>
      </c>
      <c r="B3" s="189"/>
      <c r="C3" s="189"/>
    </row>
    <row r="4" spans="1:8" s="124" customFormat="1" ht="34.5" customHeight="1" x14ac:dyDescent="0.3">
      <c r="A4" s="123" t="s">
        <v>39</v>
      </c>
      <c r="B4" s="123" t="s">
        <v>24</v>
      </c>
      <c r="C4" s="159" t="s">
        <v>45</v>
      </c>
    </row>
    <row r="5" spans="1:8" s="121" customFormat="1" ht="18.75" x14ac:dyDescent="0.3">
      <c r="A5" s="184"/>
      <c r="B5" s="184"/>
      <c r="C5" s="160"/>
    </row>
    <row r="6" spans="1:8" s="121" customFormat="1" ht="18.75" x14ac:dyDescent="0.3">
      <c r="A6" s="122"/>
      <c r="B6" s="122" t="s">
        <v>25</v>
      </c>
      <c r="C6" s="161"/>
      <c r="E6" s="183" t="s">
        <v>38</v>
      </c>
      <c r="F6" s="183"/>
      <c r="G6" s="183"/>
      <c r="H6" s="183"/>
    </row>
    <row r="7" spans="1:8" s="121" customFormat="1" ht="18.75" x14ac:dyDescent="0.3">
      <c r="A7" s="122"/>
      <c r="B7" s="122"/>
      <c r="C7" s="161"/>
      <c r="E7" s="183"/>
      <c r="F7" s="183"/>
      <c r="G7" s="183"/>
      <c r="H7" s="183"/>
    </row>
    <row r="8" spans="1:8" s="121" customFormat="1" ht="18.75" x14ac:dyDescent="0.3">
      <c r="A8" s="122"/>
      <c r="B8" s="122"/>
      <c r="C8" s="161"/>
      <c r="E8" s="183"/>
      <c r="F8" s="183"/>
      <c r="G8" s="183"/>
      <c r="H8" s="183"/>
    </row>
    <row r="9" spans="1:8" s="121" customFormat="1" ht="18.75" x14ac:dyDescent="0.3">
      <c r="A9" s="122"/>
      <c r="B9" s="122"/>
      <c r="C9" s="161"/>
      <c r="E9" s="183"/>
      <c r="F9" s="183"/>
      <c r="G9" s="183"/>
      <c r="H9" s="183"/>
    </row>
    <row r="10" spans="1:8" s="121" customFormat="1" ht="18.75" x14ac:dyDescent="0.3">
      <c r="A10" s="122"/>
      <c r="B10" s="122"/>
      <c r="C10" s="161"/>
      <c r="E10" s="183"/>
      <c r="F10" s="183"/>
      <c r="G10" s="183"/>
      <c r="H10" s="183"/>
    </row>
    <row r="11" spans="1:8" s="121" customFormat="1" ht="18.75" x14ac:dyDescent="0.3">
      <c r="A11" s="122"/>
      <c r="B11" s="122"/>
      <c r="C11" s="161"/>
    </row>
    <row r="12" spans="1:8" s="124" customFormat="1" ht="20.25" x14ac:dyDescent="0.3">
      <c r="A12" s="123" t="s">
        <v>40</v>
      </c>
      <c r="B12" s="123" t="s">
        <v>24</v>
      </c>
      <c r="C12" s="159" t="s">
        <v>45</v>
      </c>
    </row>
    <row r="13" spans="1:8" s="121" customFormat="1" ht="18.75" x14ac:dyDescent="0.3">
      <c r="A13" s="119"/>
      <c r="B13" s="119"/>
      <c r="C13" s="162"/>
    </row>
    <row r="14" spans="1:8" s="121" customFormat="1" ht="18.75" x14ac:dyDescent="0.3">
      <c r="A14" s="122"/>
      <c r="B14" s="122" t="s">
        <v>25</v>
      </c>
      <c r="C14" s="161"/>
    </row>
    <row r="15" spans="1:8" s="121" customFormat="1" ht="18.75" x14ac:dyDescent="0.3">
      <c r="A15" s="122"/>
      <c r="B15" s="122"/>
      <c r="C15" s="161"/>
    </row>
    <row r="16" spans="1:8" s="121" customFormat="1" ht="18.75" x14ac:dyDescent="0.3">
      <c r="A16" s="122"/>
      <c r="B16" s="122"/>
      <c r="C16" s="161"/>
    </row>
    <row r="17" spans="1:3" s="121" customFormat="1" ht="18.75" x14ac:dyDescent="0.3">
      <c r="A17" s="122"/>
      <c r="B17" s="122"/>
      <c r="C17" s="161"/>
    </row>
    <row r="18" spans="1:3" s="121" customFormat="1" ht="18.75" x14ac:dyDescent="0.3">
      <c r="A18" s="122"/>
      <c r="B18" s="122"/>
      <c r="C18" s="161"/>
    </row>
    <row r="19" spans="1:3" s="121" customFormat="1" ht="18.75" x14ac:dyDescent="0.3">
      <c r="A19" s="122"/>
      <c r="B19" s="122"/>
      <c r="C19" s="161"/>
    </row>
    <row r="20" spans="1:3" s="121" customFormat="1" ht="18.75" x14ac:dyDescent="0.3">
      <c r="A20" s="122"/>
      <c r="B20" s="122"/>
      <c r="C20" s="161"/>
    </row>
    <row r="21" spans="1:3" s="121" customFormat="1" ht="20.25" x14ac:dyDescent="0.3">
      <c r="A21" s="123" t="s">
        <v>41</v>
      </c>
      <c r="B21" s="123" t="s">
        <v>24</v>
      </c>
      <c r="C21" s="159" t="s">
        <v>45</v>
      </c>
    </row>
    <row r="22" spans="1:3" s="121" customFormat="1" ht="20.25" x14ac:dyDescent="0.3">
      <c r="A22" s="123"/>
      <c r="B22" s="123"/>
      <c r="C22" s="159"/>
    </row>
    <row r="23" spans="1:3" s="121" customFormat="1" ht="18.75" x14ac:dyDescent="0.3">
      <c r="A23" s="122"/>
      <c r="B23" s="122" t="s">
        <v>25</v>
      </c>
      <c r="C23" s="161"/>
    </row>
    <row r="24" spans="1:3" s="121" customFormat="1" ht="18.75" x14ac:dyDescent="0.3">
      <c r="A24" s="122"/>
      <c r="B24" s="122"/>
      <c r="C24" s="161"/>
    </row>
    <row r="25" spans="1:3" s="121" customFormat="1" ht="18.75" x14ac:dyDescent="0.3">
      <c r="A25" s="122"/>
      <c r="B25" s="122"/>
      <c r="C25" s="161"/>
    </row>
    <row r="26" spans="1:3" s="121" customFormat="1" ht="18.75" x14ac:dyDescent="0.3">
      <c r="A26" s="122"/>
      <c r="B26" s="122"/>
      <c r="C26" s="161"/>
    </row>
    <row r="27" spans="1:3" s="121" customFormat="1" ht="18.75" x14ac:dyDescent="0.3">
      <c r="A27" s="122"/>
      <c r="B27" s="122"/>
      <c r="C27" s="161"/>
    </row>
    <row r="28" spans="1:3" s="121" customFormat="1" ht="18.75" x14ac:dyDescent="0.3">
      <c r="A28" s="122"/>
      <c r="B28" s="122"/>
      <c r="C28" s="161"/>
    </row>
    <row r="29" spans="1:3" s="121" customFormat="1" ht="20.25" x14ac:dyDescent="0.3">
      <c r="A29" s="119" t="s">
        <v>42</v>
      </c>
      <c r="B29" s="123" t="s">
        <v>24</v>
      </c>
      <c r="C29" s="159" t="s">
        <v>45</v>
      </c>
    </row>
    <row r="30" spans="1:3" s="121" customFormat="1" ht="20.25" x14ac:dyDescent="0.3">
      <c r="A30" s="123"/>
      <c r="B30" s="123"/>
      <c r="C30" s="159"/>
    </row>
    <row r="31" spans="1:3" s="121" customFormat="1" ht="18.75" x14ac:dyDescent="0.3">
      <c r="A31" s="122"/>
      <c r="B31" s="122" t="s">
        <v>25</v>
      </c>
      <c r="C31" s="161"/>
    </row>
    <row r="32" spans="1:3" s="121" customFormat="1" ht="18.75" x14ac:dyDescent="0.3">
      <c r="A32" s="122"/>
      <c r="B32" s="122"/>
      <c r="C32" s="161"/>
    </row>
    <row r="33" spans="1:3" s="121" customFormat="1" ht="18.75" x14ac:dyDescent="0.3">
      <c r="A33" s="122"/>
      <c r="B33" s="122"/>
      <c r="C33" s="161"/>
    </row>
    <row r="34" spans="1:3" s="121" customFormat="1" ht="18.75" x14ac:dyDescent="0.3">
      <c r="A34" s="122"/>
      <c r="B34" s="122"/>
      <c r="C34" s="161"/>
    </row>
    <row r="35" spans="1:3" s="121" customFormat="1" ht="18.75" x14ac:dyDescent="0.3">
      <c r="A35" s="122"/>
      <c r="B35" s="122"/>
      <c r="C35" s="161"/>
    </row>
    <row r="36" spans="1:3" s="121" customFormat="1" ht="18.75" x14ac:dyDescent="0.3">
      <c r="A36" s="122"/>
      <c r="B36" s="122"/>
      <c r="C36" s="161"/>
    </row>
    <row r="37" spans="1:3" s="121" customFormat="1" ht="20.25" x14ac:dyDescent="0.3">
      <c r="A37" s="119" t="s">
        <v>43</v>
      </c>
      <c r="B37" s="123" t="s">
        <v>24</v>
      </c>
      <c r="C37" s="159" t="s">
        <v>45</v>
      </c>
    </row>
    <row r="38" spans="1:3" s="121" customFormat="1" ht="20.25" x14ac:dyDescent="0.3">
      <c r="A38" s="123"/>
      <c r="B38" s="123"/>
      <c r="C38" s="159"/>
    </row>
    <row r="39" spans="1:3" s="121" customFormat="1" ht="18.75" x14ac:dyDescent="0.3">
      <c r="A39" s="122"/>
      <c r="B39" s="122" t="s">
        <v>25</v>
      </c>
      <c r="C39" s="161"/>
    </row>
    <row r="40" spans="1:3" s="121" customFormat="1" ht="18.75" x14ac:dyDescent="0.3">
      <c r="A40" s="122"/>
      <c r="B40" s="122"/>
      <c r="C40" s="161"/>
    </row>
    <row r="41" spans="1:3" s="121" customFormat="1" ht="18.75" x14ac:dyDescent="0.3">
      <c r="A41" s="122"/>
      <c r="B41" s="122"/>
      <c r="C41" s="161"/>
    </row>
    <row r="42" spans="1:3" s="121" customFormat="1" ht="18.75" x14ac:dyDescent="0.3">
      <c r="A42" s="122"/>
      <c r="B42" s="122"/>
      <c r="C42" s="161"/>
    </row>
    <row r="43" spans="1:3" s="121" customFormat="1" ht="18.75" x14ac:dyDescent="0.3">
      <c r="A43" s="122"/>
      <c r="B43" s="122"/>
      <c r="C43" s="161"/>
    </row>
    <row r="44" spans="1:3" s="121" customFormat="1" ht="18.75" x14ac:dyDescent="0.3">
      <c r="A44" s="122"/>
      <c r="B44" s="122"/>
      <c r="C44" s="161"/>
    </row>
    <row r="45" spans="1:3" s="121" customFormat="1" ht="20.25" x14ac:dyDescent="0.3">
      <c r="A45" s="123" t="s">
        <v>44</v>
      </c>
      <c r="B45" s="123" t="s">
        <v>24</v>
      </c>
      <c r="C45" s="159" t="s">
        <v>45</v>
      </c>
    </row>
    <row r="46" spans="1:3" s="121" customFormat="1" ht="20.25" x14ac:dyDescent="0.3">
      <c r="A46" s="123"/>
      <c r="B46" s="123"/>
      <c r="C46" s="159"/>
    </row>
    <row r="47" spans="1:3" s="121" customFormat="1" ht="18.75" x14ac:dyDescent="0.3">
      <c r="A47" s="122"/>
      <c r="B47" s="122" t="s">
        <v>25</v>
      </c>
      <c r="C47" s="161"/>
    </row>
    <row r="48" spans="1:3" s="121" customFormat="1" ht="18.75" x14ac:dyDescent="0.3">
      <c r="A48" s="122"/>
      <c r="B48" s="122"/>
      <c r="C48" s="161"/>
    </row>
    <row r="49" spans="1:3" s="121" customFormat="1" ht="18.75" x14ac:dyDescent="0.3">
      <c r="A49" s="122"/>
      <c r="B49" s="122"/>
      <c r="C49" s="161"/>
    </row>
    <row r="50" spans="1:3" s="121" customFormat="1" ht="18.75" x14ac:dyDescent="0.3">
      <c r="A50" s="122"/>
      <c r="B50" s="122"/>
      <c r="C50" s="161"/>
    </row>
    <row r="51" spans="1:3" s="121" customFormat="1" ht="18.75" x14ac:dyDescent="0.3">
      <c r="A51" s="122"/>
      <c r="B51" s="122"/>
      <c r="C51" s="161"/>
    </row>
    <row r="52" spans="1:3" s="121" customFormat="1" ht="18.75" x14ac:dyDescent="0.3">
      <c r="A52" s="122"/>
      <c r="B52" s="122"/>
      <c r="C52" s="161"/>
    </row>
    <row r="53" spans="1:3" s="121" customFormat="1" ht="18.75" x14ac:dyDescent="0.3">
      <c r="A53" s="122"/>
      <c r="B53" s="122"/>
      <c r="C53" s="161"/>
    </row>
    <row r="54" spans="1:3" s="121" customFormat="1" ht="18.75" x14ac:dyDescent="0.3">
      <c r="A54" s="122"/>
      <c r="B54" s="122"/>
      <c r="C54" s="161"/>
    </row>
  </sheetData>
  <sheetProtection insertColumns="0" deleteColumns="0" deleteRows="0"/>
  <mergeCells count="5">
    <mergeCell ref="E6:H10"/>
    <mergeCell ref="A5:B5"/>
    <mergeCell ref="A2:C2"/>
    <mergeCell ref="A1:C1"/>
    <mergeCell ref="A3:C3"/>
  </mergeCells>
  <phoneticPr fontId="31" type="noConversion"/>
  <printOptions horizontalCentered="1" verticalCentered="1"/>
  <pageMargins left="0.7" right="0.7" top="0.75" bottom="0.75" header="0.3" footer="0.3"/>
  <pageSetup scale="44" orientation="landscape" r:id="rId1"/>
  <headerFooter>
    <oddFooter>&amp;LPremiums are based on the most similar plan designs available.
Renewal Premiums for Incumbent carriers are shown.</oddFooter>
  </headerFooter>
  <rowBreaks count="1" manualBreakCount="1">
    <brk id="28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Y33"/>
  <sheetViews>
    <sheetView tabSelected="1" zoomScale="75" zoomScaleNormal="75" zoomScaleSheetLayoutView="70" workbookViewId="0">
      <selection activeCell="E10" sqref="E10:F10"/>
    </sheetView>
  </sheetViews>
  <sheetFormatPr defaultRowHeight="12.75" x14ac:dyDescent="0.2"/>
  <cols>
    <col min="1" max="1" width="30.5703125" style="3" customWidth="1"/>
    <col min="2" max="2" width="7.5703125" style="3" customWidth="1"/>
    <col min="3" max="3" width="13.5703125" style="5" customWidth="1"/>
    <col min="4" max="4" width="1.28515625" style="27" customWidth="1"/>
    <col min="5" max="6" width="16.7109375" style="3" customWidth="1"/>
    <col min="7" max="7" width="1.28515625" style="3" customWidth="1"/>
    <col min="8" max="8" width="4.7109375" style="3" customWidth="1"/>
    <col min="9" max="9" width="1.140625" style="3" customWidth="1"/>
    <col min="10" max="11" width="16.7109375" style="3" customWidth="1"/>
    <col min="12" max="12" width="1.140625" style="3" customWidth="1"/>
    <col min="13" max="14" width="16.7109375" style="3" customWidth="1"/>
    <col min="15" max="15" width="1.28515625" style="3" customWidth="1"/>
    <col min="16" max="16384" width="9.140625" style="3"/>
  </cols>
  <sheetData>
    <row r="1" spans="1:25" s="31" customFormat="1" ht="43.5" customHeight="1" x14ac:dyDescent="0.3">
      <c r="A1" s="230" t="str">
        <f>'Market Analysis'!A1</f>
        <v>The Dana Point Condominium Association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</row>
    <row r="2" spans="1:25" s="28" customFormat="1" ht="21" customHeight="1" x14ac:dyDescent="0.2">
      <c r="A2" s="233" t="s">
        <v>70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5"/>
    </row>
    <row r="3" spans="1:25" s="28" customFormat="1" ht="9" customHeight="1" x14ac:dyDescent="0.3">
      <c r="A3" s="1"/>
      <c r="B3" s="1"/>
      <c r="C3" s="2"/>
      <c r="D3" s="26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5" s="15" customFormat="1" ht="15" customHeight="1" x14ac:dyDescent="0.25">
      <c r="A4" s="10"/>
      <c r="B4" s="10"/>
      <c r="C4" s="11"/>
      <c r="D4" s="217" t="s">
        <v>49</v>
      </c>
      <c r="E4" s="217"/>
      <c r="F4" s="218"/>
      <c r="G4" s="219"/>
      <c r="H4" s="65"/>
      <c r="I4" s="222" t="s">
        <v>10</v>
      </c>
      <c r="J4" s="222"/>
      <c r="K4" s="222"/>
      <c r="L4" s="222"/>
      <c r="M4" s="222"/>
      <c r="N4" s="22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15" customFormat="1" ht="25.5" customHeight="1" x14ac:dyDescent="0.25">
      <c r="A5" s="97"/>
      <c r="B5" s="140"/>
      <c r="C5" s="98"/>
      <c r="D5" s="50"/>
      <c r="E5" s="220" t="s">
        <v>3</v>
      </c>
      <c r="F5" s="221"/>
      <c r="G5" s="134"/>
      <c r="H5" s="135"/>
      <c r="I5" s="136"/>
      <c r="J5" s="208" t="s">
        <v>68</v>
      </c>
      <c r="K5" s="209"/>
      <c r="L5" s="136"/>
      <c r="M5" s="208" t="s">
        <v>69</v>
      </c>
      <c r="N5" s="209"/>
      <c r="O5" s="51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s="12" customFormat="1" ht="7.5" customHeight="1" x14ac:dyDescent="0.25">
      <c r="A6" s="95"/>
      <c r="B6" s="142"/>
      <c r="C6" s="165"/>
      <c r="D6" s="164"/>
      <c r="E6" s="211"/>
      <c r="F6" s="211"/>
      <c r="G6" s="8"/>
      <c r="H6" s="163"/>
      <c r="I6" s="29"/>
      <c r="J6" s="211"/>
      <c r="K6" s="211"/>
      <c r="L6" s="164"/>
      <c r="M6" s="211"/>
      <c r="N6" s="211"/>
      <c r="O6" s="8"/>
    </row>
    <row r="7" spans="1:25" s="12" customFormat="1" ht="14.25" customHeight="1" x14ac:dyDescent="0.25">
      <c r="A7" s="212" t="s">
        <v>0</v>
      </c>
      <c r="B7" s="213"/>
      <c r="C7" s="214"/>
      <c r="D7" s="164"/>
      <c r="E7" s="210" t="s">
        <v>52</v>
      </c>
      <c r="F7" s="210"/>
      <c r="G7" s="53"/>
      <c r="H7" s="54"/>
      <c r="I7" s="55"/>
      <c r="J7" s="210" t="s">
        <v>56</v>
      </c>
      <c r="K7" s="210"/>
      <c r="L7" s="52"/>
      <c r="M7" s="210" t="s">
        <v>56</v>
      </c>
      <c r="N7" s="210"/>
      <c r="O7" s="53"/>
    </row>
    <row r="8" spans="1:25" s="12" customFormat="1" ht="15" customHeight="1" x14ac:dyDescent="0.25">
      <c r="A8" s="89" t="s">
        <v>53</v>
      </c>
      <c r="B8" s="141">
        <v>57</v>
      </c>
      <c r="C8" s="169" t="s">
        <v>54</v>
      </c>
      <c r="D8" s="164"/>
      <c r="E8" s="211">
        <v>871.03</v>
      </c>
      <c r="F8" s="211"/>
      <c r="G8" s="8"/>
      <c r="H8" s="163"/>
      <c r="I8" s="29"/>
      <c r="J8" s="211">
        <v>706</v>
      </c>
      <c r="K8" s="211"/>
      <c r="L8" s="164"/>
      <c r="M8" s="211">
        <v>742</v>
      </c>
      <c r="N8" s="211"/>
      <c r="O8" s="8"/>
    </row>
    <row r="9" spans="1:25" s="12" customFormat="1" ht="15" customHeight="1" x14ac:dyDescent="0.25">
      <c r="A9" s="89" t="s">
        <v>55</v>
      </c>
      <c r="B9" s="141">
        <v>41</v>
      </c>
      <c r="C9" s="169" t="s">
        <v>54</v>
      </c>
      <c r="D9" s="164"/>
      <c r="E9" s="236">
        <v>381.59</v>
      </c>
      <c r="F9" s="236"/>
      <c r="G9" s="8"/>
      <c r="H9" s="163"/>
      <c r="I9" s="29"/>
      <c r="J9" s="236">
        <v>331</v>
      </c>
      <c r="K9" s="236"/>
      <c r="L9" s="164"/>
      <c r="M9" s="236">
        <v>348</v>
      </c>
      <c r="N9" s="236"/>
      <c r="O9" s="8"/>
    </row>
    <row r="10" spans="1:25" s="12" customFormat="1" ht="15.75" x14ac:dyDescent="0.25">
      <c r="A10" s="89"/>
      <c r="B10" s="141"/>
      <c r="C10" s="166"/>
      <c r="D10" s="164"/>
      <c r="E10" s="215">
        <f>SUM(E8:F9)</f>
        <v>1252.6199999999999</v>
      </c>
      <c r="F10" s="215"/>
      <c r="G10" s="8"/>
      <c r="H10" s="163"/>
      <c r="I10" s="29"/>
      <c r="J10" s="215">
        <f>SUM(J8:K9)</f>
        <v>1037</v>
      </c>
      <c r="K10" s="215"/>
      <c r="L10" s="164"/>
      <c r="M10" s="215">
        <f>SUM(M8:N9)</f>
        <v>1090</v>
      </c>
      <c r="N10" s="215"/>
      <c r="O10" s="8"/>
    </row>
    <row r="11" spans="1:25" s="12" customFormat="1" ht="7.5" customHeight="1" x14ac:dyDescent="0.25">
      <c r="A11" s="95"/>
      <c r="B11" s="142"/>
      <c r="C11" s="165"/>
      <c r="D11" s="164"/>
      <c r="E11" s="211"/>
      <c r="F11" s="211"/>
      <c r="G11" s="8"/>
      <c r="H11" s="163"/>
      <c r="I11" s="29"/>
      <c r="J11" s="211"/>
      <c r="K11" s="211"/>
      <c r="L11" s="164"/>
      <c r="M11" s="211"/>
      <c r="N11" s="211"/>
      <c r="O11" s="8"/>
    </row>
    <row r="12" spans="1:25" s="12" customFormat="1" ht="7.5" customHeight="1" x14ac:dyDescent="0.25">
      <c r="A12" s="95"/>
      <c r="B12" s="142"/>
      <c r="C12" s="92"/>
      <c r="D12" s="19"/>
      <c r="E12" s="211"/>
      <c r="F12" s="211"/>
      <c r="G12" s="8"/>
      <c r="H12" s="6"/>
      <c r="I12" s="29"/>
      <c r="J12" s="211"/>
      <c r="K12" s="211"/>
      <c r="L12" s="19"/>
      <c r="M12" s="211"/>
      <c r="N12" s="211"/>
      <c r="O12" s="8"/>
    </row>
    <row r="13" spans="1:25" s="12" customFormat="1" ht="15" customHeight="1" x14ac:dyDescent="0.25">
      <c r="A13" s="89" t="s">
        <v>5</v>
      </c>
      <c r="B13" s="141"/>
      <c r="C13" s="90"/>
      <c r="D13" s="9"/>
      <c r="E13" s="223">
        <f>E10</f>
        <v>1252.6199999999999</v>
      </c>
      <c r="F13" s="223"/>
      <c r="G13" s="18"/>
      <c r="H13" s="17"/>
      <c r="I13" s="30"/>
      <c r="J13" s="223">
        <f>J10</f>
        <v>1037</v>
      </c>
      <c r="K13" s="223"/>
      <c r="L13" s="9"/>
      <c r="M13" s="223">
        <f>M10</f>
        <v>1090</v>
      </c>
      <c r="N13" s="223"/>
      <c r="O13" s="18"/>
    </row>
    <row r="14" spans="1:25" s="12" customFormat="1" ht="7.5" customHeight="1" x14ac:dyDescent="0.25">
      <c r="A14" s="89"/>
      <c r="B14" s="141"/>
      <c r="C14" s="90"/>
      <c r="D14" s="9"/>
      <c r="E14" s="229"/>
      <c r="F14" s="229"/>
      <c r="G14" s="18"/>
      <c r="H14" s="17"/>
      <c r="I14" s="30"/>
      <c r="J14" s="228"/>
      <c r="K14" s="228"/>
      <c r="L14" s="9"/>
      <c r="M14" s="228"/>
      <c r="N14" s="228"/>
      <c r="O14" s="18"/>
    </row>
    <row r="15" spans="1:25" s="12" customFormat="1" ht="15" customHeight="1" x14ac:dyDescent="0.25">
      <c r="A15" s="89" t="s">
        <v>1</v>
      </c>
      <c r="B15" s="141"/>
      <c r="C15" s="90"/>
      <c r="D15" s="9"/>
      <c r="E15" s="224">
        <f>SUM(E13*12)</f>
        <v>15031.439999999999</v>
      </c>
      <c r="F15" s="225"/>
      <c r="G15" s="18"/>
      <c r="H15" s="17"/>
      <c r="I15" s="30"/>
      <c r="J15" s="224">
        <f>SUM(J13*12)</f>
        <v>12444</v>
      </c>
      <c r="K15" s="225"/>
      <c r="L15" s="30"/>
      <c r="M15" s="224">
        <f>SUM(M13*12)</f>
        <v>13080</v>
      </c>
      <c r="N15" s="225"/>
      <c r="O15" s="18"/>
    </row>
    <row r="16" spans="1:25" s="12" customFormat="1" ht="7.5" customHeight="1" x14ac:dyDescent="0.25">
      <c r="A16" s="89"/>
      <c r="B16" s="141"/>
      <c r="C16" s="90"/>
      <c r="D16" s="9"/>
      <c r="E16" s="227"/>
      <c r="F16" s="227"/>
      <c r="G16" s="18"/>
      <c r="H16" s="17"/>
      <c r="I16" s="30"/>
      <c r="J16" s="228"/>
      <c r="K16" s="228"/>
      <c r="L16" s="9"/>
      <c r="M16" s="228"/>
      <c r="N16" s="228"/>
      <c r="O16" s="18"/>
    </row>
    <row r="17" spans="1:16" s="12" customFormat="1" ht="13.5" customHeight="1" x14ac:dyDescent="0.25">
      <c r="A17" s="89" t="s">
        <v>4</v>
      </c>
      <c r="B17" s="141"/>
      <c r="C17" s="90"/>
      <c r="D17" s="9"/>
      <c r="E17" s="226"/>
      <c r="F17" s="226"/>
      <c r="G17" s="107"/>
      <c r="H17" s="108"/>
      <c r="I17" s="109"/>
      <c r="J17" s="232">
        <f>+(J13-$E$13)/$E$13</f>
        <v>-0.17213520461113499</v>
      </c>
      <c r="K17" s="232"/>
      <c r="L17" s="108"/>
      <c r="M17" s="232">
        <f>+(M13-$E$13)/$E$13</f>
        <v>-0.12982388912838683</v>
      </c>
      <c r="N17" s="232"/>
      <c r="O17" s="18"/>
    </row>
    <row r="18" spans="1:16" s="12" customFormat="1" ht="7.5" customHeight="1" x14ac:dyDescent="0.25">
      <c r="A18" s="89"/>
      <c r="B18" s="141"/>
      <c r="C18" s="90"/>
      <c r="D18" s="9"/>
      <c r="E18" s="228"/>
      <c r="F18" s="228"/>
      <c r="G18" s="18"/>
      <c r="H18" s="17"/>
      <c r="I18" s="30"/>
      <c r="J18" s="228"/>
      <c r="K18" s="228"/>
      <c r="L18" s="9"/>
      <c r="M18" s="228"/>
      <c r="N18" s="228"/>
      <c r="O18" s="18"/>
    </row>
    <row r="19" spans="1:16" s="12" customFormat="1" ht="13.5" customHeight="1" x14ac:dyDescent="0.25">
      <c r="A19" s="93" t="s">
        <v>22</v>
      </c>
      <c r="B19" s="143"/>
      <c r="C19" s="90"/>
      <c r="D19" s="9"/>
      <c r="E19" s="226"/>
      <c r="F19" s="226"/>
      <c r="G19" s="114"/>
      <c r="H19" s="113"/>
      <c r="I19" s="115"/>
      <c r="J19" s="231">
        <f>+J15-$E$15</f>
        <v>-2587.4399999999987</v>
      </c>
      <c r="K19" s="231"/>
      <c r="L19" s="113"/>
      <c r="M19" s="231">
        <f>+M15-$E$15</f>
        <v>-1951.4399999999987</v>
      </c>
      <c r="N19" s="231"/>
      <c r="O19" s="18"/>
    </row>
    <row r="20" spans="1:16" s="12" customFormat="1" ht="7.5" customHeight="1" x14ac:dyDescent="0.25">
      <c r="A20" s="94"/>
      <c r="B20" s="144"/>
      <c r="C20" s="96"/>
      <c r="D20" s="45"/>
      <c r="E20" s="216"/>
      <c r="F20" s="216"/>
      <c r="G20" s="42"/>
      <c r="H20" s="17"/>
      <c r="I20" s="41"/>
      <c r="J20" s="216"/>
      <c r="K20" s="216"/>
      <c r="L20" s="45"/>
      <c r="M20" s="216"/>
      <c r="N20" s="216"/>
      <c r="O20" s="42"/>
    </row>
    <row r="21" spans="1:16" s="13" customFormat="1" ht="8.25" customHeight="1" x14ac:dyDescent="0.25">
      <c r="A21" s="3"/>
      <c r="B21" s="3"/>
      <c r="C21" s="5"/>
      <c r="D21" s="27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6" s="34" customFormat="1" ht="14.25" customHeight="1" x14ac:dyDescent="0.2">
      <c r="A22" s="197" t="s">
        <v>0</v>
      </c>
      <c r="B22" s="198"/>
      <c r="C22" s="199"/>
      <c r="D22" s="104"/>
      <c r="E22" s="129" t="s">
        <v>16</v>
      </c>
      <c r="F22" s="129" t="s">
        <v>17</v>
      </c>
      <c r="G22" s="130"/>
      <c r="H22" s="131"/>
      <c r="I22" s="132"/>
      <c r="J22" s="129" t="s">
        <v>16</v>
      </c>
      <c r="K22" s="129" t="s">
        <v>17</v>
      </c>
      <c r="L22" s="133"/>
      <c r="M22" s="167" t="s">
        <v>16</v>
      </c>
      <c r="N22" s="167" t="s">
        <v>17</v>
      </c>
      <c r="O22" s="130"/>
      <c r="P22" s="35"/>
    </row>
    <row r="23" spans="1:16" ht="15" customHeight="1" x14ac:dyDescent="0.25">
      <c r="A23" s="201" t="s">
        <v>35</v>
      </c>
      <c r="B23" s="202"/>
      <c r="C23" s="203"/>
      <c r="D23" s="19"/>
      <c r="E23" s="206" t="s">
        <v>51</v>
      </c>
      <c r="F23" s="206"/>
      <c r="G23" s="21"/>
      <c r="H23" s="20"/>
      <c r="I23" s="22"/>
      <c r="J23" s="205" t="s">
        <v>57</v>
      </c>
      <c r="K23" s="205"/>
      <c r="L23" s="20"/>
      <c r="M23" s="205" t="s">
        <v>57</v>
      </c>
      <c r="N23" s="205"/>
      <c r="O23" s="21"/>
      <c r="P23" s="4"/>
    </row>
    <row r="24" spans="1:16" s="47" customFormat="1" ht="15" customHeight="1" x14ac:dyDescent="0.2">
      <c r="A24" s="194" t="s">
        <v>33</v>
      </c>
      <c r="B24" s="195"/>
      <c r="C24" s="196"/>
      <c r="D24" s="36"/>
      <c r="E24" s="60">
        <v>2000</v>
      </c>
      <c r="F24" s="48" t="s">
        <v>52</v>
      </c>
      <c r="G24" s="38"/>
      <c r="H24" s="39"/>
      <c r="I24" s="40"/>
      <c r="J24" s="171">
        <v>1500</v>
      </c>
      <c r="K24" s="172">
        <v>3000</v>
      </c>
      <c r="L24" s="48"/>
      <c r="M24" s="181">
        <v>1500</v>
      </c>
      <c r="N24" s="172">
        <v>3000</v>
      </c>
      <c r="O24" s="38"/>
    </row>
    <row r="25" spans="1:16" s="47" customFormat="1" ht="15" customHeight="1" x14ac:dyDescent="0.2">
      <c r="A25" s="194" t="s">
        <v>34</v>
      </c>
      <c r="B25" s="195"/>
      <c r="C25" s="196"/>
      <c r="D25" s="36"/>
      <c r="E25" s="60">
        <v>4000</v>
      </c>
      <c r="F25" s="48" t="s">
        <v>52</v>
      </c>
      <c r="G25" s="38"/>
      <c r="H25" s="39"/>
      <c r="I25" s="40"/>
      <c r="J25" s="171">
        <v>3000</v>
      </c>
      <c r="K25" s="172">
        <v>9000</v>
      </c>
      <c r="L25" s="48"/>
      <c r="M25" s="181">
        <v>3000</v>
      </c>
      <c r="N25" s="172">
        <v>9000</v>
      </c>
      <c r="O25" s="38"/>
    </row>
    <row r="26" spans="1:16" s="4" customFormat="1" ht="15" customHeight="1" x14ac:dyDescent="0.25">
      <c r="A26" s="201" t="s">
        <v>2</v>
      </c>
      <c r="B26" s="202"/>
      <c r="C26" s="203"/>
      <c r="D26" s="19"/>
      <c r="E26" s="61">
        <v>0.8</v>
      </c>
      <c r="F26" s="46">
        <v>0.6</v>
      </c>
      <c r="G26" s="21"/>
      <c r="H26" s="23"/>
      <c r="I26" s="24"/>
      <c r="J26" s="61">
        <v>0.8</v>
      </c>
      <c r="K26" s="46">
        <v>0.6</v>
      </c>
      <c r="L26" s="56"/>
      <c r="M26" s="168">
        <v>0.8</v>
      </c>
      <c r="N26" s="182">
        <v>0.6</v>
      </c>
      <c r="O26" s="21"/>
      <c r="P26" s="3"/>
    </row>
    <row r="27" spans="1:16" s="35" customFormat="1" ht="15" customHeight="1" x14ac:dyDescent="0.2">
      <c r="A27" s="194" t="s">
        <v>18</v>
      </c>
      <c r="B27" s="195"/>
      <c r="C27" s="196"/>
      <c r="D27" s="36"/>
      <c r="E27" s="60">
        <v>4000</v>
      </c>
      <c r="F27" s="37" t="s">
        <v>52</v>
      </c>
      <c r="G27" s="38"/>
      <c r="H27" s="39"/>
      <c r="I27" s="40"/>
      <c r="J27" s="171">
        <v>3500</v>
      </c>
      <c r="K27" s="173">
        <v>7000</v>
      </c>
      <c r="L27" s="37"/>
      <c r="M27" s="181">
        <v>3500</v>
      </c>
      <c r="N27" s="173">
        <v>7000</v>
      </c>
      <c r="O27" s="38"/>
    </row>
    <row r="28" spans="1:16" s="35" customFormat="1" ht="15" customHeight="1" x14ac:dyDescent="0.2">
      <c r="A28" s="194" t="s">
        <v>19</v>
      </c>
      <c r="B28" s="195"/>
      <c r="C28" s="196"/>
      <c r="D28" s="36"/>
      <c r="E28" s="60">
        <v>8000</v>
      </c>
      <c r="F28" s="37" t="s">
        <v>52</v>
      </c>
      <c r="G28" s="38"/>
      <c r="H28" s="39"/>
      <c r="I28" s="40"/>
      <c r="J28" s="171">
        <v>10500</v>
      </c>
      <c r="K28" s="173">
        <v>21000</v>
      </c>
      <c r="L28" s="37"/>
      <c r="M28" s="181">
        <v>10500</v>
      </c>
      <c r="N28" s="173">
        <v>21000</v>
      </c>
      <c r="O28" s="38"/>
    </row>
    <row r="29" spans="1:16" s="35" customFormat="1" ht="15" customHeight="1" x14ac:dyDescent="0.2">
      <c r="A29" s="194" t="s">
        <v>37</v>
      </c>
      <c r="B29" s="195"/>
      <c r="C29" s="196"/>
      <c r="D29" s="36"/>
      <c r="E29" s="207" t="s">
        <v>52</v>
      </c>
      <c r="F29" s="207"/>
      <c r="G29" s="38"/>
      <c r="H29" s="39"/>
      <c r="I29" s="40"/>
      <c r="J29" s="204">
        <v>200</v>
      </c>
      <c r="K29" s="204"/>
      <c r="L29" s="37"/>
      <c r="M29" s="204">
        <v>200</v>
      </c>
      <c r="N29" s="204"/>
      <c r="O29" s="38"/>
    </row>
    <row r="30" spans="1:16" s="35" customFormat="1" ht="15" customHeight="1" x14ac:dyDescent="0.25">
      <c r="A30" s="191" t="s">
        <v>36</v>
      </c>
      <c r="B30" s="192"/>
      <c r="C30" s="193"/>
      <c r="D30" s="125"/>
      <c r="E30" s="200" t="s">
        <v>50</v>
      </c>
      <c r="F30" s="200"/>
      <c r="G30" s="126"/>
      <c r="H30" s="39"/>
      <c r="I30" s="127"/>
      <c r="J30" s="190" t="s">
        <v>58</v>
      </c>
      <c r="K30" s="190"/>
      <c r="L30" s="128"/>
      <c r="M30" s="190" t="s">
        <v>58</v>
      </c>
      <c r="N30" s="190"/>
      <c r="O30" s="126"/>
    </row>
    <row r="31" spans="1:16" ht="8.25" customHeight="1" x14ac:dyDescent="0.25">
      <c r="A31" s="15"/>
      <c r="B31" s="15"/>
      <c r="C31" s="14"/>
      <c r="D31" s="19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6" ht="15.75" customHeight="1" x14ac:dyDescent="0.2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</row>
    <row r="33" spans="9:14" x14ac:dyDescent="0.2">
      <c r="I33" s="7"/>
      <c r="L33" s="7"/>
      <c r="M33" s="7"/>
      <c r="N33" s="7"/>
    </row>
  </sheetData>
  <mergeCells count="71">
    <mergeCell ref="M10:N10"/>
    <mergeCell ref="M29:N29"/>
    <mergeCell ref="M30:N30"/>
    <mergeCell ref="M17:N17"/>
    <mergeCell ref="M18:N18"/>
    <mergeCell ref="M19:N19"/>
    <mergeCell ref="M20:N20"/>
    <mergeCell ref="M23:N23"/>
    <mergeCell ref="M12:N12"/>
    <mergeCell ref="M13:N13"/>
    <mergeCell ref="M14:N14"/>
    <mergeCell ref="M15:N15"/>
    <mergeCell ref="M16:N16"/>
    <mergeCell ref="M6:N6"/>
    <mergeCell ref="M7:N7"/>
    <mergeCell ref="M8:N8"/>
    <mergeCell ref="M9:N9"/>
    <mergeCell ref="J6:K6"/>
    <mergeCell ref="A1:O1"/>
    <mergeCell ref="J16:K16"/>
    <mergeCell ref="J15:K15"/>
    <mergeCell ref="J19:K19"/>
    <mergeCell ref="J14:K14"/>
    <mergeCell ref="J17:K17"/>
    <mergeCell ref="J18:K18"/>
    <mergeCell ref="J13:K13"/>
    <mergeCell ref="A2:O2"/>
    <mergeCell ref="E12:F12"/>
    <mergeCell ref="J12:K12"/>
    <mergeCell ref="E7:F7"/>
    <mergeCell ref="E8:F8"/>
    <mergeCell ref="E9:F9"/>
    <mergeCell ref="J9:K9"/>
    <mergeCell ref="E11:F11"/>
    <mergeCell ref="J20:K20"/>
    <mergeCell ref="D4:G4"/>
    <mergeCell ref="E5:F5"/>
    <mergeCell ref="E6:F6"/>
    <mergeCell ref="I4:N4"/>
    <mergeCell ref="E13:F13"/>
    <mergeCell ref="E15:F15"/>
    <mergeCell ref="E20:F20"/>
    <mergeCell ref="E19:F19"/>
    <mergeCell ref="E16:F16"/>
    <mergeCell ref="E17:F17"/>
    <mergeCell ref="E18:F18"/>
    <mergeCell ref="E14:F14"/>
    <mergeCell ref="J11:K11"/>
    <mergeCell ref="M11:N11"/>
    <mergeCell ref="M5:N5"/>
    <mergeCell ref="J5:K5"/>
    <mergeCell ref="J7:K7"/>
    <mergeCell ref="J8:K8"/>
    <mergeCell ref="A7:C7"/>
    <mergeCell ref="E10:F10"/>
    <mergeCell ref="J10:K10"/>
    <mergeCell ref="J30:K30"/>
    <mergeCell ref="A30:C30"/>
    <mergeCell ref="A25:C25"/>
    <mergeCell ref="A28:C28"/>
    <mergeCell ref="A22:C22"/>
    <mergeCell ref="E30:F30"/>
    <mergeCell ref="A23:C23"/>
    <mergeCell ref="A24:C24"/>
    <mergeCell ref="A29:C29"/>
    <mergeCell ref="A26:C26"/>
    <mergeCell ref="J29:K29"/>
    <mergeCell ref="J23:K23"/>
    <mergeCell ref="E23:F23"/>
    <mergeCell ref="E29:F29"/>
    <mergeCell ref="A27:C27"/>
  </mergeCells>
  <phoneticPr fontId="12" type="noConversion"/>
  <printOptions horizontalCentered="1" verticalCentered="1"/>
  <pageMargins left="0.2" right="0.2" top="0.25" bottom="0.73" header="0.3" footer="0.24"/>
  <pageSetup scale="69" orientation="landscape" r:id="rId1"/>
  <headerFooter scaleWithDoc="0">
    <oddFooter>&amp;C&amp;"Arial,Bold"&amp;7Note: This is a summary only and not a legal document.  Please refer to certificate for benefit, limitation and exclusion information.&amp;R&amp;G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R38"/>
  <sheetViews>
    <sheetView zoomScale="75" zoomScaleNormal="75" zoomScaleSheetLayoutView="70" workbookViewId="0">
      <selection activeCell="A3" sqref="A3"/>
    </sheetView>
  </sheetViews>
  <sheetFormatPr defaultRowHeight="12.75" x14ac:dyDescent="0.2"/>
  <cols>
    <col min="1" max="1" width="33.5703125" style="3" customWidth="1"/>
    <col min="2" max="2" width="8.85546875" style="5" customWidth="1"/>
    <col min="3" max="3" width="2.7109375" style="3" customWidth="1"/>
    <col min="4" max="4" width="1.140625" style="3" customWidth="1"/>
    <col min="5" max="6" width="17" style="3" customWidth="1"/>
    <col min="7" max="7" width="1.140625" style="3" customWidth="1"/>
    <col min="8" max="9" width="17" style="3" customWidth="1"/>
    <col min="10" max="10" width="1.140625" style="3" customWidth="1"/>
    <col min="11" max="16384" width="9.140625" style="3"/>
  </cols>
  <sheetData>
    <row r="1" spans="1:18" s="31" customFormat="1" ht="48.75" customHeight="1" x14ac:dyDescent="0.3">
      <c r="A1" s="244" t="str">
        <f>'Market Analysis'!A1:C1</f>
        <v>The Dana Point Condominium Association</v>
      </c>
      <c r="B1" s="244"/>
      <c r="C1" s="244"/>
      <c r="D1" s="244"/>
      <c r="E1" s="244"/>
      <c r="F1" s="244"/>
      <c r="G1" s="244"/>
      <c r="H1" s="244"/>
      <c r="I1" s="244"/>
      <c r="J1" s="244"/>
    </row>
    <row r="2" spans="1:18" s="28" customFormat="1" ht="26.25" customHeight="1" x14ac:dyDescent="0.2">
      <c r="A2" s="233" t="s">
        <v>59</v>
      </c>
      <c r="B2" s="234"/>
      <c r="C2" s="234"/>
      <c r="D2" s="234"/>
      <c r="E2" s="234"/>
      <c r="F2" s="234"/>
      <c r="G2" s="234"/>
      <c r="H2" s="234"/>
      <c r="I2" s="234"/>
      <c r="J2" s="235"/>
    </row>
    <row r="3" spans="1:18" s="28" customFormat="1" ht="9" customHeight="1" x14ac:dyDescent="0.3">
      <c r="A3" s="1"/>
      <c r="B3" s="2"/>
      <c r="C3" s="3"/>
      <c r="D3" s="3"/>
      <c r="E3" s="3"/>
      <c r="F3" s="3"/>
      <c r="G3" s="3"/>
      <c r="H3" s="3"/>
      <c r="I3" s="3"/>
    </row>
    <row r="4" spans="1:18" s="15" customFormat="1" ht="20.25" x14ac:dyDescent="0.3">
      <c r="A4" s="10"/>
      <c r="B4" s="11"/>
      <c r="C4" s="145"/>
      <c r="D4" s="245" t="s">
        <v>60</v>
      </c>
      <c r="E4" s="245"/>
      <c r="F4" s="245"/>
      <c r="G4" s="245"/>
      <c r="H4" s="245"/>
      <c r="I4" s="245"/>
      <c r="J4" s="12"/>
      <c r="K4" s="12"/>
      <c r="L4" s="12"/>
      <c r="M4" s="12"/>
      <c r="N4" s="12"/>
      <c r="O4" s="12"/>
      <c r="P4" s="12"/>
      <c r="Q4" s="12"/>
      <c r="R4" s="12"/>
    </row>
    <row r="5" spans="1:18" s="15" customFormat="1" ht="25.5" customHeight="1" x14ac:dyDescent="0.3">
      <c r="A5" s="97"/>
      <c r="B5" s="98"/>
      <c r="C5" s="146"/>
      <c r="D5" s="147"/>
      <c r="E5" s="246" t="s">
        <v>71</v>
      </c>
      <c r="F5" s="247"/>
      <c r="G5" s="147"/>
      <c r="H5" s="246" t="s">
        <v>72</v>
      </c>
      <c r="I5" s="247"/>
      <c r="J5" s="105"/>
      <c r="K5" s="12"/>
      <c r="L5" s="12"/>
      <c r="M5" s="12"/>
      <c r="N5" s="12"/>
      <c r="O5" s="12"/>
      <c r="P5" s="12"/>
      <c r="Q5" s="12"/>
      <c r="R5" s="12"/>
    </row>
    <row r="6" spans="1:18" s="12" customFormat="1" ht="17.25" customHeight="1" x14ac:dyDescent="0.25">
      <c r="A6" s="248" t="s">
        <v>0</v>
      </c>
      <c r="B6" s="249"/>
      <c r="C6" s="54"/>
      <c r="D6" s="55"/>
      <c r="E6" s="252" t="s">
        <v>64</v>
      </c>
      <c r="F6" s="252"/>
      <c r="G6" s="52"/>
      <c r="H6" s="252" t="s">
        <v>64</v>
      </c>
      <c r="I6" s="252"/>
      <c r="J6" s="16"/>
    </row>
    <row r="7" spans="1:18" s="12" customFormat="1" ht="15.75" x14ac:dyDescent="0.25">
      <c r="A7" s="89" t="s">
        <v>11</v>
      </c>
      <c r="B7" s="90">
        <v>2</v>
      </c>
      <c r="C7" s="6"/>
      <c r="D7" s="29"/>
      <c r="E7" s="211">
        <v>38.4</v>
      </c>
      <c r="F7" s="211"/>
      <c r="G7" s="19"/>
      <c r="H7" s="211">
        <v>42.2</v>
      </c>
      <c r="I7" s="211"/>
      <c r="J7" s="16"/>
    </row>
    <row r="8" spans="1:18" s="12" customFormat="1" ht="15.75" x14ac:dyDescent="0.25">
      <c r="A8" s="89" t="s">
        <v>12</v>
      </c>
      <c r="B8" s="90">
        <v>0</v>
      </c>
      <c r="C8" s="6"/>
      <c r="D8" s="29"/>
      <c r="E8" s="211">
        <v>77.599999999999994</v>
      </c>
      <c r="F8" s="211"/>
      <c r="G8" s="19"/>
      <c r="H8" s="211">
        <v>85.4</v>
      </c>
      <c r="I8" s="211"/>
      <c r="J8" s="16"/>
    </row>
    <row r="9" spans="1:18" s="12" customFormat="1" ht="15.75" x14ac:dyDescent="0.25">
      <c r="A9" s="89" t="s">
        <v>14</v>
      </c>
      <c r="B9" s="90">
        <v>0</v>
      </c>
      <c r="C9" s="6"/>
      <c r="D9" s="29"/>
      <c r="E9" s="211">
        <v>76.400000000000006</v>
      </c>
      <c r="F9" s="211"/>
      <c r="G9" s="19"/>
      <c r="H9" s="211">
        <v>84</v>
      </c>
      <c r="I9" s="211"/>
      <c r="J9" s="16"/>
    </row>
    <row r="10" spans="1:18" s="12" customFormat="1" ht="15.75" x14ac:dyDescent="0.25">
      <c r="A10" s="89" t="s">
        <v>13</v>
      </c>
      <c r="B10" s="91">
        <v>0</v>
      </c>
      <c r="C10" s="6"/>
      <c r="D10" s="29"/>
      <c r="E10" s="236">
        <v>114.9</v>
      </c>
      <c r="F10" s="236"/>
      <c r="G10" s="19"/>
      <c r="H10" s="236">
        <v>126.4</v>
      </c>
      <c r="I10" s="236"/>
      <c r="J10" s="16"/>
    </row>
    <row r="11" spans="1:18" s="12" customFormat="1" ht="15.75" x14ac:dyDescent="0.25">
      <c r="A11" s="89"/>
      <c r="B11" s="90">
        <f>SUM(B7:B10)</f>
        <v>2</v>
      </c>
      <c r="C11" s="6"/>
      <c r="D11" s="29"/>
      <c r="E11" s="211">
        <f>SUMPRODUCT(E7:E10,$B$7:$B$10)</f>
        <v>76.8</v>
      </c>
      <c r="F11" s="211"/>
      <c r="G11" s="19"/>
      <c r="H11" s="211">
        <f>SUMPRODUCT(H7:H10,$B$7:$B$10)</f>
        <v>84.4</v>
      </c>
      <c r="I11" s="211"/>
      <c r="J11" s="16"/>
    </row>
    <row r="12" spans="1:18" s="12" customFormat="1" ht="15.75" x14ac:dyDescent="0.25">
      <c r="A12" s="95"/>
      <c r="B12" s="92"/>
      <c r="C12" s="6"/>
      <c r="D12" s="29"/>
      <c r="E12" s="211"/>
      <c r="F12" s="211"/>
      <c r="G12" s="19"/>
      <c r="H12" s="211"/>
      <c r="I12" s="211"/>
      <c r="J12" s="16"/>
    </row>
    <row r="13" spans="1:18" s="12" customFormat="1" ht="15" customHeight="1" x14ac:dyDescent="0.25">
      <c r="A13" s="89" t="s">
        <v>5</v>
      </c>
      <c r="B13" s="90"/>
      <c r="C13" s="112"/>
      <c r="D13" s="116"/>
      <c r="E13" s="223">
        <f>E11</f>
        <v>76.8</v>
      </c>
      <c r="F13" s="223"/>
      <c r="G13" s="112"/>
      <c r="H13" s="223">
        <f>H11</f>
        <v>84.4</v>
      </c>
      <c r="I13" s="223"/>
      <c r="J13" s="16"/>
    </row>
    <row r="14" spans="1:18" s="12" customFormat="1" ht="15.75" x14ac:dyDescent="0.25">
      <c r="A14" s="89"/>
      <c r="B14" s="90"/>
      <c r="C14" s="112"/>
      <c r="D14" s="116"/>
      <c r="E14" s="241"/>
      <c r="F14" s="241"/>
      <c r="G14" s="112"/>
      <c r="H14" s="241"/>
      <c r="I14" s="241"/>
      <c r="J14" s="16"/>
    </row>
    <row r="15" spans="1:18" s="12" customFormat="1" ht="15" customHeight="1" x14ac:dyDescent="0.25">
      <c r="A15" s="89" t="s">
        <v>1</v>
      </c>
      <c r="B15" s="90"/>
      <c r="C15" s="148"/>
      <c r="D15" s="149"/>
      <c r="E15" s="242">
        <f>SUM(E13*12)</f>
        <v>921.59999999999991</v>
      </c>
      <c r="F15" s="243"/>
      <c r="G15" s="149"/>
      <c r="H15" s="242">
        <f>SUM(H13*12)</f>
        <v>1012.8000000000001</v>
      </c>
      <c r="I15" s="243"/>
      <c r="J15" s="16"/>
    </row>
    <row r="16" spans="1:18" s="12" customFormat="1" ht="15.75" x14ac:dyDescent="0.25">
      <c r="A16" s="89"/>
      <c r="B16" s="90"/>
      <c r="C16" s="17"/>
      <c r="D16" s="30"/>
      <c r="E16" s="227"/>
      <c r="F16" s="227"/>
      <c r="G16" s="9"/>
      <c r="H16" s="227"/>
      <c r="I16" s="227"/>
      <c r="J16" s="16"/>
    </row>
    <row r="17" spans="1:10" s="12" customFormat="1" ht="7.5" customHeight="1" x14ac:dyDescent="0.25">
      <c r="A17" s="99"/>
      <c r="B17" s="100"/>
      <c r="C17" s="15"/>
      <c r="D17" s="66"/>
      <c r="E17" s="58"/>
      <c r="F17" s="58"/>
      <c r="G17" s="58"/>
      <c r="H17" s="58"/>
      <c r="I17" s="58"/>
      <c r="J17" s="57"/>
    </row>
    <row r="18" spans="1:10" s="13" customFormat="1" ht="11.25" customHeight="1" x14ac:dyDescent="0.25">
      <c r="A18" s="3"/>
      <c r="B18" s="5"/>
      <c r="C18" s="3"/>
      <c r="D18" s="3"/>
      <c r="E18" s="3"/>
      <c r="F18" s="3"/>
      <c r="G18" s="3"/>
      <c r="H18" s="3"/>
      <c r="I18" s="3"/>
      <c r="J18" s="3"/>
    </row>
    <row r="19" spans="1:10" s="34" customFormat="1" ht="16.5" customHeight="1" x14ac:dyDescent="0.25">
      <c r="A19" s="248" t="s">
        <v>0</v>
      </c>
      <c r="B19" s="249"/>
      <c r="C19" s="151"/>
      <c r="D19" s="152"/>
      <c r="E19" s="150" t="s">
        <v>16</v>
      </c>
      <c r="F19" s="150" t="s">
        <v>17</v>
      </c>
      <c r="G19" s="153"/>
      <c r="H19" s="150" t="s">
        <v>16</v>
      </c>
      <c r="I19" s="150" t="s">
        <v>17</v>
      </c>
      <c r="J19" s="106"/>
    </row>
    <row r="20" spans="1:10" s="35" customFormat="1" ht="15.75" x14ac:dyDescent="0.25">
      <c r="A20" s="250" t="s">
        <v>32</v>
      </c>
      <c r="B20" s="251"/>
      <c r="C20" s="37"/>
      <c r="D20" s="40"/>
      <c r="E20" s="256">
        <v>50</v>
      </c>
      <c r="F20" s="256"/>
      <c r="G20" s="37"/>
      <c r="H20" s="256">
        <v>50</v>
      </c>
      <c r="I20" s="256"/>
      <c r="J20" s="102"/>
    </row>
    <row r="21" spans="1:10" s="35" customFormat="1" ht="15.75" x14ac:dyDescent="0.25">
      <c r="A21" s="238" t="s">
        <v>46</v>
      </c>
      <c r="B21" s="239"/>
      <c r="C21" s="37"/>
      <c r="D21" s="40"/>
      <c r="E21" s="256">
        <v>150</v>
      </c>
      <c r="F21" s="256"/>
      <c r="G21" s="37"/>
      <c r="H21" s="256">
        <v>150</v>
      </c>
      <c r="I21" s="256"/>
      <c r="J21" s="102"/>
    </row>
    <row r="22" spans="1:10" s="4" customFormat="1" ht="15.75" x14ac:dyDescent="0.25">
      <c r="A22" s="238" t="s">
        <v>6</v>
      </c>
      <c r="B22" s="239"/>
      <c r="C22" s="154"/>
      <c r="D22" s="22"/>
      <c r="E22" s="240">
        <v>1</v>
      </c>
      <c r="F22" s="240"/>
      <c r="G22" s="46"/>
      <c r="H22" s="240">
        <v>1</v>
      </c>
      <c r="I22" s="240"/>
      <c r="J22" s="103"/>
    </row>
    <row r="23" spans="1:10" s="4" customFormat="1" ht="15.75" x14ac:dyDescent="0.25">
      <c r="A23" s="238" t="s">
        <v>7</v>
      </c>
      <c r="B23" s="239"/>
      <c r="C23" s="154"/>
      <c r="D23" s="22"/>
      <c r="E23" s="240">
        <v>0.8</v>
      </c>
      <c r="F23" s="240"/>
      <c r="G23" s="46"/>
      <c r="H23" s="240">
        <v>0.8</v>
      </c>
      <c r="I23" s="240"/>
      <c r="J23" s="103"/>
    </row>
    <row r="24" spans="1:10" s="4" customFormat="1" ht="15.75" x14ac:dyDescent="0.25">
      <c r="A24" s="238" t="s">
        <v>8</v>
      </c>
      <c r="B24" s="239"/>
      <c r="C24" s="23"/>
      <c r="D24" s="24"/>
      <c r="E24" s="240">
        <v>0.5</v>
      </c>
      <c r="F24" s="240"/>
      <c r="G24" s="46"/>
      <c r="H24" s="240">
        <v>0.5</v>
      </c>
      <c r="I24" s="240"/>
      <c r="J24" s="25"/>
    </row>
    <row r="25" spans="1:10" s="4" customFormat="1" ht="15.75" x14ac:dyDescent="0.25">
      <c r="A25" s="238" t="s">
        <v>61</v>
      </c>
      <c r="B25" s="239"/>
      <c r="C25" s="23"/>
      <c r="D25" s="24"/>
      <c r="E25" s="240" t="s">
        <v>8</v>
      </c>
      <c r="F25" s="240"/>
      <c r="G25" s="46"/>
      <c r="H25" s="240" t="s">
        <v>8</v>
      </c>
      <c r="I25" s="240"/>
      <c r="J25" s="25"/>
    </row>
    <row r="26" spans="1:10" s="4" customFormat="1" ht="15.75" x14ac:dyDescent="0.25">
      <c r="A26" s="238" t="s">
        <v>20</v>
      </c>
      <c r="B26" s="239"/>
      <c r="C26" s="155"/>
      <c r="D26" s="59"/>
      <c r="E26" s="253">
        <v>1000</v>
      </c>
      <c r="F26" s="253"/>
      <c r="G26" s="20"/>
      <c r="H26" s="253">
        <v>1000</v>
      </c>
      <c r="I26" s="253"/>
      <c r="J26" s="25"/>
    </row>
    <row r="27" spans="1:10" s="35" customFormat="1" ht="15.75" x14ac:dyDescent="0.25">
      <c r="A27" s="238" t="s">
        <v>9</v>
      </c>
      <c r="B27" s="239"/>
      <c r="C27" s="63"/>
      <c r="D27" s="64"/>
      <c r="E27" s="254" t="s">
        <v>62</v>
      </c>
      <c r="F27" s="254"/>
      <c r="G27" s="62"/>
      <c r="H27" s="254" t="s">
        <v>62</v>
      </c>
      <c r="I27" s="254"/>
      <c r="J27" s="102"/>
    </row>
    <row r="28" spans="1:10" s="35" customFormat="1" ht="15.75" x14ac:dyDescent="0.25">
      <c r="A28" s="238" t="s">
        <v>21</v>
      </c>
      <c r="B28" s="239"/>
      <c r="C28" s="39"/>
      <c r="D28" s="40"/>
      <c r="E28" s="255" t="s">
        <v>52</v>
      </c>
      <c r="F28" s="255"/>
      <c r="G28" s="37"/>
      <c r="H28" s="255" t="s">
        <v>52</v>
      </c>
      <c r="I28" s="255"/>
      <c r="J28" s="102"/>
    </row>
    <row r="29" spans="1:10" s="35" customFormat="1" ht="15.75" x14ac:dyDescent="0.25">
      <c r="A29" s="238" t="s">
        <v>30</v>
      </c>
      <c r="B29" s="239"/>
      <c r="C29" s="44"/>
      <c r="D29" s="43"/>
      <c r="E29" s="237" t="s">
        <v>63</v>
      </c>
      <c r="F29" s="237"/>
      <c r="G29" s="43"/>
      <c r="H29" s="237" t="s">
        <v>63</v>
      </c>
      <c r="I29" s="237"/>
      <c r="J29" s="44"/>
    </row>
    <row r="30" spans="1:10" ht="9" customHeight="1" x14ac:dyDescent="0.25">
      <c r="A30" s="94"/>
      <c r="B30" s="101"/>
      <c r="C30" s="156"/>
      <c r="D30" s="33"/>
      <c r="E30" s="33"/>
      <c r="F30" s="33"/>
      <c r="G30" s="49"/>
      <c r="H30" s="33"/>
      <c r="I30" s="33"/>
      <c r="J30" s="32"/>
    </row>
    <row r="31" spans="1:10" x14ac:dyDescent="0.2">
      <c r="D31" s="7"/>
      <c r="E31" s="7"/>
      <c r="F31" s="7"/>
      <c r="G31" s="7"/>
      <c r="H31" s="7"/>
      <c r="I31" s="7"/>
      <c r="J31" s="7"/>
    </row>
    <row r="36" spans="1:10" ht="10.5" customHeight="1" x14ac:dyDescent="0.2"/>
    <row r="37" spans="1:10" s="12" customFormat="1" ht="15.75" x14ac:dyDescent="0.25">
      <c r="A37" s="3"/>
      <c r="B37" s="5"/>
      <c r="C37" s="3"/>
      <c r="D37" s="3"/>
      <c r="E37" s="3"/>
      <c r="F37" s="3"/>
      <c r="G37" s="3"/>
      <c r="H37" s="3"/>
      <c r="I37" s="3"/>
      <c r="J37" s="3"/>
    </row>
    <row r="38" spans="1:10" s="12" customFormat="1" ht="15.75" x14ac:dyDescent="0.25">
      <c r="A38" s="3"/>
      <c r="B38" s="5"/>
      <c r="C38" s="3"/>
      <c r="D38" s="3"/>
      <c r="E38" s="3"/>
      <c r="F38" s="3"/>
      <c r="G38" s="3"/>
      <c r="H38" s="3"/>
      <c r="I38" s="3"/>
      <c r="J38" s="3"/>
    </row>
  </sheetData>
  <mergeCells count="59">
    <mergeCell ref="E25:F25"/>
    <mergeCell ref="E26:F26"/>
    <mergeCell ref="E27:F27"/>
    <mergeCell ref="E28:F28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E20:F20"/>
    <mergeCell ref="E21:F21"/>
    <mergeCell ref="E22:F22"/>
    <mergeCell ref="A25:B25"/>
    <mergeCell ref="A22:B22"/>
    <mergeCell ref="A23:B23"/>
    <mergeCell ref="A24:B24"/>
    <mergeCell ref="A19:B19"/>
    <mergeCell ref="A20:B20"/>
    <mergeCell ref="A21:B21"/>
    <mergeCell ref="E8:F8"/>
    <mergeCell ref="H8:I8"/>
    <mergeCell ref="E9:F9"/>
    <mergeCell ref="H9:I9"/>
    <mergeCell ref="A1:J1"/>
    <mergeCell ref="A2:J2"/>
    <mergeCell ref="D4:I4"/>
    <mergeCell ref="E5:F5"/>
    <mergeCell ref="H5:I5"/>
    <mergeCell ref="A6:B6"/>
    <mergeCell ref="E6:F6"/>
    <mergeCell ref="H6:I6"/>
    <mergeCell ref="E7:F7"/>
    <mergeCell ref="H7:I7"/>
    <mergeCell ref="E12:F12"/>
    <mergeCell ref="H12:I12"/>
    <mergeCell ref="E13:F13"/>
    <mergeCell ref="H13:I13"/>
    <mergeCell ref="E10:F10"/>
    <mergeCell ref="H10:I10"/>
    <mergeCell ref="E11:F11"/>
    <mergeCell ref="H11:I11"/>
    <mergeCell ref="E23:F23"/>
    <mergeCell ref="E24:F24"/>
    <mergeCell ref="E16:F16"/>
    <mergeCell ref="H16:I16"/>
    <mergeCell ref="E14:F14"/>
    <mergeCell ref="H14:I14"/>
    <mergeCell ref="E15:F15"/>
    <mergeCell ref="H15:I15"/>
    <mergeCell ref="E29:F29"/>
    <mergeCell ref="H29:I29"/>
    <mergeCell ref="A29:B29"/>
    <mergeCell ref="A26:B26"/>
    <mergeCell ref="A27:B27"/>
    <mergeCell ref="A28:B28"/>
  </mergeCells>
  <phoneticPr fontId="12" type="noConversion"/>
  <printOptions horizontalCentered="1" verticalCentered="1"/>
  <pageMargins left="0.2" right="0.2" top="0.25" bottom="0.25" header="0.3" footer="0.24"/>
  <pageSetup scale="90" orientation="landscape" r:id="rId1"/>
  <headerFooter scaleWithDoc="0">
    <oddFooter>&amp;C&amp;"Arial,Bold"&amp;7Note: This is a summary only and not a legal document.  Please refer to certificate for benefit, limitation and exclusion information.&amp;R&amp;G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F40"/>
  <sheetViews>
    <sheetView zoomScale="75" zoomScaleNormal="75" zoomScaleSheetLayoutView="70" workbookViewId="0">
      <selection activeCell="A3" sqref="A3"/>
    </sheetView>
  </sheetViews>
  <sheetFormatPr defaultRowHeight="12.75" x14ac:dyDescent="0.2"/>
  <cols>
    <col min="1" max="1" width="35.7109375" style="67" customWidth="1"/>
    <col min="2" max="2" width="2.7109375" style="79" customWidth="1"/>
    <col min="3" max="3" width="30.5703125" style="67" customWidth="1"/>
    <col min="4" max="4" width="2.5703125" style="67" customWidth="1"/>
    <col min="5" max="5" width="30.7109375" style="67" customWidth="1"/>
    <col min="6" max="6" width="2.7109375" style="67" customWidth="1"/>
    <col min="7" max="16384" width="9.140625" style="67"/>
  </cols>
  <sheetData>
    <row r="1" spans="1:6" s="31" customFormat="1" ht="48.75" customHeight="1" x14ac:dyDescent="0.3">
      <c r="A1" s="230" t="str">
        <f>+'Options - EE Only'!A1:N1</f>
        <v>The Dana Point Condominium Association</v>
      </c>
      <c r="B1" s="230"/>
      <c r="C1" s="230"/>
      <c r="D1" s="230"/>
      <c r="E1" s="230"/>
      <c r="F1" s="230"/>
    </row>
    <row r="2" spans="1:6" s="28" customFormat="1" ht="26.25" customHeight="1" x14ac:dyDescent="0.2">
      <c r="A2" s="257" t="s">
        <v>67</v>
      </c>
      <c r="B2" s="258"/>
      <c r="C2" s="258"/>
      <c r="D2" s="258"/>
      <c r="E2" s="258"/>
      <c r="F2" s="258"/>
    </row>
    <row r="3" spans="1:6" s="68" customFormat="1" ht="13.5" customHeight="1" x14ac:dyDescent="0.2">
      <c r="B3" s="76"/>
    </row>
    <row r="4" spans="1:6" s="69" customFormat="1" ht="13.5" customHeight="1" x14ac:dyDescent="0.25">
      <c r="B4" s="77"/>
    </row>
    <row r="5" spans="1:6" s="70" customFormat="1" ht="29.25" customHeight="1" x14ac:dyDescent="0.3">
      <c r="A5" s="138" t="s">
        <v>15</v>
      </c>
      <c r="B5" s="78"/>
      <c r="C5" s="139" t="s">
        <v>71</v>
      </c>
      <c r="D5" s="137"/>
      <c r="E5" s="139" t="s">
        <v>72</v>
      </c>
    </row>
    <row r="6" spans="1:6" ht="13.5" customHeight="1" x14ac:dyDescent="0.2">
      <c r="A6" s="86"/>
      <c r="C6" s="82"/>
      <c r="D6" s="71"/>
      <c r="E6" s="82"/>
    </row>
    <row r="7" spans="1:6" ht="17.25" customHeight="1" x14ac:dyDescent="0.25">
      <c r="A7" s="180" t="s">
        <v>30</v>
      </c>
      <c r="B7" s="80"/>
      <c r="C7" s="84" t="s">
        <v>63</v>
      </c>
      <c r="D7" s="71"/>
      <c r="E7" s="84" t="s">
        <v>63</v>
      </c>
    </row>
    <row r="8" spans="1:6" ht="17.25" customHeight="1" x14ac:dyDescent="0.25">
      <c r="A8" s="180" t="s">
        <v>31</v>
      </c>
      <c r="B8" s="80"/>
      <c r="C8" s="82" t="s">
        <v>26</v>
      </c>
      <c r="D8" s="71"/>
      <c r="E8" s="82" t="s">
        <v>26</v>
      </c>
    </row>
    <row r="9" spans="1:6" ht="17.25" customHeight="1" x14ac:dyDescent="0.25">
      <c r="A9" s="180" t="s">
        <v>27</v>
      </c>
      <c r="B9" s="80"/>
      <c r="C9" s="82">
        <v>15000</v>
      </c>
      <c r="D9" s="71"/>
      <c r="E9" s="82">
        <v>15000</v>
      </c>
    </row>
    <row r="10" spans="1:6" ht="17.25" customHeight="1" x14ac:dyDescent="0.25">
      <c r="A10" s="180" t="s">
        <v>28</v>
      </c>
      <c r="B10" s="80"/>
      <c r="C10" s="82">
        <v>30000</v>
      </c>
      <c r="D10" s="71"/>
      <c r="E10" s="82">
        <v>30000</v>
      </c>
    </row>
    <row r="11" spans="1:6" ht="22.5" customHeight="1" x14ac:dyDescent="0.25">
      <c r="A11" s="180" t="s">
        <v>29</v>
      </c>
      <c r="B11" s="80"/>
      <c r="C11" s="83" t="s">
        <v>65</v>
      </c>
      <c r="D11" s="71"/>
      <c r="E11" s="83" t="s">
        <v>65</v>
      </c>
    </row>
    <row r="12" spans="1:6" ht="18.75" customHeight="1" x14ac:dyDescent="0.25">
      <c r="A12" s="174" t="s">
        <v>53</v>
      </c>
      <c r="B12" s="80"/>
      <c r="C12" s="175">
        <v>12.75</v>
      </c>
      <c r="D12" s="71"/>
      <c r="E12" s="175">
        <v>12.75</v>
      </c>
    </row>
    <row r="13" spans="1:6" ht="19.5" customHeight="1" x14ac:dyDescent="0.25">
      <c r="A13" s="174" t="s">
        <v>55</v>
      </c>
      <c r="B13" s="80"/>
      <c r="C13" s="175">
        <v>3.6</v>
      </c>
      <c r="D13" s="71"/>
      <c r="E13" s="175">
        <v>3.6</v>
      </c>
    </row>
    <row r="14" spans="1:6" s="73" customFormat="1" ht="31.5" customHeight="1" x14ac:dyDescent="0.2">
      <c r="A14" s="176" t="s">
        <v>5</v>
      </c>
      <c r="B14" s="81"/>
      <c r="C14" s="177">
        <f>SUM(C12+C13)</f>
        <v>16.350000000000001</v>
      </c>
      <c r="D14" s="72"/>
      <c r="E14" s="177">
        <f>SUM(E12+E13)</f>
        <v>16.350000000000001</v>
      </c>
    </row>
    <row r="15" spans="1:6" s="73" customFormat="1" ht="31.5" customHeight="1" x14ac:dyDescent="0.2">
      <c r="A15" s="87" t="s">
        <v>66</v>
      </c>
      <c r="B15" s="178"/>
      <c r="C15" s="85">
        <f>C14*12</f>
        <v>196.20000000000002</v>
      </c>
      <c r="D15" s="170"/>
      <c r="E15" s="85">
        <f>E14*12</f>
        <v>196.20000000000002</v>
      </c>
      <c r="F15" s="111"/>
    </row>
    <row r="16" spans="1:6" x14ac:dyDescent="0.2">
      <c r="A16" s="68"/>
      <c r="B16" s="179"/>
      <c r="C16" s="74"/>
      <c r="D16" s="75"/>
      <c r="F16" s="110"/>
    </row>
    <row r="17" spans="1:4" x14ac:dyDescent="0.2">
      <c r="A17" s="68"/>
      <c r="B17" s="76"/>
      <c r="C17" s="74"/>
      <c r="D17" s="74"/>
    </row>
    <row r="18" spans="1:4" x14ac:dyDescent="0.2">
      <c r="A18" s="68"/>
      <c r="B18" s="76"/>
      <c r="C18" s="71"/>
      <c r="D18" s="71"/>
    </row>
    <row r="19" spans="1:4" x14ac:dyDescent="0.2">
      <c r="A19" s="68"/>
      <c r="B19" s="76"/>
      <c r="C19" s="71"/>
      <c r="D19" s="71"/>
    </row>
    <row r="20" spans="1:4" x14ac:dyDescent="0.2">
      <c r="C20" s="71"/>
      <c r="D20" s="71"/>
    </row>
    <row r="21" spans="1:4" x14ac:dyDescent="0.2">
      <c r="C21" s="71"/>
      <c r="D21" s="71"/>
    </row>
    <row r="22" spans="1:4" x14ac:dyDescent="0.2">
      <c r="C22" s="71"/>
      <c r="D22" s="71"/>
    </row>
    <row r="23" spans="1:4" x14ac:dyDescent="0.2">
      <c r="C23" s="71"/>
      <c r="D23" s="71"/>
    </row>
    <row r="24" spans="1:4" x14ac:dyDescent="0.2">
      <c r="C24" s="71"/>
      <c r="D24" s="71"/>
    </row>
    <row r="25" spans="1:4" x14ac:dyDescent="0.2">
      <c r="C25" s="71"/>
      <c r="D25" s="71"/>
    </row>
    <row r="26" spans="1:4" x14ac:dyDescent="0.2">
      <c r="C26" s="71"/>
      <c r="D26" s="71"/>
    </row>
    <row r="27" spans="1:4" x14ac:dyDescent="0.2">
      <c r="C27" s="71"/>
      <c r="D27" s="71"/>
    </row>
    <row r="28" spans="1:4" x14ac:dyDescent="0.2">
      <c r="C28" s="71"/>
      <c r="D28" s="71"/>
    </row>
    <row r="29" spans="1:4" x14ac:dyDescent="0.2">
      <c r="C29" s="71"/>
      <c r="D29" s="71"/>
    </row>
    <row r="30" spans="1:4" x14ac:dyDescent="0.2">
      <c r="C30" s="71"/>
      <c r="D30" s="71"/>
    </row>
    <row r="31" spans="1:4" x14ac:dyDescent="0.2">
      <c r="C31" s="71"/>
      <c r="D31" s="71"/>
    </row>
    <row r="32" spans="1:4" x14ac:dyDescent="0.2">
      <c r="C32" s="71"/>
      <c r="D32" s="71"/>
    </row>
    <row r="33" spans="3:4" x14ac:dyDescent="0.2">
      <c r="C33" s="71"/>
      <c r="D33" s="71"/>
    </row>
    <row r="34" spans="3:4" x14ac:dyDescent="0.2">
      <c r="C34" s="71"/>
      <c r="D34" s="71"/>
    </row>
    <row r="35" spans="3:4" x14ac:dyDescent="0.2">
      <c r="C35" s="71"/>
      <c r="D35" s="71"/>
    </row>
    <row r="36" spans="3:4" x14ac:dyDescent="0.2">
      <c r="C36" s="71"/>
      <c r="D36" s="71"/>
    </row>
    <row r="37" spans="3:4" x14ac:dyDescent="0.2">
      <c r="C37" s="71"/>
      <c r="D37" s="71"/>
    </row>
    <row r="38" spans="3:4" x14ac:dyDescent="0.2">
      <c r="C38" s="71"/>
      <c r="D38" s="71"/>
    </row>
    <row r="39" spans="3:4" x14ac:dyDescent="0.2">
      <c r="C39" s="71"/>
      <c r="D39" s="71"/>
    </row>
    <row r="40" spans="3:4" x14ac:dyDescent="0.2">
      <c r="C40" s="71"/>
      <c r="D40" s="71"/>
    </row>
  </sheetData>
  <mergeCells count="2">
    <mergeCell ref="A2:F2"/>
    <mergeCell ref="A1:F1"/>
  </mergeCells>
  <phoneticPr fontId="12" type="noConversion"/>
  <printOptions horizontalCentered="1" verticalCentered="1"/>
  <pageMargins left="0.2" right="0.2" top="0.25" bottom="0.25" header="0.3" footer="0.24"/>
  <pageSetup orientation="landscape" r:id="rId1"/>
  <headerFooter scaleWithDoc="0">
    <oddFooter>&amp;C&amp;"Arial,Bold"&amp;7Note: This is a summary only and not a legal document.  Please refer to certificate for benefit, limitation and exclusion information.&amp;R&amp;G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Market Analysis</vt:lpstr>
      <vt:lpstr>Options - EE Only</vt:lpstr>
      <vt:lpstr>Dental</vt:lpstr>
      <vt:lpstr>Life Only</vt:lpstr>
      <vt:lpstr>Dental!Print_Area</vt:lpstr>
      <vt:lpstr>'Life Only'!Print_Area</vt:lpstr>
      <vt:lpstr>'Market Analysis'!Print_Area</vt:lpstr>
      <vt:lpstr>'Options - EE Only'!Print_Area</vt:lpstr>
      <vt:lpstr>'Market Analysis'!Print_Titles</vt:lpstr>
    </vt:vector>
  </TitlesOfParts>
  <Company>The Greater Chicago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Kolker</dc:creator>
  <cp:lastModifiedBy>Lisette</cp:lastModifiedBy>
  <cp:lastPrinted>2013-03-26T15:29:37Z</cp:lastPrinted>
  <dcterms:created xsi:type="dcterms:W3CDTF">2001-04-23T15:37:56Z</dcterms:created>
  <dcterms:modified xsi:type="dcterms:W3CDTF">2013-06-21T19:56:12Z</dcterms:modified>
</cp:coreProperties>
</file>