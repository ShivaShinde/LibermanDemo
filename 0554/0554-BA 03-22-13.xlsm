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C15" i="11" s="1"/>
  <c r="B17" i="1"/>
  <c r="D17" i="1" s="1"/>
  <c r="B18" i="1"/>
  <c r="D18" i="1" s="1"/>
  <c r="B19" i="1"/>
  <c r="D19" i="1" s="1"/>
  <c r="B20" i="1"/>
  <c r="D20" i="1" s="1"/>
  <c r="C19" i="11" s="1"/>
  <c r="B21" i="1"/>
  <c r="B22" i="1"/>
  <c r="B23" i="1"/>
  <c r="D23" i="1" s="1"/>
  <c r="B24" i="1"/>
  <c r="D24" i="1" s="1"/>
  <c r="C23" i="1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A48" i="1" s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C95" i="1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A194" i="1" s="1"/>
  <c r="B195" i="1"/>
  <c r="D195" i="1" s="1"/>
  <c r="B196" i="1"/>
  <c r="B197" i="1"/>
  <c r="B198" i="1"/>
  <c r="BA198" i="1" s="1"/>
  <c r="B199" i="1"/>
  <c r="D199" i="1" s="1"/>
  <c r="B200" i="1"/>
  <c r="BA200" i="1" s="1"/>
  <c r="B201" i="1"/>
  <c r="B202" i="1"/>
  <c r="BA202" i="1" s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C219" i="11" s="1"/>
  <c r="B221" i="1"/>
  <c r="B222" i="1"/>
  <c r="D222" i="1" s="1"/>
  <c r="B223" i="1"/>
  <c r="D223" i="1" s="1"/>
  <c r="C222" i="11" s="1"/>
  <c r="B224" i="1"/>
  <c r="D224" i="1" s="1"/>
  <c r="C223" i="1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75" i="11"/>
  <c r="A118" i="11"/>
  <c r="A214" i="11"/>
  <c r="A182" i="11"/>
  <c r="A114" i="11"/>
  <c r="A102" i="11"/>
  <c r="A82" i="11"/>
  <c r="A13" i="11"/>
  <c r="A9" i="11"/>
  <c r="A70" i="11"/>
  <c r="A50" i="11"/>
  <c r="A29" i="11"/>
  <c r="A202" i="11"/>
  <c r="A190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BA122" i="1"/>
  <c r="BA112" i="1"/>
  <c r="C441" i="11"/>
  <c r="A290" i="11"/>
  <c r="C16" i="11"/>
  <c r="C11" i="11"/>
  <c r="C400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8" i="1"/>
  <c r="BA234" i="1"/>
  <c r="BA196" i="1"/>
  <c r="C363" i="11"/>
  <c r="BA347" i="1"/>
  <c r="BA331" i="1"/>
  <c r="BA273" i="1"/>
  <c r="BA262" i="1"/>
  <c r="BA254" i="1"/>
  <c r="BA250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A245" i="11"/>
  <c r="C224" i="11"/>
  <c r="C221" i="11"/>
  <c r="C103" i="11"/>
  <c r="C102" i="11"/>
  <c r="BA50" i="1"/>
  <c r="BA27" i="1"/>
  <c r="C26" i="11"/>
  <c r="C55" i="11"/>
  <c r="BA49" i="1"/>
  <c r="BA45" i="1"/>
  <c r="BA26" i="1"/>
  <c r="C22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56" i="11"/>
  <c r="A189" i="11"/>
  <c r="C56" i="11"/>
  <c r="C34" i="11"/>
  <c r="A280" i="11"/>
  <c r="C304" i="11"/>
  <c r="C232" i="11"/>
  <c r="A344" i="11"/>
  <c r="A310" i="11"/>
  <c r="A308" i="11"/>
  <c r="A342" i="11"/>
  <c r="A298" i="11"/>
  <c r="A246" i="11"/>
  <c r="A339" i="11"/>
  <c r="A258" i="11"/>
  <c r="A283" i="11"/>
  <c r="A262" i="11"/>
  <c r="A222" i="11"/>
  <c r="A255" i="11"/>
  <c r="A282" i="11"/>
  <c r="A224" i="11"/>
  <c r="BA334" i="1"/>
  <c r="BA245" i="1"/>
  <c r="A244" i="11"/>
  <c r="BA199" i="1"/>
  <c r="C198" i="11"/>
  <c r="BA118" i="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A207" i="1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11" i="11"/>
  <c r="A194" i="11"/>
  <c r="C194" i="11"/>
  <c r="A219" i="11"/>
  <c r="A221" i="11" l="1"/>
  <c r="A209" i="11"/>
  <c r="A295" i="11"/>
  <c r="A321" i="11"/>
  <c r="BA208" i="1"/>
  <c r="A117" i="11"/>
  <c r="A183" i="11"/>
  <c r="A265" i="11"/>
  <c r="A301" i="11"/>
  <c r="A269" i="11"/>
  <c r="BA28" i="1"/>
  <c r="A243" i="11"/>
  <c r="BA246" i="1"/>
  <c r="A293" i="11"/>
  <c r="A307" i="11"/>
  <c r="A261" i="11"/>
  <c r="BA214" i="1"/>
  <c r="A247" i="11"/>
  <c r="A57" i="11"/>
  <c r="A41" i="11"/>
  <c r="A17" i="11"/>
  <c r="A73" i="11"/>
  <c r="A89" i="11"/>
  <c r="A153" i="11"/>
  <c r="A135" i="11"/>
  <c r="A151" i="11"/>
  <c r="A159" i="11"/>
  <c r="A103" i="11"/>
  <c r="A95" i="11"/>
  <c r="A65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D243" i="1"/>
  <c r="C242" i="11" s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C122" i="11" s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205" i="11"/>
  <c r="C152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<sst xmlns="http://schemas.openxmlformats.org/spreadsheetml/2006/main" count="89353" uniqueCount="44339">
  <si>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</si>
  <si>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</si>
  <si>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</si>
  <si>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</si>
  <si>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</si>
  <si>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</si>
  <si>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</si>
  <si>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</si>
  <si>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</si>
  <si>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</si>
  <si>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</si>
  <si>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</si>
  <si>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</si>
  <si>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</si>
  <si>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</si>
  <si>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</si>
  <si>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</si>
  <si>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</si>
  <si>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</si>
  <si>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</si>
  <si>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</si>
  <si>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</si>
  <si>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</si>
  <si>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</si>
  <si>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</si>
  <si>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</si>
  <si>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</si>
  <si>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</si>
  <si>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</si>
  <si>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</si>
  <si>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</si>
  <si>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</si>
  <si>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</si>
  <si>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</si>
  <si>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</si>
  <si>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</si>
  <si>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</si>
  <si>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</si>
  <si>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</si>
  <si>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</si>
  <si>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</si>
  <si>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</si>
  <si>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</si>
  <si>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</si>
  <si>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</si>
  <si>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</si>
  <si>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</si>
  <si>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</si>
  <si>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</si>
  <si>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</si>
  <si>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</si>
  <si>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</si>
  <si>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</si>
  <si>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</si>
  <si>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</si>
  <si>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</si>
  <si>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</si>
  <si>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</si>
  <si>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</si>
  <si>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</si>
  <si>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</si>
  <si>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</si>
  <si>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</si>
  <si>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</si>
  <si>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</si>
  <si>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</si>
  <si>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</si>
  <si>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</si>
  <si>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</si>
  <si>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</si>
  <si>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</si>
  <si>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</si>
  <si>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</si>
  <si>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</si>
  <si>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</si>
  <si>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</si>
  <si>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</si>
  <si>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</si>
  <si>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</si>
  <si>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</si>
  <si>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</si>
  <si>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</si>
  <si>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</si>
  <si>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</si>
  <si>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</si>
  <si>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</si>
  <si>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</si>
  <si>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</si>
  <si>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</si>
  <si>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</si>
  <si>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</si>
  <si>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</si>
  <si>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</si>
  <si>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</si>
  <si>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</si>
  <si>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</si>
  <si>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</si>
  <si>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</si>
  <si>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</si>
  <si>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</si>
  <si>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</si>
  <si>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</si>
  <si>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</si>
  <si>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</si>
  <si>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</si>
  <si>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</si>
  <si>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</si>
  <si>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</si>
  <si>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</si>
  <si>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</si>
  <si>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</si>
  <si>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</si>
  <si>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</si>
  <si>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</si>
  <si>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</si>
  <si>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</si>
  <si>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</si>
  <si>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</si>
  <si>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</si>
  <si>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</si>
  <si>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</si>
  <si>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</si>
  <si>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</si>
  <si>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</si>
  <si>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</si>
  <si>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</si>
  <si>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</si>
  <si>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</si>
  <si>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</si>
  <si>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</si>
  <si>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</si>
  <si>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</si>
  <si>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</si>
  <si>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</si>
  <si>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</si>
  <si>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</si>
  <si>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</si>
  <si>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</si>
  <si>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</si>
  <si>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</si>
  <si>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</si>
  <si>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</si>
  <si>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</si>
  <si>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</si>
  <si>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</si>
  <si>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</si>
  <si>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</si>
  <si>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</si>
  <si>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</si>
  <si>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</si>
  <si>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</si>
  <si>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</si>
  <si>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</si>
  <si>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</si>
  <si>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</si>
  <si>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</si>
  <si>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</si>
  <si>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</si>
  <si>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</si>
  <si>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</si>
  <si>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</si>
  <si>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</si>
  <si>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</si>
  <si>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</si>
  <si>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</si>
  <si>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</si>
  <si>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</si>
  <si>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</si>
  <si>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</si>
  <si>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</si>
  <si>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</si>
  <si>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</si>
  <si>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</si>
  <si>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</si>
  <si>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</si>
  <si>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</si>
  <si>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</si>
  <si>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</si>
  <si>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</si>
  <si>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</si>
  <si>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</si>
  <si>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</si>
  <si>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</si>
  <si>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</si>
  <si>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</si>
  <si>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</si>
  <si>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</si>
  <si>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</si>
  <si>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</si>
  <si>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</si>
  <si>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</si>
  <si>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</si>
  <si>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</si>
  <si>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</si>
  <si>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</si>
  <si>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</si>
  <si>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</si>
  <si>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</si>
  <si>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</si>
  <si>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</si>
  <si>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</si>
  <si>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</si>
  <si>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</si>
  <si>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</si>
  <si>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</si>
  <si>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</si>
  <si>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</si>
  <si>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</si>
  <si>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</si>
  <si>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</si>
  <si>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</si>
  <si>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</si>
  <si>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</si>
  <si>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</si>
  <si>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</si>
  <si>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</si>
  <si>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</si>
  <si>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</si>
  <si>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</si>
  <si>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</si>
  <si>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</si>
  <si>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</si>
  <si>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</si>
  <si>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</si>
  <si>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</si>
  <si>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</si>
  <si>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</si>
  <si>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</si>
  <si>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</si>
  <si>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</si>
  <si>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</si>
  <si>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</si>
  <si>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</si>
  <si>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</si>
  <si>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</si>
  <si>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</si>
  <si>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</si>
  <si>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</si>
  <si>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</si>
  <si>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</si>
  <si>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</si>
  <si>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</si>
  <si>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</si>
  <si>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</si>
  <si>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</si>
  <si>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</si>
  <si>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</si>
  <si>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</si>
  <si>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</si>
  <si>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</si>
  <si>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</si>
  <si>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</si>
  <si>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</si>
  <si>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</si>
  <si>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</si>
  <si>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</si>
  <si>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</si>
  <si>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</si>
  <si>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</si>
  <si>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</si>
  <si>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</si>
  <si>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</si>
  <si>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</si>
  <si>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</si>
  <si>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</si>
  <si>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</si>
  <si>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</si>
  <si>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</si>
  <si>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</si>
  <si>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</si>
  <si>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</si>
  <si>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</si>
  <si>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</si>
  <si>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</si>
  <si>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</si>
  <si>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</si>
  <si>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</si>
  <si>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</si>
  <si>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</si>
  <si>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</si>
  <si>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</si>
  <si>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</si>
  <si>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</si>
  <si>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</si>
  <si>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</si>
  <si>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</si>
  <si>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</si>
  <si>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</si>
  <si>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</si>
  <si>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</si>
  <si>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</si>
  <si>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</si>
  <si>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</si>
  <si>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</si>
  <si>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</si>
  <si>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</si>
  <si>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</si>
  <si>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</si>
  <si>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</si>
  <si>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</si>
  <si>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</si>
  <si>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</si>
  <si>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</si>
  <si>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</si>
  <si>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</si>
  <si>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</si>
  <si>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</si>
  <si>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</si>
  <si>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</si>
  <si>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</si>
  <si>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</si>
  <si>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</si>
  <si>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</si>
  <si>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</si>
  <si>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</si>
  <si>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</si>
  <si>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</si>
  <si>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</si>
  <si>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</si>
  <si>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</si>
  <si>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</si>
  <si>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</si>
  <si>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</si>
  <si>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</si>
  <si>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</si>
  <si>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</si>
  <si>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</si>
  <si>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</si>
  <si>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</si>
  <si>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</si>
  <si>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</si>
  <si>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</si>
  <si>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</si>
  <si>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</si>
  <si>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</si>
  <si>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</si>
  <si>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</si>
  <si>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</si>
  <si>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</si>
  <si>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</si>
  <si>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</si>
  <si>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</si>
  <si>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</si>
  <si>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</si>
  <si>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</si>
  <si>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</si>
  <si>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</si>
  <si>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</si>
  <si>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</si>
  <si>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</si>
  <si>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</si>
  <si>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</si>
  <si>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</si>
  <si>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</si>
  <si>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</si>
  <si>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</si>
  <si>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</si>
  <si>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</si>
  <si>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</si>
  <si>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</si>
  <si>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</si>
  <si>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</si>
  <si>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</si>
  <si>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</si>
  <si>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</si>
  <si>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</si>
  <si>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</si>
  <si>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</si>
  <si>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</si>
  <si>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</si>
  <si>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</si>
  <si>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</si>
  <si>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</si>
  <si>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</si>
  <si>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</si>
  <si>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</si>
  <si>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</si>
  <si>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</si>
  <si>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</si>
  <si>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</si>
  <si>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</si>
  <si>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</si>
  <si>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</si>
  <si>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</si>
  <si>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</si>
  <si>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</si>
  <si>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</si>
  <si>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</si>
  <si>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</si>
  <si>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</si>
  <si>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</si>
  <si>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</si>
  <si>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</si>
  <si>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</si>
  <si>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</si>
  <si>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</si>
  <si>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</si>
  <si>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</si>
  <si>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</si>
  <si>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</si>
  <si>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</si>
  <si>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</si>
  <si>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</si>
  <si>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</si>
  <si>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</si>
  <si>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</si>
  <si>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</si>
  <si>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</si>
  <si>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</si>
  <si>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</si>
  <si>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</si>
  <si>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</si>
  <si>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</si>
  <si>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</si>
  <si>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</si>
  <si>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</si>
  <si>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</si>
  <si>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</si>
  <si>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</si>
  <si>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</si>
  <si>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</si>
  <si>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</si>
  <si>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</si>
  <si>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</si>
  <si>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</si>
  <si>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</si>
  <si>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</si>
  <si>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</si>
  <si>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</si>
  <si>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</si>
  <si>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</si>
  <si>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</si>
  <si>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</si>
  <si>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</si>
  <si>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</si>
  <si>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</si>
  <si>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</si>
  <si>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</si>
  <si>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</si>
  <si>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</si>
  <si>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</si>
  <si>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</si>
  <si>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</si>
  <si>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</si>
  <si>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</si>
  <si>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</si>
  <si>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</si>
  <si>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</si>
  <si>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</si>
  <si>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</si>
  <si>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</si>
  <si>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</si>
  <si>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</si>
  <si>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</si>
  <si>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</si>
  <si>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</si>
  <si>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</si>
  <si>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</si>
  <si>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</si>
  <si>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</si>
  <si>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</si>
  <si>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</si>
  <si>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</si>
  <si>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</si>
  <si>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</si>
  <si>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</si>
  <si>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</si>
  <si>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</si>
  <si>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</si>
  <si>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</si>
  <si>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</si>
  <si>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</si>
  <si>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</si>
  <si>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</si>
  <si>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</si>
  <si>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</si>
  <si>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</si>
  <si>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</si>
  <si>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</si>
  <si>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</si>
  <si>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</si>
  <si>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</si>
  <si>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</si>
  <si>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</si>
  <si>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</si>
  <si>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</si>
  <si>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</si>
  <si>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</si>
  <si>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</si>
  <si>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</si>
  <si>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</si>
  <si>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</si>
  <si>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</si>
  <si>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</si>
  <si>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</si>
  <si>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</si>
  <si>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</si>
  <si>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</si>
  <si>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</si>
  <si>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</si>
  <si>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</si>
  <si>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</si>
  <si>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</si>
  <si>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</si>
  <si>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</si>
  <si>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</si>
  <si>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</si>
  <si>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</si>
  <si>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</si>
  <si>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</si>
  <si>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</si>
  <si>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</si>
  <si>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</si>
  <si>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</si>
  <si>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</si>
  <si>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</si>
  <si>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</si>
  <si>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</si>
  <si>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</si>
  <si>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</si>
  <si>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</si>
  <si>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</si>
  <si>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</si>
  <si>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</si>
  <si>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</si>
  <si>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</si>
  <si>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</si>
  <si>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</si>
  <si>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</si>
  <si>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</si>
  <si>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</si>
  <si>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</si>
  <si>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</si>
  <si>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</si>
  <si>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</si>
  <si>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</si>
  <si>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</si>
  <si>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</si>
  <si>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</si>
  <si>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</si>
  <si>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</si>
  <si>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</si>
  <si>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</si>
  <si>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</si>
  <si>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</si>
  <si>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</si>
  <si>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</si>
  <si>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</si>
  <si>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</si>
  <si>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</si>
  <si>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</si>
  <si>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</si>
  <si>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</si>
  <si>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</si>
  <si>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</si>
  <si>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</si>
  <si>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</si>
  <si>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</si>
  <si>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</si>
  <si>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</si>
  <si>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</si>
  <si>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</si>
  <si>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</si>
  <si>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</si>
  <si>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</si>
  <si>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</si>
  <si>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</si>
  <si>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</si>
  <si>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</si>
  <si>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</si>
  <si>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</si>
  <si>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</si>
  <si>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</si>
  <si>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</si>
  <si>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</si>
  <si>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</si>
  <si>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</si>
  <si>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</si>
  <si>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</si>
  <si>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</si>
  <si>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</si>
  <si>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</si>
  <si>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</si>
  <si>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</si>
  <si>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</si>
  <si>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</si>
  <si>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</si>
  <si>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</si>
  <si>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</si>
  <si>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</si>
  <si>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</si>
  <si>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</si>
  <si>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</si>
  <si>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</si>
  <si>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</si>
  <si>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</si>
  <si>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</si>
  <si>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</si>
  <si>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</si>
  <si>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</si>
  <si>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</si>
  <si>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</si>
  <si>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</si>
  <si>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</si>
  <si>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</si>
  <si>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</si>
  <si>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</si>
  <si>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</si>
  <si>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</si>
  <si>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</si>
  <si>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</si>
  <si>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</si>
  <si>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</si>
  <si>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</si>
  <si>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</si>
  <si>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</si>
  <si>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</si>
  <si>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</si>
  <si>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</si>
  <si>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</si>
  <si>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</si>
  <si>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</si>
  <si>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</si>
  <si>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</si>
  <si>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</si>
  <si>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</si>
  <si>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</si>
  <si>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</si>
  <si>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</si>
  <si>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</si>
  <si>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</si>
  <si>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</si>
  <si>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</si>
  <si>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</si>
  <si>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</si>
  <si>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</si>
  <si>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</si>
  <si>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</si>
  <si>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</si>
  <si>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</si>
  <si>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</si>
  <si>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</si>
  <si>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</si>
  <si>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</si>
  <si>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</si>
  <si>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</si>
  <si>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</si>
  <si>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</si>
  <si>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</si>
  <si>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</si>
  <si>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</si>
  <si>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</si>
  <si>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</si>
  <si>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</si>
  <si>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</si>
  <si>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</si>
  <si>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</si>
  <si>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</si>
  <si>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</si>
  <si>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</si>
  <si>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</si>
  <si>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</si>
  <si>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</si>
  <si>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</si>
  <si>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</si>
  <si>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</si>
  <si>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</si>
  <si>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</si>
  <si>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</si>
  <si>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</si>
  <si>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</si>
  <si>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</si>
  <si>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</si>
  <si>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</si>
  <si>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</si>
  <si>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</si>
  <si>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</si>
  <si>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</si>
  <si>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</si>
  <si>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</si>
  <si>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</si>
  <si>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</si>
  <si>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</si>
  <si>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</si>
  <si>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</si>
  <si>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</si>
  <si>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</si>
  <si>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</si>
  <si>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</si>
  <si>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</si>
  <si>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</si>
  <si>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</si>
  <si>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</si>
  <si>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</si>
  <si>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</si>
  <si>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</si>
  <si>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</si>
  <si>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</si>
  <si>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</si>
  <si>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</si>
  <si>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</si>
  <si>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</si>
  <si>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</si>
  <si>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</si>
  <si>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</si>
  <si>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</si>
  <si>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</si>
  <si>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</si>
  <si>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</si>
  <si>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</si>
  <si>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</si>
  <si>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</si>
  <si>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</si>
  <si>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</si>
  <si>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</si>
  <si>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</si>
  <si>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</si>
  <si>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</si>
  <si>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</si>
  <si>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</si>
  <si>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</si>
  <si>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</si>
  <si>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</si>
  <si>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</si>
  <si>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</si>
  <si>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</si>
  <si>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</si>
  <si>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</si>
  <si>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</si>
  <si>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</si>
  <si>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</si>
  <si>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</si>
  <si>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</si>
  <si>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</si>
  <si>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</si>
  <si>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</si>
  <si>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</si>
  <si>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</si>
  <si>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</si>
  <si>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</si>
  <si>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</si>
  <si>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</si>
  <si>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</si>
  <si>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</si>
  <si>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</si>
  <si>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</si>
  <si>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</si>
  <si>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</si>
  <si>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</si>
  <si>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</si>
  <si>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</si>
  <si>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</si>
  <si>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</si>
  <si>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</si>
  <si>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</si>
  <si>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</si>
  <si>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</si>
  <si>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</si>
  <si>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</si>
  <si>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</si>
  <si>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</si>
  <si>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</si>
  <si>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</si>
  <si>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</si>
  <si>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</si>
  <si>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</si>
  <si>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</si>
  <si>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</si>
  <si>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</si>
  <si>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</si>
  <si>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</si>
  <si>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</si>
  <si>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</si>
  <si>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</si>
  <si>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</si>
  <si>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</si>
  <si>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</si>
  <si>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</si>
  <si>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</si>
  <si>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</si>
  <si>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</si>
  <si>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</si>
  <si>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</si>
  <si>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</si>
  <si>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</si>
  <si>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</si>
  <si>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</si>
  <si>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</si>
  <si>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</si>
  <si>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</si>
  <si>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</si>
  <si>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</si>
  <si>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</si>
  <si>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</si>
  <si>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</si>
  <si>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</si>
  <si>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</si>
  <si>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</si>
  <si>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</si>
  <si>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</si>
  <si>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</si>
  <si>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</si>
  <si>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</si>
  <si>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</si>
  <si>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</si>
  <si>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</si>
  <si>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</si>
  <si>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</si>
  <si>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</si>
  <si>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</si>
  <si>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</si>
  <si>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</si>
  <si>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</si>
  <si>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</si>
  <si>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</si>
  <si>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</si>
  <si>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</si>
  <si>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</si>
  <si>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</si>
  <si>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</si>
  <si>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</si>
  <si>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</si>
  <si>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</si>
  <si>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</si>
  <si>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</si>
  <si>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</si>
  <si>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</si>
  <si>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</si>
  <si>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</si>
  <si>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</si>
  <si>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</si>
  <si>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</si>
  <si>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</si>
  <si>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</si>
  <si>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</si>
  <si>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</si>
  <si>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</si>
  <si>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</si>
  <si>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</si>
  <si>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</si>
  <si>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</si>
  <si>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</si>
  <si>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</si>
  <si>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</si>
  <si>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</si>
  <si>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</si>
  <si>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</si>
  <si>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</si>
  <si>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</si>
  <si>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</si>
  <si>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</si>
  <si>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</si>
  <si>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</si>
  <si>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</si>
  <si>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</si>
  <si>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</si>
  <si>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</si>
  <si>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</si>
  <si>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</si>
  <si>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</si>
  <si>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</si>
  <si>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</si>
  <si>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</si>
  <si>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</si>
  <si>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</si>
  <si>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</si>
  <si>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</si>
  <si>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</si>
  <si>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</si>
  <si>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</si>
  <si>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</si>
  <si>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</si>
  <si>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</si>
  <si>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</si>
  <si>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</si>
  <si>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</si>
  <si>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</si>
  <si>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</si>
  <si>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</si>
  <si>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</si>
  <si>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</si>
  <si>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</si>
  <si>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</si>
  <si>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</si>
  <si>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</si>
  <si>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</si>
  <si>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</si>
  <si>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</si>
  <si>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</si>
  <si>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</si>
  <si>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</si>
  <si>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</si>
  <si>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</si>
  <si>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</si>
  <si>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</si>
  <si>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</si>
  <si>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</si>
  <si>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</si>
  <si>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</si>
  <si>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</si>
  <si>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</si>
  <si>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</si>
  <si>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</si>
  <si>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</si>
  <si>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</si>
  <si>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</si>
  <si>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</si>
  <si>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</si>
  <si>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</si>
  <si>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</si>
  <si>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</si>
  <si>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</si>
  <si>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</si>
  <si>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</si>
  <si>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</si>
  <si>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</si>
  <si>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</si>
  <si>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</si>
  <si>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</si>
  <si>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</si>
  <si>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</si>
  <si>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</si>
  <si>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</si>
  <si>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</si>
  <si>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</si>
  <si>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</si>
  <si>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</si>
  <si>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</si>
  <si>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</si>
  <si>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</si>
  <si>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</si>
  <si>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</si>
  <si>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</si>
  <si>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</si>
  <si>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</si>
  <si>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</si>
  <si>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</si>
  <si>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</si>
  <si>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</si>
  <si>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</si>
  <si>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</si>
  <si>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</si>
  <si>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</si>
  <si>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</si>
  <si>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</si>
  <si>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</si>
  <si>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</si>
  <si>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</si>
  <si>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</si>
  <si>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</si>
  <si>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</si>
  <si>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</si>
  <si>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</si>
  <si>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</si>
  <si>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</si>
  <si>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</si>
  <si>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</si>
  <si>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</si>
  <si>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</si>
  <si>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</si>
  <si>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</si>
  <si>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</si>
  <si>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</si>
  <si>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</si>
  <si>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</si>
  <si>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</si>
  <si>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</si>
  <si>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</si>
  <si>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</si>
  <si>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</si>
  <si>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</si>
  <si>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</si>
  <si>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</si>
  <si>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</si>
  <si>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</si>
  <si>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</si>
  <si>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</si>
  <si>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</si>
  <si>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</si>
  <si>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</si>
  <si>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</si>
  <si>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</si>
  <si>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</si>
  <si>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</si>
  <si>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</si>
  <si>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</si>
  <si>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</si>
  <si>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</si>
  <si>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</si>
  <si>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</si>
  <si>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</si>
  <si>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</si>
  <si>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</si>
  <si>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</si>
  <si>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</si>
  <si>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</si>
  <si>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</si>
  <si>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</si>
  <si>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</si>
  <si>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</si>
  <si>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</si>
  <si>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</si>
  <si>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</si>
  <si>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</si>
  <si>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</si>
  <si>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</si>
  <si>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</si>
  <si>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</si>
  <si>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</si>
  <si>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</si>
  <si>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</si>
  <si>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</si>
  <si>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</si>
  <si>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</si>
  <si>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</si>
  <si>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</si>
  <si>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</si>
  <si>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</si>
  <si>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</si>
  <si>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</si>
  <si>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</si>
  <si>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</si>
  <si>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</si>
  <si>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</si>
  <si>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</si>
  <si>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</si>
  <si>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</si>
  <si>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</si>
  <si>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</si>
  <si>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</si>
  <si>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</si>
  <si>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</si>
  <si>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</si>
  <si>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</si>
  <si>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</si>
  <si>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</si>
  <si>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</si>
  <si>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</si>
  <si>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</si>
  <si>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</si>
  <si>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</si>
  <si>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</si>
  <si>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</si>
  <si>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</si>
  <si>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</si>
  <si>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</si>
  <si>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</si>
  <si>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</si>
  <si>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</si>
  <si>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</si>
  <si>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</si>
  <si>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</si>
  <si>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</si>
  <si>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</si>
  <si>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</si>
  <si>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</si>
  <si>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</si>
  <si>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</si>
  <si>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</si>
  <si>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</si>
  <si>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</si>
  <si>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</si>
  <si>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</si>
  <si>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</si>
  <si>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</si>
  <si>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</si>
  <si>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</si>
  <si>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</si>
  <si>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</si>
  <si>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</si>
  <si>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</si>
  <si>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</si>
  <si>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</si>
  <si>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</si>
  <si>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</si>
  <si>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</si>
  <si>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</si>
  <si>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</si>
  <si>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</si>
  <si>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</si>
  <si>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</si>
  <si>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</si>
  <si>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</si>
  <si>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</si>
  <si>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</si>
  <si>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</si>
  <si>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</si>
  <si>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</si>
  <si>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</si>
  <si>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</si>
  <si>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</si>
  <si>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</si>
  <si>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</si>
  <si>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</si>
  <si>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</si>
  <si>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</si>
  <si>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</si>
  <si>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</si>
  <si>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</si>
  <si>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</si>
  <si>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</si>
  <si>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</si>
  <si>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</si>
  <si>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</si>
  <si>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</si>
  <si>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</si>
  <si>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</si>
  <si>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</si>
  <si>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</si>
  <si>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</si>
  <si>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</si>
  <si>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</si>
  <si>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</si>
  <si>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</si>
  <si>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</si>
  <si>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</si>
  <si>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</si>
  <si>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</si>
  <si>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</si>
  <si>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</si>
  <si>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</si>
  <si>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</si>
  <si>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</si>
  <si>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</si>
  <si>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</si>
  <si>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</si>
  <si>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</si>
  <si>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</si>
  <si>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</si>
  <si>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</si>
  <si>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</si>
  <si>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</si>
  <si>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</si>
  <si>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</si>
  <si>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</si>
  <si>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</si>
  <si>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</si>
  <si>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</si>
  <si>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</si>
  <si>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</si>
  <si>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</si>
  <si>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</si>
  <si>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</si>
  <si>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</si>
  <si>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</si>
  <si>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</si>
  <si>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</si>
  <si>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</si>
  <si>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</si>
  <si>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</si>
  <si>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</si>
  <si>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</si>
  <si>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</si>
  <si>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</si>
  <si>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</si>
  <si>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</si>
  <si>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</si>
  <si>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</si>
  <si>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</si>
  <si>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</si>
  <si>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</si>
  <si>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</si>
  <si>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</si>
  <si>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</si>
  <si>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</si>
  <si>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</si>
  <si>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</si>
  <si>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</si>
  <si>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</si>
  <si>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</si>
  <si>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</si>
  <si>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</si>
  <si>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</si>
  <si>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</si>
  <si>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</si>
  <si>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</si>
  <si>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</si>
  <si>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</si>
  <si>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</si>
  <si>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</si>
  <si>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</si>
  <si>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</si>
  <si>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</si>
  <si>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</si>
  <si>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</si>
  <si>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</si>
  <si>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</si>
  <si>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</si>
  <si>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</si>
  <si>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</si>
  <si>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</si>
  <si>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</si>
  <si>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</si>
  <si>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</si>
  <si>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</si>
  <si>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</si>
  <si>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</si>
  <si>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</si>
  <si>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</si>
  <si>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</si>
  <si>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</si>
  <si>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</si>
  <si>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</si>
  <si>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</si>
  <si>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</si>
  <si>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</si>
  <si>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</si>
  <si>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</si>
  <si>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</si>
  <si>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</si>
  <si>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</si>
  <si>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</si>
  <si>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</si>
  <si>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</si>
  <si>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</si>
  <si>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</si>
  <si>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</si>
  <si>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</si>
  <si>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</si>
  <si>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</si>
  <si>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</si>
  <si>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</si>
  <si>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</si>
  <si>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</si>
  <si>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</si>
  <si>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</si>
  <si>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</si>
  <si>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</si>
  <si>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</si>
  <si>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</si>
  <si>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</si>
  <si>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</si>
  <si>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</si>
  <si>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</si>
  <si>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</si>
  <si>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</si>
  <si>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</si>
  <si>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</si>
  <si>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</si>
  <si>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</si>
  <si>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</si>
  <si>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</si>
  <si>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</si>
  <si>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</si>
  <si>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</si>
  <si>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</si>
  <si>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</si>
  <si>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</si>
  <si>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</si>
  <si>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</si>
  <si>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</si>
  <si>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</si>
  <si>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</si>
  <si>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</si>
  <si>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</si>
  <si>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</si>
  <si>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</si>
  <si>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</si>
  <si>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</si>
  <si>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</si>
  <si>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</si>
  <si>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</si>
  <si>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</si>
  <si>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</si>
  <si>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</si>
  <si>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</si>
  <si>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</si>
  <si>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</si>
  <si>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</si>
  <si>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</si>
  <si>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</si>
  <si>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</si>
  <si>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</si>
  <si>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</si>
  <si>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</si>
  <si>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</si>
  <si>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</si>
  <si>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</si>
  <si>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</si>
  <si>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</si>
  <si>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</si>
  <si>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</si>
  <si>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</si>
  <si>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</si>
  <si>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</si>
  <si>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</si>
  <si>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</si>
  <si>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</si>
  <si>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</si>
  <si>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</si>
  <si>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</si>
  <si>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</si>
  <si>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</si>
  <si>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</si>
  <si>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</si>
  <si>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</si>
  <si>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</si>
  <si>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</si>
  <si>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</si>
  <si>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</si>
  <si>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</si>
  <si>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</si>
  <si>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</si>
  <si>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</si>
  <si>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</si>
  <si>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</si>
  <si>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</si>
  <si>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</si>
  <si>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</si>
  <si>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</si>
  <si>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</si>
  <si>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</si>
  <si>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</si>
  <si>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</si>
  <si>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</si>
  <si>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</si>
  <si>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</si>
  <si>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</si>
  <si>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</si>
  <si>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</si>
  <si>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</si>
  <si>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</si>
  <si>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</si>
  <si>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</si>
  <si>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</si>
  <si>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</si>
  <si>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</si>
  <si>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</si>
  <si>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</si>
  <si>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</si>
  <si>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</si>
  <si>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</si>
  <si>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</si>
  <si>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</si>
  <si>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</si>
  <si>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</si>
  <si>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</si>
  <si>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</si>
  <si>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</si>
  <si>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</si>
  <si>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</si>
  <si>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</si>
  <si>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</si>
  <si>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</si>
  <si>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</si>
  <si>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</si>
  <si>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</si>
  <si>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</si>
  <si>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</si>
  <si>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</si>
  <si>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</si>
  <si>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</si>
  <si>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</si>
  <si>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</si>
  <si>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</si>
  <si>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</si>
  <si>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</si>
  <si>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</si>
  <si>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</si>
  <si>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</si>
  <si>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</si>
  <si>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</si>
  <si>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</si>
  <si>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</si>
  <si>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</si>
  <si>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</si>
  <si>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</si>
  <si>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</si>
  <si>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</si>
  <si>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</si>
  <si>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</si>
  <si>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</si>
  <si>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</si>
  <si>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</si>
  <si>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</si>
  <si>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</si>
  <si>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</si>
  <si>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</si>
  <si>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</si>
  <si>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</si>
  <si>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</si>
  <si>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</si>
  <si>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</si>
  <si>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</si>
  <si>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</si>
  <si>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</si>
  <si>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</si>
  <si>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</si>
  <si>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</si>
  <si>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</si>
  <si>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</si>
  <si>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</si>
  <si>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</si>
  <si>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</si>
  <si>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</si>
  <si>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</si>
  <si>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</si>
  <si>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</si>
  <si>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</si>
  <si>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</si>
  <si>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</si>
  <si>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</si>
  <si>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</si>
  <si>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</si>
  <si>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</si>
  <si>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</si>
  <si>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</si>
  <si>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</si>
  <si>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</si>
  <si>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</si>
  <si>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</si>
  <si>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</si>
  <si>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</si>
  <si>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</si>
  <si>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</si>
  <si>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</si>
  <si>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</si>
  <si>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</si>
  <si>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</si>
  <si>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</si>
  <si>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</si>
  <si>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</si>
  <si>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</si>
  <si>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</si>
  <si>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</si>
  <si>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</si>
  <si>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</si>
  <si>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</si>
  <si>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</si>
  <si>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</si>
  <si>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</si>
  <si>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</si>
  <si>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</si>
  <si>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</si>
  <si>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</si>
  <si>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</si>
  <si>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</si>
  <si>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</si>
  <si>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</si>
  <si>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</si>
  <si>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</si>
  <si>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</si>
  <si>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</si>
  <si>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</si>
  <si>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</si>
  <si>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</si>
  <si>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</si>
  <si>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</si>
  <si>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</si>
  <si>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</si>
  <si>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</si>
  <si>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</si>
  <si>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</si>
  <si>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</si>
  <si>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</si>
  <si>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</si>
  <si>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</si>
  <si>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</si>
  <si>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</si>
  <si>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</si>
  <si>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</si>
  <si>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</si>
  <si>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</si>
  <si>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</si>
  <si>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</si>
  <si>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</si>
  <si>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</si>
  <si>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</si>
  <si>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</si>
  <si>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</si>
  <si>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</si>
  <si>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</si>
  <si>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</si>
  <si>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</si>
  <si>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</si>
  <si>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</si>
  <si>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</si>
  <si>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</si>
  <si>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</si>
  <si>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</si>
  <si>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</si>
  <si>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</si>
  <si>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</si>
  <si>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</si>
  <si>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</si>
  <si>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</si>
  <si>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</si>
  <si>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</si>
  <si>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</si>
  <si>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</si>
  <si>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</si>
  <si>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</si>
  <si>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</si>
  <si>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</si>
  <si>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</si>
  <si>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</si>
  <si>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</si>
  <si>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</si>
  <si>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</si>
  <si>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</si>
  <si>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</si>
  <si>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</si>
  <si>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</si>
  <si>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</si>
  <si>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</si>
  <si>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</si>
  <si>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</si>
  <si>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</si>
  <si>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</si>
  <si>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</si>
  <si>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</si>
  <si>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</si>
  <si>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</si>
  <si>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</si>
  <si>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</si>
  <si>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</si>
  <si>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</si>
  <si>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</si>
  <si>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</si>
  <si>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</si>
  <si>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</si>
  <si>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</si>
  <si>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</si>
  <si>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</si>
  <si>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</si>
  <si>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</si>
  <si>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</si>
  <si>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</si>
  <si>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</si>
  <si>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</si>
  <si>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</si>
  <si>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</si>
  <si>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</si>
  <si>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</si>
  <si>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</si>
  <si>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</si>
  <si>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</si>
  <si>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</si>
  <si>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</si>
  <si>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</si>
  <si>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</si>
  <si>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</si>
  <si>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</si>
  <si>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</si>
  <si>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</si>
  <si>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</si>
  <si>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</si>
  <si>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</si>
  <si>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</si>
  <si>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</si>
  <si>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</si>
  <si>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</si>
  <si>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</si>
  <si>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</si>
  <si>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</si>
  <si>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</si>
  <si>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</si>
  <si>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</si>
  <si>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</si>
  <si>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</si>
  <si>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</si>
  <si>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</si>
  <si>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</si>
  <si>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</si>
  <si>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</si>
  <si>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</si>
  <si>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</si>
  <si>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</si>
  <si>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</si>
  <si>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</si>
  <si>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</si>
  <si>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</si>
  <si>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</si>
  <si>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</si>
  <si>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</si>
  <si>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</si>
  <si>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</si>
  <si>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</si>
  <si>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</si>
  <si>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</si>
  <si>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</si>
  <si>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</si>
  <si>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</si>
  <si>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</si>
  <si>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</si>
  <si>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</si>
  <si>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</si>
  <si>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</si>
  <si>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</si>
  <si>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</si>
  <si>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</si>
  <si>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</si>
  <si>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</si>
  <si>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</si>
  <si>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</si>
  <si>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</si>
  <si>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</si>
  <si>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</si>
  <si>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</si>
  <si>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</si>
  <si>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</si>
  <si>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</si>
  <si>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</si>
  <si>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</si>
  <si>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</si>
  <si>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</si>
  <si>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</si>
  <si>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</si>
  <si>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</si>
  <si>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</si>
  <si>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</si>
  <si>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</si>
  <si>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</si>
  <si>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</si>
  <si>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</si>
  <si>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</si>
  <si>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</si>
  <si>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</si>
  <si>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</si>
  <si>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</si>
  <si>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</si>
  <si>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</si>
  <si>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</si>
  <si>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</si>
  <si>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</si>
  <si>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</si>
  <si>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</si>
  <si>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</si>
  <si>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</si>
  <si>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</si>
  <si>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</si>
  <si>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</si>
  <si>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</si>
  <si>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</si>
  <si>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</si>
  <si>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</si>
  <si>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</si>
  <si>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</si>
  <si>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</si>
  <si>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</si>
  <si>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</si>
  <si>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</si>
  <si>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</si>
  <si>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</si>
  <si>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</si>
  <si>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</si>
  <si>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</si>
  <si>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</si>
  <si>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</si>
  <si>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</si>
  <si>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</si>
  <si>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</si>
  <si>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</si>
  <si>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</si>
  <si>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</si>
  <si>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</si>
  <si>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</si>
  <si>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</si>
  <si>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</si>
  <si>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</si>
  <si>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</si>
  <si>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</si>
  <si>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</si>
  <si>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</si>
  <si>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</si>
  <si>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</si>
  <si>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</si>
  <si>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</si>
  <si>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</si>
  <si>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</si>
  <si>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</si>
  <si>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</si>
  <si>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</si>
  <si>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</si>
  <si>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</si>
  <si>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</si>
  <si>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</si>
  <si>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</si>
  <si>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</si>
  <si>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</si>
  <si>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</si>
  <si>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</si>
  <si>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</si>
  <si>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</si>
  <si>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</si>
  <si>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</si>
  <si>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</si>
  <si>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</si>
  <si>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</si>
  <si>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</si>
  <si>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</si>
  <si>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</si>
  <si>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</si>
  <si>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</si>
  <si>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</si>
  <si>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</si>
  <si>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</si>
  <si>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</si>
  <si>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</si>
  <si>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</si>
  <si>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</si>
  <si>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</si>
  <si>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</si>
  <si>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</si>
  <si>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</si>
  <si>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</si>
  <si>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</si>
  <si>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</si>
  <si>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</si>
  <si>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</si>
  <si>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</si>
  <si>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</si>
  <si>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</si>
  <si>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</si>
  <si>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</si>
  <si>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</si>
  <si>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</si>
  <si>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</si>
  <si>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</si>
  <si>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</si>
  <si>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</si>
  <si>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</si>
  <si>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</si>
  <si>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</si>
  <si>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</si>
  <si>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</si>
  <si>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</si>
  <si>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</si>
  <si>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</si>
  <si>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</si>
  <si>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</si>
  <si>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</si>
  <si>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</si>
  <si>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</si>
  <si>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</si>
  <si>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</si>
  <si>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</si>
  <si>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</si>
  <si>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</si>
  <si>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</si>
  <si>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</si>
  <si>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</si>
  <si>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</si>
  <si>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</si>
  <si>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</si>
  <si>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</si>
  <si>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</si>
  <si>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</si>
  <si>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</si>
  <si>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</si>
  <si>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</si>
  <si>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</si>
  <si>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</si>
  <si>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</si>
  <si>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</si>
  <si>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</si>
  <si>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</si>
  <si>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</si>
  <si>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</si>
  <si>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</si>
  <si>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</si>
  <si>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</si>
  <si>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</si>
  <si>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</si>
  <si>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</si>
  <si>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</si>
  <si>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</si>
  <si>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</si>
  <si>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</si>
  <si>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</si>
  <si>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</si>
  <si>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</si>
  <si>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</si>
  <si>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</si>
  <si>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</si>
  <si>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</si>
  <si>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</si>
  <si>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</si>
  <si>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</si>
  <si>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</si>
  <si>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</si>
  <si>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</si>
  <si>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</si>
  <si>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</si>
  <si>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</si>
  <si>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</si>
  <si>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</si>
  <si>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</si>
  <si>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</si>
  <si>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</si>
  <si>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</si>
  <si>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</si>
  <si>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</si>
  <si>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</si>
  <si>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</si>
  <si>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</si>
  <si>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</si>
  <si>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</si>
  <si>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</si>
  <si>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</si>
  <si>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</si>
  <si>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</si>
  <si>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</si>
  <si>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</si>
  <si>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</si>
  <si>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</si>
  <si>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</si>
  <si>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</si>
  <si>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</si>
  <si>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</si>
  <si>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</si>
  <si>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</si>
  <si>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</si>
  <si>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</si>
  <si>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</si>
  <si>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</si>
  <si>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</si>
  <si>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</si>
  <si>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</si>
  <si>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</si>
  <si>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</si>
  <si>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</si>
  <si>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</si>
  <si>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</si>
  <si>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</si>
  <si>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</si>
  <si>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</si>
  <si>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</si>
  <si>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</si>
  <si>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</si>
  <si>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</si>
  <si>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</si>
  <si>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</si>
  <si>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</si>
  <si>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</si>
  <si>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</si>
  <si>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</si>
  <si>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</si>
  <si>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</si>
  <si>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</si>
  <si>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</si>
  <si>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</si>
  <si>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</si>
  <si>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</si>
  <si>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</si>
  <si>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</si>
  <si>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</si>
  <si>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</si>
  <si>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</si>
  <si>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</si>
  <si>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</si>
  <si>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</si>
  <si>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</si>
  <si>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</si>
  <si>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</si>
  <si>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</si>
  <si>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</si>
  <si>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</si>
  <si>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</si>
  <si>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</si>
  <si>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</si>
  <si>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</si>
  <si>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</si>
  <si>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</si>
  <si>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</si>
  <si>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</si>
  <si>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</si>
  <si>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</si>
  <si>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</si>
  <si>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</si>
  <si>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</si>
  <si>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</si>
  <si>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</si>
  <si>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</si>
  <si>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</si>
  <si>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</si>
  <si>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</si>
  <si>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</si>
  <si>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</si>
  <si>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</si>
  <si>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</si>
  <si>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</si>
  <si>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</si>
  <si>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</si>
  <si>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</si>
  <si>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</si>
  <si>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</si>
  <si>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</si>
  <si>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</si>
  <si>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</si>
  <si>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</si>
  <si>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</si>
  <si>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</si>
  <si>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</si>
  <si>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</si>
  <si>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</si>
  <si>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</si>
  <si>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</si>
  <si>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</si>
  <si>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</si>
  <si>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</si>
  <si>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</si>
  <si>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</si>
  <si>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</si>
  <si>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</si>
  <si>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</si>
  <si>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</si>
  <si>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</si>
  <si>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</si>
  <si>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</si>
  <si>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</si>
  <si>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</si>
  <si>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</si>
  <si>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</si>
  <si>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</si>
  <si>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</si>
  <si>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</si>
  <si>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</si>
  <si>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</si>
  <si>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</si>
  <si>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</si>
  <si>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</si>
  <si>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</si>
  <si>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</si>
  <si>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</si>
  <si>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</si>
  <si>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</si>
  <si>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</si>
  <si>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</si>
  <si>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</si>
  <si>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</si>
  <si>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</si>
  <si>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</si>
  <si>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</si>
  <si>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</si>
  <si>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</si>
  <si>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</si>
  <si>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</si>
  <si>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</si>
  <si>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</si>
  <si>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</si>
  <si>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</si>
  <si>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</si>
  <si>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</si>
  <si>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</si>
  <si>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</si>
  <si>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</si>
  <si>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</si>
  <si>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</si>
  <si>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</si>
  <si>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</si>
  <si>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</si>
  <si>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</si>
  <si>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</si>
  <si>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</si>
  <si>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</si>
  <si>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</si>
  <si>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</si>
  <si>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</si>
  <si>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</si>
  <si>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</si>
  <si>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</si>
  <si>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</si>
  <si>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</si>
  <si>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</si>
  <si>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</si>
  <si>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</si>
  <si>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</si>
  <si>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</si>
  <si>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</si>
  <si>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</si>
  <si>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</si>
  <si>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</si>
  <si>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</si>
  <si>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</si>
  <si>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</si>
  <si>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</si>
  <si>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</si>
  <si>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</si>
  <si>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</si>
  <si>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</si>
  <si>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</si>
  <si>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</si>
  <si>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</si>
  <si>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</si>
  <si>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</si>
  <si>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</si>
  <si>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</si>
  <si>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</si>
  <si>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</si>
  <si>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</si>
  <si>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</si>
  <si>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</si>
  <si>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</si>
  <si>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</si>
  <si>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</si>
  <si>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</si>
  <si>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</si>
  <si>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</si>
  <si>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</si>
  <si>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</si>
  <si>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</si>
  <si>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</si>
  <si>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</si>
  <si>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</si>
  <si>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</si>
  <si>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</si>
  <si>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</si>
  <si>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</si>
  <si>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</si>
  <si>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</si>
  <si>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</si>
  <si>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</si>
  <si>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</si>
  <si>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</si>
  <si>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</si>
  <si>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</si>
  <si>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</si>
  <si>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</si>
  <si>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</si>
  <si>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</si>
  <si>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</si>
  <si>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</si>
  <si>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</si>
  <si>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</si>
  <si>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</si>
  <si>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</si>
  <si>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</si>
  <si>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</si>
  <si>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</si>
  <si>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</si>
  <si>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</si>
  <si>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</si>
  <si>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</si>
  <si>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</si>
  <si>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</si>
  <si>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</si>
  <si>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</si>
  <si>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</si>
  <si>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</si>
  <si>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</si>
  <si>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</si>
  <si>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</si>
  <si>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</si>
  <si>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</si>
  <si>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</si>
  <si>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</si>
  <si>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</si>
  <si>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</si>
  <si>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</si>
  <si>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</si>
  <si>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</si>
  <si>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</si>
  <si>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</si>
  <si>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</si>
  <si>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</si>
  <si>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</si>
  <si>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</si>
  <si>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</si>
  <si>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</si>
  <si>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</si>
  <si>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</si>
  <si>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</si>
  <si>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</si>
  <si>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</si>
  <si>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</si>
  <si>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</si>
  <si>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</si>
  <si>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</si>
  <si>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</si>
  <si>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</si>
  <si>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</si>
  <si>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</si>
  <si>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</si>
  <si>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</si>
  <si>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</si>
  <si>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</si>
  <si>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</si>
  <si>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</si>
  <si>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</si>
  <si>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</si>
  <si>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</si>
  <si>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</si>
  <si>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</si>
  <si>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</si>
  <si>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</si>
  <si>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</si>
  <si>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</si>
  <si>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</si>
  <si>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</si>
  <si>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</si>
  <si>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</si>
  <si>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</si>
  <si>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</si>
  <si>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</si>
  <si>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</si>
  <si>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</si>
  <si>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</si>
  <si>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</si>
  <si>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</si>
  <si>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</si>
  <si>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</si>
  <si>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</si>
  <si>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</si>
  <si>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</si>
  <si>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</si>
  <si>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</si>
  <si>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</si>
  <si>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</si>
  <si>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</si>
  <si>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</si>
  <si>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</si>
  <si>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</si>
  <si>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</si>
  <si>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</si>
  <si>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</si>
  <si>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</si>
  <si>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</si>
  <si>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</si>
  <si>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</si>
  <si>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</si>
  <si>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</si>
  <si>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</si>
  <si>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</si>
  <si>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</si>
  <si>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</si>
  <si>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</si>
  <si>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</si>
  <si>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</si>
  <si>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</si>
  <si>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</si>
  <si>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</si>
  <si>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</si>
  <si>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</si>
  <si>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</si>
  <si>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</si>
  <si>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</si>
  <si>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</si>
  <si>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</si>
  <si>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</si>
  <si>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</si>
  <si>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</si>
  <si>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</si>
  <si>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</si>
  <si>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</si>
  <si>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</si>
  <si>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</si>
  <si>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</si>
  <si>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</si>
  <si>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</si>
  <si>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</si>
  <si>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</si>
  <si>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</si>
  <si>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</si>
  <si>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</si>
  <si>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</si>
  <si>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</si>
  <si>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</si>
  <si>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</si>
  <si>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</si>
  <si>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</si>
  <si>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</si>
  <si>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</si>
  <si>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</si>
  <si>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</si>
  <si>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</si>
  <si>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</si>
  <si>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</si>
  <si>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</si>
  <si>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</si>
  <si>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</si>
  <si>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</si>
  <si>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</si>
  <si>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</si>
  <si>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</si>
  <si>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</si>
  <si>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</si>
  <si>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</si>
  <si>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</si>
  <si>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</si>
  <si>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</si>
  <si>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</si>
  <si>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</si>
  <si>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</si>
  <si>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</si>
  <si>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</si>
  <si>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</si>
  <si>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</si>
  <si>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</si>
  <si>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</si>
  <si>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</si>
  <si>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</si>
  <si>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</si>
  <si>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</si>
  <si>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</si>
  <si>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</si>
  <si>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</si>
  <si>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</si>
  <si>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</si>
  <si>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</si>
  <si>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</si>
  <si>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</si>
  <si>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</si>
  <si>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</si>
  <si>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</si>
  <si>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</si>
  <si>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</si>
  <si>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</si>
  <si>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</si>
  <si>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</si>
  <si>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</si>
  <si>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</si>
  <si>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</si>
  <si>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</si>
  <si>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</si>
  <si>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</si>
  <si>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</si>
  <si>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</si>
  <si>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</si>
  <si>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</si>
  <si>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</si>
  <si>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</si>
  <si>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</si>
  <si>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</si>
  <si>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</si>
  <si>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</si>
  <si>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</si>
  <si>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</si>
  <si>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</si>
  <si>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</si>
  <si>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</si>
  <si>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</si>
  <si>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</si>
  <si>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</si>
  <si>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</si>
  <si>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</si>
  <si>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</si>
  <si>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</si>
  <si>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</si>
  <si>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</si>
  <si>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</si>
  <si>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</si>
  <si>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</si>
  <si>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</si>
  <si>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</si>
  <si>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</si>
  <si>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</si>
  <si>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</si>
  <si>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</si>
  <si>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</si>
  <si>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</si>
  <si>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</si>
  <si>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</si>
  <si>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</si>
  <si>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</si>
  <si>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</si>
  <si>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</si>
  <si>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</si>
  <si>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</si>
  <si>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</si>
  <si>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</si>
  <si>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</si>
  <si>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</si>
  <si>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</si>
  <si>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</si>
  <si>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</si>
  <si>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</si>
  <si>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</si>
  <si>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</si>
  <si>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</si>
  <si>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</si>
  <si>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</si>
  <si>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</si>
  <si>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</si>
  <si>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</si>
  <si>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</si>
  <si>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</si>
  <si>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</si>
  <si>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</si>
  <si>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</si>
  <si>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</si>
  <si>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</si>
  <si>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</si>
  <si>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</si>
  <si>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</si>
  <si>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</si>
  <si>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</si>
  <si>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</si>
  <si>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</si>
  <si>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</si>
  <si>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</si>
  <si>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</si>
  <si>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</si>
  <si>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</si>
  <si>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</si>
  <si>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</si>
  <si>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</si>
  <si>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</si>
  <si>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</si>
  <si>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</si>
  <si>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</si>
  <si>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</si>
  <si>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</si>
  <si>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</si>
  <si>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</si>
  <si>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</si>
  <si>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</si>
  <si>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</si>
  <si>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</si>
  <si>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</si>
  <si>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</si>
  <si>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</si>
  <si>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</si>
  <si>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</si>
  <si>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</si>
  <si>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</si>
  <si>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</si>
  <si>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</si>
  <si>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</si>
  <si>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</si>
  <si>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</si>
  <si>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</si>
  <si>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</si>
  <si>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</si>
  <si>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</si>
  <si>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</si>
  <si>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</si>
  <si>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</si>
  <si>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</si>
  <si>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</si>
  <si>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</si>
  <si>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</si>
  <si>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</si>
  <si>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</si>
  <si>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</si>
  <si>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</si>
  <si>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</si>
  <si>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</si>
  <si>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</si>
  <si>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</si>
  <si>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</si>
  <si>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</si>
  <si>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</si>
  <si>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</si>
  <si>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</si>
  <si>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</si>
  <si>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</si>
  <si>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</si>
  <si>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</si>
  <si>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</si>
  <si>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</si>
  <si>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</si>
  <si>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</si>
  <si>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</si>
  <si>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</si>
  <si>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</si>
  <si>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</si>
  <si>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</si>
  <si>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</si>
  <si>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</si>
  <si>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</si>
  <si>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</si>
  <si>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</si>
  <si>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</si>
  <si>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</si>
  <si>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</si>
  <si>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</si>
  <si>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</si>
  <si>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</si>
  <si>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</si>
  <si>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</si>
  <si>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</si>
  <si>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</si>
  <si>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</si>
  <si>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</si>
  <si>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</si>
  <si>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</si>
  <si>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</si>
  <si>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</si>
  <si>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</si>
  <si>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</si>
  <si>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</si>
  <si>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</si>
  <si>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</si>
  <si>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</si>
  <si>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</si>
  <si>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</si>
  <si>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</si>
  <si>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</si>
  <si>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</si>
  <si>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</si>
  <si>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</si>
  <si>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</si>
  <si>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</si>
  <si>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</si>
  <si>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</si>
  <si>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</si>
  <si>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</si>
  <si>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</si>
  <si>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</si>
  <si>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</si>
  <si>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</si>
  <si>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</si>
  <si>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</si>
  <si>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</si>
  <si>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</si>
  <si>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</si>
  <si>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</si>
  <si>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</si>
  <si>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</si>
  <si>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</si>
  <si>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</si>
  <si>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</si>
  <si>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</si>
  <si>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</si>
  <si>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</si>
  <si>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</si>
  <si>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</si>
  <si>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</si>
  <si>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</si>
  <si>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</si>
  <si>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</si>
  <si>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</si>
  <si>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</si>
  <si>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</si>
  <si>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</si>
  <si>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</si>
  <si>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</si>
  <si>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</si>
  <si>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</si>
  <si>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</si>
  <si>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</si>
  <si>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</si>
  <si>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</si>
  <si>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</si>
  <si>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</si>
  <si>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</si>
  <si>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</si>
  <si>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</si>
  <si>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</si>
  <si>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</si>
  <si>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</si>
  <si>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</si>
  <si>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</si>
  <si>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</si>
  <si>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</si>
  <si>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</si>
  <si>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</si>
  <si>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</si>
  <si>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</si>
  <si>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</si>
  <si>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</si>
  <si>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</si>
  <si>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</si>
  <si>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</si>
  <si>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</si>
  <si>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</si>
  <si>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</si>
  <si>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</si>
  <si>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</si>
  <si>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</si>
  <si>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</si>
  <si>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</si>
  <si>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</si>
  <si>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</si>
  <si>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</si>
  <si>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</si>
  <si>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</si>
  <si>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</si>
  <si>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</si>
  <si>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</si>
  <si>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</si>
  <si>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</si>
  <si>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</si>
  <si>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</si>
  <si>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</si>
  <si>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</si>
  <si>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</si>
  <si>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</si>
  <si>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</si>
  <si>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</si>
  <si>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</si>
  <si>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</si>
  <si>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</si>
  <si>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</si>
  <si>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</si>
  <si>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</si>
  <si>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</si>
  <si>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</si>
  <si>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</si>
  <si>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</si>
  <si>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</si>
  <si>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</si>
  <si>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</si>
  <si>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</si>
  <si>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</si>
  <si>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</si>
  <si>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</si>
  <si>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</si>
  <si>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</si>
  <si>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</si>
  <si>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</si>
  <si>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</si>
  <si>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</si>
  <si>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</si>
  <si>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</si>
  <si>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</si>
  <si>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</si>
  <si>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</si>
  <si>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</si>
  <si>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</si>
  <si>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</si>
  <si>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</si>
  <si>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</si>
  <si>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</si>
  <si>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</si>
  <si>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</si>
  <si>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</si>
  <si>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</si>
  <si>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</si>
  <si>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</si>
  <si>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</si>
  <si>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</si>
  <si>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</si>
  <si>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</si>
  <si>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</si>
  <si>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</si>
  <si>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</si>
  <si>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</si>
  <si>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</si>
  <si>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</si>
  <si>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</si>
  <si>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</si>
  <si>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</si>
  <si>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</si>
  <si>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</si>
  <si>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</si>
  <si>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</si>
  <si>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</si>
  <si>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</si>
  <si>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</si>
  <si>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</si>
  <si>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</si>
  <si>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</si>
  <si>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</si>
  <si>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</si>
  <si>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</si>
  <si>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</si>
  <si>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</si>
  <si>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</si>
  <si>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</si>
  <si>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</si>
  <si>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</si>
  <si>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</si>
  <si>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</si>
  <si>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</si>
  <si>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</si>
  <si>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</si>
  <si>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</si>
  <si>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</si>
  <si>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</si>
  <si>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</si>
  <si>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</si>
  <si>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</si>
  <si>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</si>
  <si>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</si>
  <si>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</si>
  <si>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</si>
  <si>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</si>
  <si>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</si>
  <si>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</si>
  <si>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</si>
  <si>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</si>
  <si>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</si>
  <si>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</si>
  <si>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</si>
  <si>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</si>
  <si>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</si>
  <si>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</si>
  <si>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</si>
  <si>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</si>
  <si>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</si>
  <si>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</si>
  <si>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</si>
  <si>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</si>
  <si>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</si>
  <si>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</si>
  <si>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</si>
  <si>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</si>
  <si>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</si>
  <si>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</si>
  <si>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</si>
  <si>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</si>
  <si>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</si>
  <si>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</si>
  <si>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</si>
  <si>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</si>
  <si>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</si>
  <si>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</si>
  <si>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</si>
  <si>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</si>
  <si>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</si>
  <si>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</si>
  <si>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</si>
  <si>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</si>
  <si>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</si>
  <si>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</si>
  <si>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</si>
  <si>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</si>
  <si>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</si>
  <si>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</si>
  <si>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</si>
  <si>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</si>
  <si>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</si>
  <si>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</si>
  <si>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</si>
  <si>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</si>
  <si>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</si>
  <si>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</si>
  <si>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</si>
  <si>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</si>
  <si>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</si>
  <si>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</si>
  <si>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</si>
  <si>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</si>
  <si>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</si>
  <si>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</si>
  <si>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</si>
  <si>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</si>
  <si>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</si>
  <si>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</si>
  <si>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</si>
  <si>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</si>
  <si>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</si>
  <si>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</si>
  <si>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</si>
  <si>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</si>
  <si>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</si>
  <si>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</si>
  <si>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</si>
  <si>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</si>
  <si>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</si>
  <si>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</si>
  <si>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</si>
  <si>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</si>
  <si>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</si>
  <si>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</si>
  <si>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</si>
  <si>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</si>
  <si>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</si>
  <si>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</si>
  <si>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</si>
  <si>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</si>
  <si>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</si>
  <si>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</si>
  <si>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</si>
  <si>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</si>
  <si>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</si>
  <si>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</si>
  <si>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</si>
  <si>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</si>
  <si>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</si>
  <si>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</si>
  <si>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</si>
  <si>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</si>
  <si>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</si>
  <si>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</si>
  <si>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</si>
  <si>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</si>
  <si>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</si>
  <si>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</si>
  <si>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</si>
  <si>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</si>
  <si>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</si>
  <si>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</si>
  <si>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</si>
  <si>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</si>
  <si>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</si>
  <si>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</si>
  <si>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</si>
  <si>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</si>
  <si>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</si>
  <si>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</si>
  <si>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</si>
  <si>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</si>
  <si>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</si>
  <si>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</si>
  <si>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</si>
  <si>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</si>
  <si>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</si>
  <si>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</si>
  <si>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</si>
  <si>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</si>
  <si>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</si>
  <si>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</si>
  <si>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</si>
  <si>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</si>
  <si>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</si>
  <si>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</si>
  <si>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</si>
  <si>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</si>
  <si>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</si>
  <si>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</si>
  <si>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</si>
  <si>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</si>
  <si>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</si>
  <si>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</si>
  <si>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</si>
  <si>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</si>
  <si>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</si>
  <si>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</si>
  <si>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</si>
  <si>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</si>
  <si>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</si>
  <si>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</si>
  <si>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</si>
  <si>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</si>
  <si>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</si>
  <si>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</si>
  <si>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</si>
  <si>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</si>
  <si>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</si>
  <si>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</si>
  <si>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</si>
  <si>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</si>
  <si>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</si>
  <si>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</si>
  <si>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</si>
  <si>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</si>
  <si>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</si>
  <si>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</si>
  <si>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</si>
  <si>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</si>
  <si>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</si>
  <si>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</si>
  <si>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</si>
  <si>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</si>
  <si>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</si>
  <si>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</si>
  <si>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</si>
  <si>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</si>
  <si>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</si>
  <si>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</si>
  <si>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</si>
  <si>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</si>
  <si>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</si>
  <si>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</si>
  <si>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</si>
  <si>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</si>
  <si>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</si>
  <si>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</si>
  <si>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</si>
  <si>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</si>
  <si>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</si>
  <si>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</si>
  <si>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</si>
  <si>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</si>
  <si>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</si>
  <si>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</si>
  <si>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</si>
  <si>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</si>
  <si>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</si>
  <si>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</si>
  <si>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</si>
  <si>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</si>
  <si>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</si>
  <si>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</si>
  <si>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</si>
  <si>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</si>
  <si>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</si>
  <si>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</si>
  <si>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</si>
  <si>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</si>
  <si>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</si>
  <si>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</si>
  <si>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</si>
  <si>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</si>
  <si>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</si>
  <si>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</si>
  <si>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</si>
  <si>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</si>
  <si>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</si>
  <si>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</si>
  <si>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</si>
  <si>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</si>
  <si>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</si>
  <si>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</si>
  <si>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</si>
  <si>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</si>
  <si>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</si>
  <si>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</si>
  <si>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</si>
  <si>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</si>
  <si>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</si>
  <si>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</si>
  <si>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</si>
  <si>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</si>
  <si>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</si>
  <si>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</si>
  <si>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</si>
  <si>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</si>
  <si>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</si>
  <si>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</si>
  <si>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</si>
  <si>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</si>
  <si>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</si>
  <si>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</si>
  <si>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</si>
  <si>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</si>
  <si>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</si>
  <si>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</si>
  <si>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</si>
  <si>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</si>
  <si>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</si>
  <si>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</si>
  <si>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</si>
  <si>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</si>
  <si>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</si>
  <si>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</si>
  <si>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</si>
  <si>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</si>
  <si>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</si>
  <si>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</si>
  <si>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</si>
  <si>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</si>
  <si>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</si>
  <si>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</si>
  <si>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</si>
  <si>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</si>
  <si>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</si>
  <si>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</si>
  <si>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</si>
  <si>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</si>
  <si>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</si>
  <si>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</si>
  <si>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</si>
  <si>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</si>
  <si>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</si>
  <si>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</si>
  <si>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</si>
  <si>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</si>
  <si>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</si>
  <si>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</si>
  <si>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</si>
  <si>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</si>
  <si>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</si>
  <si>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</si>
  <si>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</si>
  <si>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</si>
  <si>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</si>
  <si>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</si>
  <si>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</si>
  <si>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</si>
  <si>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</si>
  <si>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</si>
  <si>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</si>
  <si>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</si>
  <si>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</si>
  <si>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</si>
  <si>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</si>
  <si>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</si>
  <si>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</si>
  <si>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</si>
  <si>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</si>
  <si>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</si>
  <si>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</si>
  <si>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</si>
  <si>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</si>
  <si>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</si>
  <si>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</si>
  <si>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</si>
  <si>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</si>
  <si>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</si>
  <si>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</si>
  <si>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</si>
  <si>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</si>
  <si>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</si>
  <si>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</si>
  <si>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</si>
  <si>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</si>
  <si>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</si>
  <si>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</si>
  <si>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</si>
  <si>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</si>
  <si>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</si>
  <si>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</si>
  <si>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</si>
  <si>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</si>
  <si>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</si>
  <si>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</si>
  <si>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</si>
  <si>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</si>
  <si>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</si>
  <si>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</si>
  <si>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</si>
  <si>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</si>
  <si>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</si>
  <si>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</si>
  <si>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</si>
  <si>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</si>
  <si>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</si>
  <si>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</si>
  <si>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</si>
  <si>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</si>
  <si>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</si>
  <si>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</si>
  <si>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</si>
  <si>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</si>
  <si>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</si>
  <si>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</si>
  <si>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</si>
  <si>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</si>
  <si>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</si>
  <si>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</si>
  <si>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</si>
  <si>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</si>
  <si>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</si>
  <si>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</si>
  <si>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</si>
  <si>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</si>
  <si>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</si>
  <si>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</si>
  <si>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</si>
  <si>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</si>
  <si>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</si>
  <si>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</si>
  <si>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</si>
  <si>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</si>
  <si>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</si>
  <si>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</si>
  <si>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</si>
  <si>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</si>
  <si>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</si>
  <si>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</si>
  <si>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</si>
  <si>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</si>
  <si>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</si>
  <si>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</si>
  <si>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</si>
  <si>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</si>
  <si>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</si>
  <si>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</si>
  <si>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</si>
  <si>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</si>
  <si>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</si>
  <si>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</si>
  <si>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</si>
  <si>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</si>
  <si>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</si>
  <si>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</si>
  <si>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</si>
  <si>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</si>
  <si>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</si>
  <si>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</si>
  <si>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</si>
  <si>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</si>
  <si>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</si>
  <si>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</si>
  <si>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</si>
  <si>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</si>
  <si>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</si>
  <si>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</si>
  <si>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</si>
  <si>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</si>
  <si>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</si>
  <si>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</si>
  <si>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</si>
  <si>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</si>
  <si>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</si>
  <si>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</si>
  <si>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</si>
  <si>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</si>
  <si>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</si>
  <si>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</si>
  <si>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</si>
  <si>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</si>
  <si>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</si>
  <si>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</si>
  <si>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</si>
  <si>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</si>
  <si>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</si>
  <si>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</si>
  <si>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</si>
  <si>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</si>
  <si>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</si>
  <si>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</si>
  <si>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</si>
  <si>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</si>
  <si>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</si>
  <si>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</si>
  <si>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</si>
  <si>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</si>
  <si>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</si>
  <si>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</si>
  <si>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</si>
  <si>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</si>
  <si>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</si>
  <si>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</si>
  <si>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</si>
  <si>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</si>
  <si>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</si>
  <si>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</si>
  <si>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</si>
  <si>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</si>
  <si>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</si>
  <si>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</si>
  <si>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</si>
  <si>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</si>
  <si>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</si>
  <si>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</si>
  <si>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</si>
  <si>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</si>
  <si>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</si>
  <si>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</si>
  <si>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</si>
  <si>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</si>
  <si>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</si>
  <si>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</si>
  <si>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</si>
  <si>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</si>
  <si>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</si>
  <si>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</si>
  <si>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</si>
  <si>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</si>
  <si>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</si>
  <si>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</si>
  <si>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</si>
  <si>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</si>
  <si>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</si>
  <si>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</si>
  <si>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</si>
  <si>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</si>
  <si>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</si>
  <si>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</si>
  <si>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</si>
  <si>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</si>
  <si>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</si>
  <si>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</si>
  <si>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</si>
  <si>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</si>
  <si>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</si>
  <si>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</si>
  <si>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</si>
  <si>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</si>
  <si>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</si>
  <si>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</si>
  <si>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</si>
  <si>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</si>
  <si>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</si>
  <si>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</si>
  <si>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</si>
  <si>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</si>
  <si>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</si>
  <si>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</si>
  <si>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</si>
  <si>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</si>
  <si>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</si>
  <si>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</si>
  <si>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</si>
  <si>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</si>
  <si>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</si>
  <si>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</si>
  <si>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</si>
  <si>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</si>
  <si>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</si>
  <si>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</si>
  <si>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</si>
  <si>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</si>
  <si>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</si>
  <si>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</si>
  <si>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</si>
  <si>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</si>
  <si>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</si>
  <si>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</si>
  <si>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</si>
  <si>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</si>
  <si>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</si>
  <si>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</si>
  <si>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</si>
  <si>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</si>
  <si>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</si>
  <si>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</si>
  <si>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</si>
  <si>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</si>
  <si>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</si>
  <si>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</si>
  <si>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</si>
  <si>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</si>
  <si>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</si>
  <si>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</si>
  <si>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</si>
  <si>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</si>
  <si>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</si>
  <si>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</si>
  <si>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</si>
  <si>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</si>
  <si>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</si>
  <si>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</si>
  <si>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</si>
  <si>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</si>
  <si>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</si>
  <si>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</si>
  <si>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</si>
  <si>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</si>
  <si>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</si>
  <si>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</si>
  <si>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</si>
  <si>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</si>
  <si>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</si>
  <si>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</si>
  <si>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</si>
  <si>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</si>
  <si>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</si>
  <si>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</si>
  <si>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</si>
  <si>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</si>
  <si>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</si>
  <si>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</si>
  <si>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</si>
  <si>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</si>
  <si>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</si>
  <si>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</si>
  <si>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</si>
  <si>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</si>
  <si>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</si>
  <si>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</si>
  <si>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</si>
  <si>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</si>
  <si>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</si>
  <si>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</si>
  <si>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</si>
  <si>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</si>
  <si>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</si>
  <si>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</si>
  <si>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</si>
  <si>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</si>
  <si>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</si>
  <si>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</si>
  <si>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</si>
  <si>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</si>
  <si>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</si>
  <si>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</si>
  <si>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</si>
  <si>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</si>
  <si>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</si>
  <si>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</si>
  <si>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</si>
  <si>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</si>
  <si>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</si>
  <si>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</si>
  <si>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</si>
  <si>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</si>
  <si>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</si>
  <si>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</si>
  <si>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</si>
  <si>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</si>
  <si>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</si>
  <si>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</si>
  <si>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</si>
  <si>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</si>
  <si>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</si>
  <si>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</si>
  <si>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</si>
  <si>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</si>
  <si>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</si>
  <si>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</si>
  <si>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</si>
  <si>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</si>
  <si>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</si>
  <si>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</si>
  <si>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</si>
  <si>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</si>
  <si>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</si>
  <si>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</si>
  <si>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</si>
  <si>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</si>
  <si>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</si>
  <si>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</si>
  <si>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</si>
  <si>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</si>
  <si>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</si>
  <si>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</si>
  <si>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</si>
  <si>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</si>
  <si>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</si>
  <si>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</si>
  <si>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</si>
  <si>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</si>
  <si>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</si>
  <si>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</si>
  <si>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</si>
  <si>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</si>
  <si>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</si>
  <si>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</si>
  <si>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</si>
  <si>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</si>
  <si>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</si>
  <si>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</si>
  <si>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</si>
  <si>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</si>
  <si>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</si>
  <si>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</si>
  <si>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</si>
  <si>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</si>
  <si>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</si>
  <si>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</si>
  <si>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</si>
  <si>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</si>
  <si>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</si>
  <si>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</si>
  <si>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</si>
  <si>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</si>
  <si>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</si>
  <si>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</si>
  <si>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</si>
  <si>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</si>
  <si>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</si>
  <si>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</si>
  <si>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</si>
  <si>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</si>
  <si>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</si>
  <si>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</si>
  <si>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</si>
  <si>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</si>
  <si>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</si>
  <si>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</si>
  <si>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</si>
  <si>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</si>
  <si>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</si>
  <si>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</si>
  <si>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</si>
  <si>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</si>
  <si>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</si>
  <si>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</si>
  <si>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</si>
  <si>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</si>
  <si>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</si>
  <si>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</si>
  <si>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</si>
  <si>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</si>
  <si>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</si>
  <si>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</si>
  <si>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</si>
  <si>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</si>
  <si>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</si>
  <si>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</si>
  <si>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</si>
  <si>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</si>
  <si>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</si>
  <si>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</si>
  <si>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</si>
  <si>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</si>
  <si>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</si>
  <si>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</si>
  <si>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</si>
  <si>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</si>
  <si>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</si>
  <si>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</si>
  <si>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</si>
  <si>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</si>
  <si>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</si>
  <si>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</si>
  <si>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</si>
  <si>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</si>
  <si>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</si>
  <si>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</si>
  <si>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</si>
  <si>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</si>
  <si>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</si>
  <si>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</si>
  <si>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</si>
  <si>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</si>
  <si>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</si>
  <si>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</si>
  <si>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</si>
  <si>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</si>
  <si>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</si>
  <si>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</si>
  <si>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</si>
  <si>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</si>
  <si>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</si>
  <si>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</si>
  <si>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</si>
  <si>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</si>
  <si>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</si>
  <si>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</si>
  <si>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</si>
  <si>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</si>
  <si>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</si>
  <si>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</si>
  <si>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</si>
  <si>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</si>
  <si>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</si>
  <si>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</si>
  <si>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</si>
  <si>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</si>
  <si>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</si>
  <si>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</si>
  <si>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</si>
  <si>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</si>
  <si>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</si>
  <si>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</si>
  <si>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</si>
  <si>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</si>
  <si>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</si>
  <si>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</si>
  <si>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</si>
  <si>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</si>
  <si>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</si>
  <si>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</si>
  <si>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</si>
  <si>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</si>
  <si>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</si>
  <si>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</si>
  <si>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</si>
  <si>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</si>
  <si>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</si>
  <si>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</si>
  <si>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</si>
  <si>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</si>
  <si>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</si>
  <si>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</si>
  <si>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</si>
  <si>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</si>
  <si>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</si>
  <si>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</si>
  <si>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</si>
  <si>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</si>
  <si>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</si>
  <si>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</si>
  <si>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</si>
  <si>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</si>
  <si>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</si>
  <si>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</si>
  <si>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</si>
  <si>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</si>
  <si>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</si>
  <si>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</si>
  <si>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</si>
  <si>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</si>
  <si>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</si>
  <si>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</si>
  <si>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</si>
  <si>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</si>
  <si>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</si>
  <si>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</si>
  <si>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</si>
  <si>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</si>
  <si>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</si>
  <si>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</si>
  <si>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</si>
  <si>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</si>
  <si>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</si>
  <si>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</si>
  <si>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</si>
  <si>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</si>
  <si>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</si>
  <si>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</si>
  <si>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</si>
  <si>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</si>
  <si>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</si>
  <si>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</si>
  <si>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</si>
  <si>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</si>
  <si>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</si>
  <si>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</si>
  <si>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</si>
  <si>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</si>
  <si>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</si>
  <si>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</si>
  <si>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</si>
  <si>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</si>
  <si>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</si>
  <si>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</si>
  <si>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</si>
  <si>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</si>
  <si>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</si>
  <si>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</si>
  <si>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</si>
  <si>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</si>
  <si>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</si>
  <si>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</si>
  <si>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</si>
  <si>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</si>
  <si>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</si>
  <si>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</si>
  <si>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</si>
  <si>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</si>
  <si>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</si>
  <si>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</si>
  <si>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</si>
  <si>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</si>
  <si>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</si>
  <si>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</si>
  <si>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</si>
  <si>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</si>
  <si>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</si>
  <si>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</si>
  <si>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</si>
  <si>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</si>
  <si>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</si>
  <si>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</si>
  <si>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</si>
  <si>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</si>
  <si>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</si>
  <si>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</si>
  <si>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</si>
  <si>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</si>
  <si>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</si>
  <si>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</si>
  <si>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</si>
  <si>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</si>
  <si>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</si>
  <si>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</si>
  <si>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</si>
  <si>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</si>
  <si>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</si>
  <si>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</si>
  <si>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</si>
  <si>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</si>
  <si>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</si>
  <si>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</si>
  <si>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</si>
  <si>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</si>
  <si>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</si>
  <si>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</si>
  <si>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</si>
  <si>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</si>
  <si>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</si>
  <si>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</si>
  <si>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</si>
  <si>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</si>
  <si>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</si>
  <si>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</si>
  <si>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</si>
  <si>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</si>
  <si>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</si>
  <si>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</si>
  <si>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</si>
  <si>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</si>
  <si>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</si>
  <si>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</si>
  <si>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</si>
  <si>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</si>
  <si>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</si>
  <si>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</si>
  <si>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</si>
  <si>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</si>
  <si>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</si>
  <si>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</si>
  <si>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</si>
  <si>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</si>
  <si>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</si>
  <si>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</si>
  <si>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</si>
  <si>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</si>
  <si>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</si>
  <si>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</si>
  <si>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</si>
  <si>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</si>
  <si>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</si>
  <si>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</si>
  <si>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</si>
  <si>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</si>
  <si>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</si>
  <si>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</si>
  <si>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</si>
  <si>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</si>
  <si>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</si>
  <si>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</si>
  <si>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</si>
  <si>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</si>
  <si>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</si>
  <si>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</si>
  <si>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</si>
  <si>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</si>
  <si>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</si>
  <si>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</si>
  <si>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</si>
  <si>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</si>
  <si>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</si>
  <si>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</si>
  <si>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</si>
  <si>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</si>
  <si>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</si>
  <si>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</si>
  <si>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</si>
  <si>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</si>
  <si>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</si>
  <si>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</si>
  <si>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</si>
  <si>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</si>
  <si>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</si>
  <si>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</si>
  <si>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</si>
  <si>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</si>
  <si>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</si>
  <si>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</si>
  <si>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</si>
  <si>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</si>
  <si>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</si>
  <si>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</si>
  <si>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</si>
  <si>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</si>
  <si>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</si>
  <si>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</si>
  <si>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</si>
  <si>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</si>
  <si>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</si>
  <si>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</si>
  <si>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</si>
  <si>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</si>
  <si>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</si>
  <si>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</si>
  <si>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</si>
  <si>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</si>
  <si>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</si>
  <si>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</si>
  <si>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</si>
  <si>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</si>
  <si>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</si>
  <si>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</si>
  <si>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</si>
  <si>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</si>
  <si>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</si>
  <si>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</si>
  <si>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</si>
  <si>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</si>
  <si>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</si>
  <si>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</si>
  <si>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</si>
  <si>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</si>
  <si>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</si>
  <si>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</si>
  <si>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</si>
  <si>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</si>
  <si>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</si>
  <si>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</si>
  <si>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</si>
  <si>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</si>
  <si>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</si>
  <si>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</si>
  <si>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</si>
  <si>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</si>
  <si>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</si>
  <si>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</si>
  <si>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</si>
  <si>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</si>
  <si>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</si>
  <si>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</si>
  <si>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</si>
  <si>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</si>
  <si>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</si>
  <si>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</si>
  <si>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</si>
  <si>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</si>
  <si>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</si>
  <si>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</si>
  <si>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</si>
  <si>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</si>
  <si>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</si>
  <si>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</si>
  <si>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</si>
  <si>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</si>
  <si>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</si>
  <si>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</si>
  <si>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</si>
  <si>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</si>
  <si>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</si>
  <si>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</si>
  <si>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</si>
  <si>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</si>
  <si>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</si>
  <si>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</si>
  <si>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</si>
  <si>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</si>
  <si>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</si>
  <si>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</si>
  <si>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</si>
  <si>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</si>
  <si>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</si>
  <si>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</si>
  <si>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</si>
  <si>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</si>
  <si>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</si>
  <si>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</si>
  <si>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</si>
  <si>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</si>
  <si>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</si>
  <si>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</si>
  <si>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</si>
  <si>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</si>
  <si>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</si>
  <si>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</si>
  <si>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</si>
  <si>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</si>
  <si>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</si>
  <si>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</si>
  <si>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</si>
  <si>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</si>
  <si>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</si>
  <si>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</si>
  <si>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</si>
  <si>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</si>
  <si>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</si>
  <si>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</si>
  <si>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</si>
  <si>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</si>
  <si>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</si>
  <si>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</si>
  <si>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</si>
  <si>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</si>
  <si>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</si>
  <si>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</si>
  <si>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</si>
  <si>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</si>
  <si>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</si>
  <si>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</si>
  <si>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</si>
  <si>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</si>
  <si>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</si>
  <si>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</si>
  <si>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</si>
  <si>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</si>
  <si>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</si>
  <si>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</si>
  <si>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</si>
  <si>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</si>
  <si>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</si>
  <si>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</si>
  <si>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</si>
  <si>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</si>
  <si>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</si>
  <si>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</si>
  <si>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</si>
  <si>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</si>
  <si>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</si>
  <si>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</si>
  <si>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</si>
  <si>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</si>
  <si>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</si>
  <si>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</si>
  <si>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</si>
  <si>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</si>
  <si>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</si>
  <si>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</si>
  <si>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</si>
  <si>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</si>
  <si>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</si>
  <si>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</si>
  <si>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</si>
  <si>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</si>
  <si>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</si>
  <si>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</si>
  <si>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</si>
  <si>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</si>
  <si>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</si>
  <si>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</si>
  <si>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</si>
  <si>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</si>
  <si>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</si>
  <si>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</si>
  <si>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</si>
  <si>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</si>
  <si>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</si>
  <si>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</si>
  <si>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</si>
  <si>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</si>
  <si>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</si>
  <si>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</si>
  <si>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</si>
  <si>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</si>
  <si>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</si>
  <si>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</si>
  <si>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</si>
  <si>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</si>
  <si>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</si>
  <si>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</si>
  <si>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</si>
  <si>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</si>
  <si>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</si>
  <si>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</si>
  <si>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</si>
  <si>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</si>
  <si>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</si>
  <si>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</si>
  <si>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</si>
  <si>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</si>
  <si>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</si>
  <si>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</si>
  <si>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</si>
  <si>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</si>
  <si>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</si>
  <si>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</si>
  <si>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</si>
  <si>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</si>
  <si>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</si>
  <si>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</si>
  <si>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</si>
  <si>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</si>
  <si>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</si>
  <si>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</si>
  <si>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</si>
  <si>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</si>
  <si>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</si>
  <si>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</si>
  <si>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</si>
  <si>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</si>
  <si>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</si>
  <si>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</si>
  <si>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</si>
  <si>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</si>
  <si>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</si>
  <si>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</si>
  <si>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</si>
  <si>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</si>
  <si>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</si>
  <si>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</si>
  <si>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</si>
  <si>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</si>
  <si>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</si>
  <si>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</si>
  <si>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</si>
  <si>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</si>
  <si>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</si>
  <si>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</si>
  <si>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</si>
  <si>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</si>
  <si>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</si>
  <si>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</si>
  <si>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</si>
  <si>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</si>
  <si>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</si>
  <si>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</si>
  <si>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</si>
  <si>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</si>
  <si>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</si>
  <si>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</si>
  <si>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</si>
  <si>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</si>
  <si>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</si>
  <si>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</si>
  <si>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</si>
  <si>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</si>
  <si>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</si>
  <si>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</si>
  <si>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</si>
  <si>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</si>
  <si>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</si>
  <si>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</si>
  <si>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</si>
  <si>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</si>
  <si>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</si>
  <si>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</si>
  <si>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</si>
  <si>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</si>
  <si>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</si>
  <si>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</si>
  <si>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</si>
  <si>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</si>
  <si>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</si>
  <si>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</si>
  <si>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</si>
  <si>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</si>
  <si>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</si>
  <si>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</si>
  <si>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</si>
  <si>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</si>
  <si>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</si>
  <si>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</si>
  <si>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</si>
  <si>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</si>
  <si>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</si>
  <si>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</si>
  <si>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</si>
  <si>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</si>
  <si>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</si>
  <si>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</si>
  <si>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</si>
  <si>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</si>
  <si>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</si>
  <si>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</si>
  <si>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</si>
  <si>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</si>
  <si>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</si>
  <si>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</si>
  <si>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</si>
  <si>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</si>
  <si>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</si>
  <si>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</si>
  <si>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</si>
  <si>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</si>
  <si>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</si>
  <si>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</si>
  <si>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</si>
  <si>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</si>
  <si>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</si>
  <si>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</si>
  <si>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</si>
  <si>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</si>
  <si>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</si>
  <si>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</si>
  <si>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</si>
  <si>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</si>
  <si>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</si>
  <si>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</si>
  <si>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</si>
  <si>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</si>
  <si>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</si>
  <si>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</si>
  <si>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</si>
  <si>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</si>
  <si>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</si>
  <si>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</si>
  <si>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</si>
  <si>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</si>
  <si>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</si>
  <si>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</si>
  <si>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</si>
  <si>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</si>
  <si>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</si>
  <si>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</si>
  <si>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</si>
  <si>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</si>
  <si>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</si>
  <si>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</si>
  <si>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</si>
  <si>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</si>
  <si>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</si>
  <si>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</si>
  <si>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</si>
  <si>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</si>
  <si>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</si>
  <si>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</si>
  <si>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</si>
  <si>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</si>
  <si>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</si>
  <si>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</si>
  <si>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</si>
  <si>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</si>
  <si>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</si>
  <si>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</si>
  <si>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</si>
  <si>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</si>
  <si>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</si>
  <si>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</si>
  <si>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</si>
  <si>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</si>
  <si>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</si>
  <si>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</si>
  <si>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</si>
  <si>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</si>
  <si>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</si>
  <si>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</si>
  <si>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</si>
  <si>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</si>
  <si>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</si>
  <si>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</si>
  <si>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</si>
  <si>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</si>
  <si>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</si>
  <si>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</si>
  <si>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</si>
  <si>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</si>
  <si>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</si>
  <si>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</si>
  <si>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</si>
  <si>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</si>
  <si>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</si>
  <si>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</si>
  <si>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</si>
  <si>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</si>
  <si>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</si>
  <si>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</si>
  <si>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</si>
  <si>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</si>
  <si>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</si>
  <si>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</si>
  <si>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</si>
  <si>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</si>
  <si>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</si>
  <si>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</si>
  <si>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</si>
  <si>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</si>
  <si>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</si>
  <si>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</si>
  <si>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</si>
  <si>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</si>
  <si>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</si>
  <si>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</si>
  <si>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</si>
  <si>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</si>
  <si>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</si>
  <si>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</si>
  <si>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</si>
  <si>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</si>
  <si>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</si>
  <si>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</si>
  <si>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</si>
  <si>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</si>
  <si>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</si>
  <si>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</si>
  <si>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</si>
  <si>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</si>
  <si>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</si>
  <si>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</si>
  <si>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</si>
  <si>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</si>
  <si>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</si>
  <si>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</si>
  <si>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</si>
  <si>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</si>
  <si>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</si>
  <si>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</si>
  <si>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</si>
  <si>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</si>
  <si>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</si>
  <si>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</si>
  <si>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</si>
  <si>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</si>
  <si>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</si>
  <si>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</si>
  <si>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</si>
  <si>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</si>
  <si>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</si>
  <si>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</si>
  <si>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</si>
  <si>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</si>
  <si>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</si>
  <si>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</si>
  <si>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</si>
  <si>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</si>
  <si>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</si>
  <si>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</si>
  <si>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</si>
  <si>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</si>
  <si>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</si>
  <si>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</si>
  <si>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</si>
  <si>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</si>
  <si>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</si>
  <si>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</si>
  <si>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</si>
  <si>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</si>
  <si>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</si>
  <si>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</si>
  <si>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</si>
  <si>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</si>
  <si>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</si>
  <si>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</si>
  <si>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</si>
  <si>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</si>
  <si>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</si>
  <si>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</si>
  <si>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</si>
  <si>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</si>
  <si>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</si>
  <si>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</si>
  <si>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</si>
  <si>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</si>
  <si>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</si>
  <si>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</si>
  <si>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</si>
  <si>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</si>
  <si>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</si>
  <si>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</si>
  <si>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</si>
  <si>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</si>
  <si>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</si>
  <si>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</si>
  <si>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</si>
  <si>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</si>
  <si>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</si>
  <si>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</si>
  <si>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</si>
  <si>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</si>
  <si>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</si>
  <si>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</si>
  <si>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</si>
  <si>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</si>
  <si>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</si>
  <si>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</si>
  <si>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</si>
  <si>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</si>
  <si>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</si>
  <si>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</si>
  <si>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</si>
  <si>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</si>
  <si>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</si>
  <si>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</si>
  <si>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</si>
  <si>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</si>
  <si>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</si>
  <si>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</si>
  <si>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</si>
  <si>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</si>
  <si>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</si>
  <si>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</si>
  <si>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</si>
  <si>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</si>
  <si>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</si>
  <si>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</si>
  <si>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</si>
  <si>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</si>
  <si>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</si>
  <si>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</si>
  <si>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</si>
  <si>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</si>
  <si>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</si>
  <si>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</si>
  <si>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</si>
  <si>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</si>
  <si>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</si>
  <si>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</si>
  <si>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</si>
  <si>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</si>
  <si>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</si>
  <si>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</si>
  <si>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</si>
  <si>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</si>
  <si>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</si>
  <si>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</si>
  <si>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</si>
  <si>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</si>
  <si>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</si>
  <si>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</si>
  <si>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</si>
  <si>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</si>
  <si>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</si>
  <si>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</si>
  <si>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</si>
  <si>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</si>
  <si>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</si>
  <si>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</si>
  <si>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</si>
  <si>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</si>
  <si>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</si>
  <si>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</si>
  <si>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</si>
  <si>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</si>
  <si>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</si>
  <si>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</si>
  <si>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</si>
  <si>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</si>
  <si>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</si>
  <si>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</si>
  <si>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</si>
  <si>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</si>
  <si>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</si>
  <si>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</si>
  <si>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</si>
  <si>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</si>
  <si>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</si>
  <si>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</si>
  <si>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</si>
  <si>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</si>
  <si>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</si>
  <si>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</si>
  <si>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</si>
  <si>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</si>
  <si>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</si>
  <si>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</si>
  <si>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</si>
  <si>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</si>
  <si>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</si>
  <si>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</si>
  <si>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</si>
  <si>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</si>
  <si>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</si>
  <si>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</si>
  <si>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</si>
  <si>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</si>
  <si>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</si>
  <si>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</si>
  <si>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</si>
  <si>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</si>
  <si>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</si>
  <si>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</si>
  <si>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</si>
  <si>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</si>
  <si>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</si>
  <si>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</si>
  <si>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</si>
  <si>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</si>
  <si>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</si>
  <si>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</si>
  <si>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</si>
  <si>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</si>
  <si>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</si>
  <si>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</si>
  <si>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</si>
  <si>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</si>
  <si>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</si>
  <si>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</si>
  <si>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</si>
  <si>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</si>
  <si>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</si>
  <si>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</si>
  <si>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</si>
  <si>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</si>
  <si>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</si>
  <si>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</si>
  <si>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</si>
  <si>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</si>
  <si>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</si>
  <si>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</si>
  <si>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</si>
  <si>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</si>
  <si>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</si>
  <si>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</si>
  <si>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</si>
  <si>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</si>
  <si>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</si>
  <si>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</si>
  <si>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</si>
  <si>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</si>
  <si>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</si>
  <si>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</si>
  <si>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</si>
  <si>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</si>
  <si>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</si>
  <si>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</si>
  <si>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</si>
  <si>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</si>
  <si>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</si>
  <si>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</si>
  <si>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</si>
  <si>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</si>
  <si>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</si>
  <si>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</si>
  <si>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</si>
  <si>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</si>
  <si>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</si>
  <si>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</si>
  <si>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</si>
  <si>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</si>
  <si>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</si>
  <si>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</si>
  <si>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</si>
  <si>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</si>
  <si>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</si>
  <si>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</si>
  <si>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</si>
  <si>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</si>
  <si>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</si>
  <si>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</si>
  <si>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</si>
  <si>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</si>
  <si>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</si>
  <si>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</si>
  <si>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</si>
  <si>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</si>
  <si>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</si>
  <si>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</si>
  <si>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</si>
  <si>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</si>
  <si>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</si>
  <si>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</si>
  <si>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</si>
  <si>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</si>
  <si>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</si>
  <si>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</si>
  <si>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</si>
  <si>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</si>
  <si>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</si>
  <si>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</si>
  <si>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</si>
  <si>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</si>
  <si>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</si>
  <si>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</si>
  <si>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</si>
  <si>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</si>
  <si>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</si>
  <si>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</si>
  <si>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</si>
  <si>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</si>
  <si>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</si>
  <si>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</si>
  <si>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</si>
  <si>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</si>
  <si>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</si>
  <si>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</si>
  <si>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</si>
  <si>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</si>
  <si>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</si>
  <si>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</si>
  <si>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</si>
  <si>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</si>
  <si>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</si>
  <si>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</si>
  <si>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</si>
  <si>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</si>
  <si>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</si>
  <si>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</si>
  <si>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</si>
  <si>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</si>
  <si>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</si>
  <si>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</si>
  <si>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</si>
  <si>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</si>
  <si>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</si>
  <si>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</si>
  <si>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</si>
  <si>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</si>
  <si>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</si>
  <si>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</si>
  <si>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</si>
  <si>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</si>
  <si>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</si>
  <si>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</si>
  <si>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</si>
  <si>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</si>
  <si>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</si>
  <si>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</si>
  <si>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</si>
  <si>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</si>
  <si>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</si>
  <si>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</si>
  <si>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</si>
  <si>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</si>
  <si>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</si>
  <si>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</si>
  <si>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</si>
  <si>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</si>
  <si>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</si>
  <si>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</si>
  <si>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</si>
  <si>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</si>
  <si>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</si>
  <si>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</si>
  <si>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</si>
  <si>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</si>
  <si>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</si>
  <si>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</si>
  <si>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</si>
  <si>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</si>
  <si>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</si>
  <si>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</si>
  <si>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</si>
  <si>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</si>
  <si>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</si>
  <si>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</si>
  <si>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</si>
  <si>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</si>
  <si>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</si>
  <si>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</si>
  <si>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</si>
  <si>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</si>
  <si>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</si>
  <si>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</si>
  <si>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</si>
  <si>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</si>
  <si>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</si>
  <si>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</si>
  <si>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</si>
  <si>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</si>
  <si>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</si>
  <si>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</si>
  <si>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</si>
  <si>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</si>
  <si>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</si>
  <si>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</si>
  <si>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</si>
  <si>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</si>
  <si>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</si>
  <si>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</si>
  <si>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</si>
  <si>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</si>
  <si>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</si>
  <si>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</si>
  <si>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</si>
  <si>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</si>
  <si>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</si>
  <si>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</si>
  <si>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</si>
  <si>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</si>
  <si>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</si>
  <si>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</si>
  <si>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</si>
  <si>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</si>
  <si>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</si>
  <si>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</si>
  <si>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</si>
  <si>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</si>
  <si>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</si>
  <si>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</si>
  <si>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</si>
  <si>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</si>
  <si>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</si>
  <si>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</si>
  <si>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</si>
  <si>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</si>
  <si>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</si>
  <si>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</si>
  <si>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</si>
  <si>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</si>
  <si>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</si>
  <si>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</si>
  <si>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</si>
  <si>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</si>
  <si>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</si>
  <si>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</si>
  <si>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</si>
  <si>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</si>
  <si>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</si>
  <si>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</si>
  <si>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</si>
  <si>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</si>
  <si>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</si>
  <si>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</si>
  <si>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</si>
  <si>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</si>
  <si>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</si>
  <si>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</si>
  <si>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</si>
  <si>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</si>
  <si>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</si>
  <si>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</si>
  <si>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</si>
  <si>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</si>
  <si>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</si>
  <si>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</si>
  <si>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</si>
  <si>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</si>
  <si>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</si>
  <si>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</si>
  <si>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</si>
  <si>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</si>
  <si>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</si>
  <si>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</si>
  <si>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</si>
  <si>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</si>
  <si>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</si>
  <si>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</si>
  <si>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</si>
  <si>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</si>
  <si>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</si>
  <si>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</si>
  <si>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</si>
  <si>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</si>
  <si>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</si>
  <si>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</si>
  <si>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</si>
  <si>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</si>
  <si>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</si>
  <si>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</si>
  <si>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</si>
  <si>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</si>
  <si>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</si>
  <si>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</si>
  <si>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</si>
  <si>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</si>
  <si>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</si>
  <si>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</si>
  <si>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</si>
  <si>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</si>
  <si>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</si>
  <si>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</si>
  <si>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</si>
  <si>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</si>
  <si>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</si>
  <si>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</si>
  <si>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</si>
  <si>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</si>
  <si>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</si>
  <si>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</si>
  <si>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</si>
  <si>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</si>
  <si>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</si>
  <si>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</si>
  <si>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</si>
  <si>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</si>
  <si>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</si>
  <si>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</si>
  <si>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</si>
  <si>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</si>
  <si>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</si>
  <si>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</si>
  <si>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</si>
  <si>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</si>
  <si>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</si>
  <si>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</si>
  <si>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</si>
  <si>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</si>
  <si>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</si>
  <si>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</si>
  <si>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</si>
  <si>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</si>
  <si>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</si>
  <si>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</si>
  <si>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</si>
  <si>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</si>
  <si>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</si>
  <si>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</si>
  <si>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</si>
  <si>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</si>
  <si>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</si>
  <si>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</si>
  <si>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</si>
  <si>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</si>
  <si>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</si>
  <si>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</si>
  <si>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</si>
  <si>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</si>
  <si>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</si>
  <si>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</si>
  <si>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</si>
  <si>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</si>
  <si>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</si>
  <si>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</si>
  <si>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</si>
  <si>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</si>
  <si>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</si>
  <si>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</si>
  <si>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</si>
  <si>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</si>
  <si>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</si>
  <si>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</si>
  <si>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</si>
  <si>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</si>
  <si>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</si>
  <si>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</si>
  <si>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</si>
  <si>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</si>
  <si>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</si>
  <si>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</si>
  <si>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</si>
  <si>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</si>
  <si>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</si>
  <si>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</si>
  <si>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</si>
  <si>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</si>
  <si>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</si>
  <si>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</si>
  <si>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</si>
  <si>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</si>
  <si>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</si>
  <si>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</si>
  <si>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</si>
  <si>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</si>
  <si>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</si>
  <si>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</si>
  <si>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</si>
  <si>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</si>
  <si>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</si>
  <si>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</si>
  <si>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</si>
  <si>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</si>
  <si>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</si>
  <si>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</si>
  <si>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</si>
  <si>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</si>
  <si>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</si>
  <si>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</si>
  <si>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</si>
  <si>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</si>
  <si>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</si>
  <si>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</si>
  <si>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</si>
  <si>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</si>
  <si>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</si>
  <si>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</si>
  <si>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</si>
  <si>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</si>
  <si>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</si>
  <si>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</si>
  <si>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</si>
  <si>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</si>
  <si>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</si>
  <si>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</si>
  <si>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</si>
  <si>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</si>
  <si>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</si>
  <si>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</si>
  <si>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</si>
  <si>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</si>
  <si>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</si>
  <si>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</si>
  <si>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</si>
  <si>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</si>
  <si>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</si>
  <si>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</si>
  <si>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</si>
  <si>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</si>
  <si>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</si>
  <si>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</si>
  <si>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</si>
  <si>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</si>
  <si>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</si>
  <si>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</si>
  <si>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</si>
  <si>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</si>
  <si>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</si>
  <si>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</si>
  <si>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</si>
  <si>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</si>
  <si>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</si>
  <si>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</si>
  <si>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</si>
  <si>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</si>
  <si>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</si>
  <si>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</si>
  <si>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</si>
  <si>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</si>
  <si>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</si>
  <si>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</si>
  <si>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</si>
  <si>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</si>
  <si>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</si>
  <si>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</si>
  <si>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</si>
  <si>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</si>
  <si>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</si>
  <si>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</si>
  <si>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</si>
  <si>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</si>
  <si>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</si>
  <si>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</si>
  <si>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</si>
  <si>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</si>
  <si>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</si>
  <si>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</si>
  <si>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</si>
  <si>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</si>
  <si>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</si>
  <si>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</si>
  <si>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</si>
  <si>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</si>
  <si>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</si>
  <si>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</si>
  <si>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</si>
  <si>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</si>
  <si>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</si>
  <si>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</si>
  <si>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</si>
  <si>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</si>
  <si>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</si>
  <si>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</si>
  <si>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</si>
  <si>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</si>
  <si>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</si>
  <si>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</si>
  <si>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</si>
  <si>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</si>
  <si>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</si>
  <si>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</si>
  <si>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</si>
  <si>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</si>
  <si>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</si>
  <si>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</si>
  <si>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</si>
  <si>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</si>
  <si>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</si>
  <si>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</si>
  <si>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</si>
  <si>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</si>
  <si>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</si>
  <si>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</si>
  <si>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</si>
  <si>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</si>
  <si>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</si>
  <si>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</si>
  <si>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</si>
  <si>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</si>
  <si>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</si>
  <si>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</si>
  <si>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</si>
  <si>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</si>
  <si>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</si>
  <si>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</si>
  <si>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</si>
  <si>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</si>
  <si>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</si>
  <si>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</si>
  <si>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</si>
  <si>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</si>
  <si>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</si>
  <si>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</si>
  <si>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</si>
  <si>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</si>
  <si>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</si>
  <si>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</si>
  <si>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</si>
  <si>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</si>
  <si>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</si>
  <si>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</si>
  <si>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</si>
  <si>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</si>
  <si>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</si>
  <si>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</si>
  <si>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</si>
  <si>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</si>
  <si>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</si>
  <si>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</si>
  <si>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</si>
  <si>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</si>
  <si>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</si>
  <si>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</si>
  <si>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</si>
  <si>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</si>
  <si>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</si>
  <si>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</si>
  <si>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</si>
  <si>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</si>
  <si>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</si>
  <si>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</si>
  <si>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</si>
  <si>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</si>
  <si>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</si>
  <si>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</si>
  <si>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</si>
  <si>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</si>
  <si>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</si>
  <si>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</si>
  <si>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</si>
  <si>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</si>
  <si>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</si>
  <si>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</si>
  <si>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</si>
  <si>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</si>
  <si>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</si>
  <si>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</si>
  <si>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</si>
  <si>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</si>
  <si>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</si>
  <si>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</si>
  <si>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</si>
  <si>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</si>
  <si>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</si>
  <si>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</si>
  <si>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</si>
  <si>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</si>
  <si>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</si>
  <si>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</si>
  <si>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</si>
  <si>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</si>
  <si>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</si>
  <si>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</si>
  <si>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</si>
  <si>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</si>
  <si>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</si>
  <si>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</si>
  <si>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</si>
  <si>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</si>
  <si>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</si>
  <si>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</si>
  <si>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</si>
  <si>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</si>
  <si>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</si>
  <si>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</si>
  <si>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</si>
  <si>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</si>
  <si>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</si>
  <si>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</si>
  <si>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</si>
  <si>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</si>
  <si>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</si>
  <si>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</si>
  <si>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</si>
  <si>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</si>
  <si>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</si>
  <si>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</si>
  <si>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</si>
  <si>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</si>
  <si>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</si>
  <si>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</si>
  <si>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</si>
  <si>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</si>
  <si>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</si>
  <si>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</si>
  <si>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</si>
  <si>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</si>
  <si>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</si>
  <si>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</si>
  <si>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</si>
  <si>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</si>
  <si>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</si>
  <si>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</si>
  <si>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</si>
  <si>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</si>
  <si>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</si>
  <si>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</si>
  <si>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</si>
  <si>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</si>
  <si>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</si>
  <si>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</si>
  <si>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</si>
  <si>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</si>
  <si>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</si>
  <si>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</si>
  <si>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</si>
  <si>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</si>
  <si>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</si>
  <si>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</si>
  <si>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</si>
  <si>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</si>
  <si>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</si>
  <si>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</si>
  <si>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</si>
  <si>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</si>
  <si>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</si>
  <si>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</si>
  <si>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</si>
  <si>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</si>
  <si>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</si>
  <si>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</si>
  <si>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</si>
  <si>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</si>
  <si>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</si>
  <si>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</si>
  <si>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</si>
  <si>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</si>
  <si>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</si>
  <si>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</si>
  <si>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</si>
  <si>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</si>
  <si>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</si>
  <si>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</si>
  <si>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</si>
  <si>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</si>
  <si>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</si>
  <si>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</si>
  <si>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</si>
  <si>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</si>
  <si>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</si>
  <si>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</si>
  <si>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</si>
  <si>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</si>
  <si>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</si>
  <si>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</si>
  <si>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</si>
  <si>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</si>
  <si>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</si>
  <si>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</si>
  <si>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</si>
  <si>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</si>
  <si>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</si>
  <si>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</si>
  <si>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</si>
  <si>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</si>
  <si>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</si>
  <si>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</si>
  <si>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</si>
  <si>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</si>
  <si>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</si>
  <si>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</si>
  <si>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</si>
  <si>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</si>
  <si>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</si>
  <si>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</si>
  <si>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</si>
  <si>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</si>
  <si>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</si>
  <si>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</si>
  <si>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</si>
  <si>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</si>
  <si>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</si>
  <si>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</si>
  <si>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</si>
  <si>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</si>
  <si>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</si>
  <si>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</si>
  <si>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</si>
  <si>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</si>
  <si>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</si>
  <si>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</si>
  <si>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</si>
  <si>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</si>
  <si>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</si>
  <si>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</si>
  <si>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</si>
  <si>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</si>
  <si>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</si>
  <si>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</si>
  <si>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</si>
  <si>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</si>
  <si>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</si>
  <si>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</si>
  <si>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</si>
  <si>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</si>
  <si>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</si>
  <si>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</si>
  <si>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</si>
  <si>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</si>
  <si>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</si>
  <si>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</si>
  <si>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</si>
  <si>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</si>
  <si>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</si>
  <si>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</si>
  <si>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</si>
  <si>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</si>
  <si>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</si>
  <si>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</si>
  <si>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</si>
  <si>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</si>
  <si>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</si>
  <si>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</si>
  <si>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</si>
  <si>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</si>
  <si>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</si>
  <si>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</si>
  <si>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</si>
  <si>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</si>
  <si>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</si>
  <si>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</si>
  <si>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</si>
  <si>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</si>
  <si>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</si>
  <si>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</si>
  <si>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</si>
  <si>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</si>
  <si>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</si>
  <si>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</si>
  <si>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</si>
  <si>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</si>
  <si>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</si>
  <si>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</si>
  <si>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</si>
  <si>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</si>
  <si>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</si>
  <si>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</si>
  <si>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</si>
  <si>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</si>
  <si>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</si>
  <si>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</si>
  <si>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</si>
  <si>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</si>
  <si>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</si>
  <si>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</si>
  <si>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</si>
  <si>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</si>
  <si>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</si>
  <si>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</si>
  <si>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</si>
  <si>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</si>
  <si>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</si>
  <si>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</si>
  <si>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</si>
  <si>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</si>
  <si>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</si>
  <si>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</si>
  <si>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</si>
  <si>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</si>
  <si>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</si>
  <si>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</si>
  <si>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</si>
  <si>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</si>
  <si>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</si>
  <si>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</si>
  <si>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</si>
  <si>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</si>
  <si>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</si>
  <si>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</si>
  <si>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</si>
  <si>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</si>
  <si>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</si>
  <si>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</si>
  <si>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</si>
  <si>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</si>
  <si>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</si>
  <si>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</si>
  <si>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</si>
  <si>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</si>
  <si>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</si>
  <si>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</si>
  <si>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</si>
  <si>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</si>
  <si>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</si>
  <si>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</si>
  <si>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</si>
  <si>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</si>
  <si>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</si>
  <si>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</si>
  <si>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</si>
  <si>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</si>
  <si>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</si>
  <si>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</si>
  <si>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</si>
  <si>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</si>
  <si>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</si>
  <si>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</si>
  <si>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</si>
  <si>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</si>
  <si>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</si>
  <si>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</si>
  <si>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</si>
  <si>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</si>
  <si>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</si>
  <si>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</si>
  <si>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</si>
  <si>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</si>
  <si>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</si>
  <si>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</si>
  <si>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</si>
  <si>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</si>
  <si>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</si>
  <si>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</si>
  <si>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</si>
  <si>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</si>
  <si>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</si>
  <si>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</si>
  <si>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</si>
  <si>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</si>
  <si>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</si>
  <si>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</si>
  <si>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</si>
  <si>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</si>
  <si>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</si>
  <si>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</si>
  <si>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</si>
  <si>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</si>
  <si>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</si>
  <si>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</si>
  <si>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</si>
  <si>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</si>
  <si>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</si>
  <si>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</si>
  <si>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</si>
  <si>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</si>
  <si>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</si>
  <si>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</si>
  <si>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</si>
  <si>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</si>
  <si>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</si>
  <si>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</si>
  <si>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</si>
  <si>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</si>
  <si>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</si>
  <si>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</si>
  <si>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</si>
  <si>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</si>
  <si>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</si>
  <si>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</si>
  <si>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</si>
  <si>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</si>
  <si>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</si>
  <si>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</si>
  <si>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</si>
  <si>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</si>
  <si>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</si>
  <si>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</si>
  <si>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</si>
  <si>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</si>
  <si>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</si>
  <si>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</si>
  <si>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</si>
  <si>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</si>
  <si>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</si>
  <si>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</si>
  <si>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</si>
  <si>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</si>
  <si>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</si>
  <si>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</si>
  <si>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</si>
  <si>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</si>
  <si>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</si>
  <si>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</si>
  <si>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</si>
  <si>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</si>
  <si>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</si>
  <si>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</si>
  <si>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</si>
  <si>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</si>
  <si>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</si>
  <si>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</si>
  <si>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</si>
  <si>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</si>
  <si>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</si>
  <si>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</si>
  <si>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</si>
  <si>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</si>
  <si>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</si>
  <si>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</si>
  <si>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</si>
  <si>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</si>
  <si>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</si>
  <si>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</si>
  <si>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</si>
  <si>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</si>
  <si>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</si>
  <si>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</si>
  <si>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</si>
  <si>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</si>
  <si>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</si>
  <si>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</si>
  <si>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</si>
  <si>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</si>
  <si>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</si>
  <si>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</si>
  <si>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</si>
  <si>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</si>
  <si>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</si>
  <si>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</si>
  <si>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</si>
  <si>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</si>
  <si>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</si>
  <si>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</si>
  <si>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</si>
  <si>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</si>
  <si>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</si>
  <si>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</si>
  <si>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</si>
  <si>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</si>
  <si>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</si>
  <si>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</si>
  <si>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</si>
  <si>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</si>
  <si>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</si>
  <si>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</si>
  <si>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</si>
  <si>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</si>
  <si>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</si>
  <si>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</si>
  <si>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</si>
  <si>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</si>
  <si>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</si>
  <si>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</si>
  <si>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</si>
  <si>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</si>
  <si>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</si>
  <si>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</si>
  <si>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</si>
  <si>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</si>
  <si>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</si>
  <si>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</si>
  <si>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</si>
  <si>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</si>
  <si>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</si>
  <si>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</si>
  <si>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</si>
  <si>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</si>
  <si>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</si>
  <si>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</si>
  <si>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</si>
  <si>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</si>
  <si>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</si>
  <si>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</si>
  <si>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</si>
  <si>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</si>
  <si>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</si>
  <si>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</si>
  <si>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</si>
  <si>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</si>
  <si>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</si>
  <si>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</si>
  <si>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</si>
  <si>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</si>
  <si>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</si>
  <si>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</si>
  <si>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</si>
  <si>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</si>
  <si>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</si>
  <si>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</si>
  <si>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</si>
  <si>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</si>
  <si>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</si>
  <si>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</si>
  <si>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</si>
  <si>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</si>
  <si>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</si>
  <si>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</si>
  <si>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</si>
  <si>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</si>
  <si>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</si>
  <si>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</si>
  <si>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</si>
  <si>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</si>
  <si>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</si>
  <si>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</si>
  <si>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</si>
  <si>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</si>
  <si>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</si>
  <si>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</si>
  <si>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</si>
  <si>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</si>
  <si>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</si>
  <si>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</si>
  <si>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</si>
  <si>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</si>
  <si>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</si>
  <si>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</si>
  <si>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</si>
  <si>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</si>
  <si>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</si>
  <si>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</si>
  <si>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</si>
  <si>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</si>
  <si>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</si>
  <si>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</si>
  <si>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</si>
  <si>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</si>
  <si>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</si>
  <si>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</si>
  <si>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</si>
  <si>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</si>
  <si>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</si>
  <si>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</si>
  <si>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</si>
  <si>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</si>
  <si>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</si>
  <si>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</si>
  <si>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</si>
  <si>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</si>
  <si>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</si>
  <si>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</si>
  <si>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</si>
  <si>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</si>
  <si>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</si>
  <si>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</si>
  <si>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</si>
  <si>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</si>
  <si>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</si>
  <si>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</si>
  <si>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</si>
  <si>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</si>
  <si>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</si>
  <si>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</si>
  <si>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</si>
  <si>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</si>
  <si>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</si>
  <si>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</si>
  <si>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</si>
  <si>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</si>
  <si>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</si>
  <si>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</si>
  <si>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</si>
  <si>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</si>
  <si>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</si>
  <si>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</si>
  <si>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</si>
  <si>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</si>
  <si>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</si>
  <si>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</si>
  <si>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</si>
  <si>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</si>
  <si>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</si>
  <si>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</si>
  <si>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</si>
  <si>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</si>
  <si>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</si>
  <si>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</si>
  <si>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</si>
  <si>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</si>
  <si>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</si>
  <si>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</si>
  <si>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</si>
  <si>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</si>
  <si>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</si>
  <si>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</si>
  <si>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</si>
  <si>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</si>
  <si>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</si>
  <si>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</si>
  <si>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</si>
  <si>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</si>
  <si>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</si>
  <si>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</si>
  <si>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</si>
  <si>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</si>
  <si>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</si>
  <si>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</si>
  <si>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</si>
  <si>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</si>
  <si>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</si>
  <si>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</si>
  <si>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</si>
  <si>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</si>
  <si>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</si>
  <si>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</si>
  <si>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</si>
  <si>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</si>
  <si>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</si>
  <si>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</si>
  <si>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</si>
  <si>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</si>
  <si>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</si>
  <si>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</si>
  <si>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</si>
  <si>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</si>
  <si>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</si>
  <si>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</si>
  <si>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</si>
  <si>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</si>
  <si>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</si>
  <si>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</si>
  <si>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</si>
  <si>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</si>
  <si>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</si>
  <si>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</si>
  <si>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</si>
  <si>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</si>
  <si>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</si>
  <si>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</si>
  <si>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</si>
  <si>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</si>
  <si>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</si>
  <si>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</si>
  <si>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</si>
  <si>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</si>
  <si>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</si>
  <si>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</si>
  <si>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</si>
  <si>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</si>
  <si>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</si>
  <si>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</si>
  <si>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</si>
  <si>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</si>
  <si>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</si>
  <si>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</si>
  <si>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</si>
  <si>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</si>
  <si>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</si>
  <si>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</si>
  <si>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</si>
  <si>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</si>
  <si>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</si>
  <si>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</si>
  <si>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</si>
  <si>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</si>
  <si>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</si>
  <si>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</si>
  <si>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</si>
  <si>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</si>
  <si>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</si>
  <si>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</si>
  <si>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</si>
  <si>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</si>
  <si>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</si>
  <si>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</si>
  <si>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</si>
  <si>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</si>
  <si>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</si>
  <si>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</si>
  <si>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</si>
  <si>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</si>
  <si>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</si>
  <si>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</si>
  <si>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</si>
  <si>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</si>
  <si>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</si>
  <si>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</si>
  <si>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</si>
  <si>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</si>
  <si>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</si>
  <si>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</si>
  <si>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</si>
  <si>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</si>
  <si>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</si>
  <si>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</si>
  <si>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</si>
  <si>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</si>
  <si>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</si>
  <si>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</si>
  <si>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</si>
  <si>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</si>
  <si>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</si>
  <si>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</si>
  <si>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</si>
  <si>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</si>
  <si>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</si>
  <si>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</si>
  <si>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</si>
  <si>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</si>
  <si>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</si>
  <si>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</si>
  <si>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</si>
  <si>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</si>
  <si>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</si>
  <si>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</si>
  <si>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</si>
  <si>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</si>
  <si>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</si>
  <si>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</si>
  <si>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</si>
  <si>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</si>
  <si>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</si>
  <si>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</si>
  <si>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</si>
  <si>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</si>
  <si>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</si>
  <si>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</si>
  <si>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</si>
  <si>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</si>
  <si>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</si>
  <si>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</si>
  <si>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</si>
  <si>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</si>
  <si>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</si>
  <si>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</si>
  <si>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</si>
  <si>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</si>
  <si>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</si>
  <si>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</si>
  <si>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</si>
  <si>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</si>
  <si>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</si>
  <si>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</si>
  <si>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</si>
  <si>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</si>
  <si>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</si>
  <si>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</si>
  <si>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</si>
  <si>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</si>
  <si>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</si>
  <si>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</si>
  <si>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</si>
  <si>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</si>
  <si>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</si>
  <si>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</si>
  <si>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</si>
  <si>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</si>
  <si>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</si>
  <si>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</si>
  <si>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</si>
  <si>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</si>
  <si>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</si>
  <si>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</si>
  <si>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</si>
  <si>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</si>
  <si>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</si>
  <si>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</si>
  <si>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</si>
  <si>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</si>
  <si>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</si>
  <si>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</si>
  <si>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</si>
  <si>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</si>
  <si>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</si>
  <si>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</si>
  <si>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</si>
  <si>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</si>
  <si>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</si>
  <si>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</si>
  <si>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</si>
  <si>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</si>
  <si>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</si>
  <si>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</si>
  <si>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</si>
  <si>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</si>
  <si>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</si>
  <si>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</si>
  <si>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</si>
  <si>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</si>
  <si>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</si>
  <si>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</si>
  <si>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</si>
  <si>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</si>
  <si>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</si>
  <si>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</si>
  <si>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</si>
  <si>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</si>
  <si>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</si>
  <si>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</si>
  <si>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</si>
  <si>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</si>
  <si>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</si>
  <si>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</si>
  <si>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</si>
  <si>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</si>
  <si>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</si>
  <si>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</si>
  <si>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</si>
  <si>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</si>
  <si>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</si>
  <si>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</si>
  <si>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</si>
  <si>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</si>
  <si>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</si>
  <si>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</si>
  <si>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</si>
  <si>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</si>
  <si>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</si>
  <si>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</si>
  <si>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</si>
  <si>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</si>
  <si>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</si>
  <si>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</si>
  <si>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</si>
  <si>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</si>
  <si>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</si>
  <si>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</si>
  <si>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</si>
  <si>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</si>
  <si>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</si>
  <si>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</si>
  <si>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</si>
  <si>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</si>
  <si>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</si>
  <si>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</si>
  <si>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</si>
  <si>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</si>
  <si>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</si>
  <si>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</si>
  <si>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</si>
  <si>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</si>
  <si>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</si>
  <si>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</si>
  <si>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</si>
  <si>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</si>
  <si>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</si>
  <si>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</si>
  <si>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</si>
  <si>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</si>
  <si>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</si>
  <si>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</si>
  <si>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</si>
  <si>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</si>
  <si>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</si>
  <si>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</si>
  <si>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</si>
  <si>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</si>
  <si>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</si>
  <si>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</si>
  <si>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</si>
  <si>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</si>
  <si>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</si>
  <si>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</si>
  <si>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</si>
  <si>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</si>
  <si>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</si>
  <si>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</si>
  <si>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</si>
  <si>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</si>
  <si>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</si>
  <si>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</si>
  <si>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</si>
  <si>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</si>
  <si>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</si>
  <si>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</si>
  <si>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</si>
  <si>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</si>
  <si>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</si>
  <si>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</si>
  <si>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</si>
  <si>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</si>
  <si>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</si>
  <si>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</si>
  <si>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</si>
  <si>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</si>
  <si>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</si>
  <si>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</si>
  <si>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</si>
  <si>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</si>
  <si>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</si>
  <si>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</si>
  <si>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</si>
  <si>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</si>
  <si>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</si>
  <si>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</si>
  <si>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</si>
  <si>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</si>
  <si>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</si>
  <si>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</si>
  <si>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</si>
  <si>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</si>
  <si>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</si>
  <si>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</si>
  <si>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</si>
  <si>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</si>
  <si>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</si>
  <si>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</si>
  <si>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</si>
  <si>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</si>
  <si>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</si>
  <si>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</si>
  <si>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</si>
  <si>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</si>
  <si>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</si>
  <si>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</si>
  <si>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</si>
  <si>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</si>
  <si>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</si>
  <si>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</si>
  <si>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</si>
  <si>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</si>
  <si>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</si>
  <si>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</si>
  <si>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</si>
  <si>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</si>
  <si>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</si>
  <si>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</si>
  <si>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</si>
  <si>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</si>
  <si>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</si>
  <si>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</si>
  <si>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</si>
  <si>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</si>
  <si>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</si>
  <si>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</si>
  <si>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</si>
  <si>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</si>
  <si>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</si>
  <si>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</si>
  <si>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</si>
  <si>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</si>
  <si>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</si>
  <si>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</si>
  <si>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</si>
  <si>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</si>
  <si>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</si>
  <si>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</si>
  <si>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</si>
  <si>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</si>
  <si>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</si>
  <si>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</si>
  <si>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</si>
  <si>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</si>
  <si>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</si>
  <si>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</si>
  <si>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</si>
  <si>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</si>
  <si>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</si>
  <si>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</si>
  <si>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</si>
  <si>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</si>
  <si>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</si>
  <si>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</si>
  <si>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</si>
  <si>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</si>
  <si>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</si>
  <si>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</si>
  <si>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</si>
  <si>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</si>
  <si>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</si>
  <si>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</si>
  <si>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</si>
  <si>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</si>
  <si>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</si>
  <si>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</si>
  <si>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</si>
  <si>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</si>
  <si>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</si>
  <si>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</si>
  <si>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</si>
  <si>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</si>
  <si>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</si>
  <si>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</si>
  <si>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</si>
  <si>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</si>
  <si>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</si>
  <si>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</si>
  <si>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</si>
  <si>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</si>
  <si>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</si>
  <si>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</si>
  <si>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</si>
  <si>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</si>
  <si>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</si>
  <si>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</si>
  <si>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</si>
  <si>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</si>
  <si>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</si>
  <si>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</si>
  <si>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</si>
  <si>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</si>
  <si>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</si>
  <si>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</si>
  <si>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</si>
  <si>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</si>
  <si>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</si>
  <si>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</si>
  <si>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</si>
  <si>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</si>
  <si>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</si>
  <si>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</si>
  <si>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</si>
  <si>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</si>
  <si>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</si>
  <si>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</si>
  <si>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</si>
  <si>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</si>
  <si>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</si>
  <si>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</si>
  <si>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</si>
  <si>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</si>
  <si>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</si>
  <si>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</si>
  <si>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</si>
  <si>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</si>
  <si>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</si>
  <si>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</si>
  <si>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</si>
  <si>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</si>
  <si>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</si>
  <si>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</si>
  <si>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</si>
  <si>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</si>
  <si>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</si>
  <si>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</si>
  <si>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</si>
  <si>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</si>
  <si>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</si>
  <si>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</si>
  <si>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</si>
  <si>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</si>
  <si>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</si>
  <si>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</si>
  <si>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</si>
  <si>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</si>
  <si>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</si>
  <si>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</si>
  <si>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</si>
  <si>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</si>
  <si>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</si>
  <si>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</si>
  <si>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</si>
  <si>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</si>
  <si>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</si>
  <si>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</si>
  <si>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</si>
  <si>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</si>
  <si>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</si>
  <si>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</si>
  <si>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</si>
  <si>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</si>
  <si>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</si>
  <si>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</si>
  <si>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</si>
  <si>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</si>
  <si>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</si>
  <si>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</si>
  <si>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</si>
  <si>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</si>
  <si>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</si>
  <si>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</si>
  <si>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</si>
  <si>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</si>
  <si>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</si>
  <si>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</si>
  <si>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</si>
  <si>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</si>
  <si>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</si>
  <si>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</si>
  <si>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</si>
  <si>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</si>
  <si>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</si>
  <si>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</si>
  <si>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</si>
  <si>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</si>
  <si>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</si>
  <si>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</si>
  <si>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</si>
  <si>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</si>
  <si>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</si>
  <si>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</si>
  <si>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</si>
  <si>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</si>
  <si>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</si>
  <si>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</si>
  <si>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</si>
  <si>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</si>
  <si>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</si>
  <si>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</si>
  <si>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</si>
  <si>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</si>
  <si>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</si>
  <si>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</si>
  <si>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</si>
  <si>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</si>
  <si>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</si>
  <si>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</si>
  <si>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</si>
  <si>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</si>
  <si>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</si>
  <si>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</si>
  <si>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</si>
  <si>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</si>
  <si>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</si>
  <si>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</si>
  <si>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</si>
  <si>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</si>
  <si>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</si>
  <si>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</si>
  <si>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</si>
  <si>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</si>
  <si>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</si>
  <si>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</si>
  <si>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</si>
  <si>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</si>
  <si>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</si>
  <si>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</si>
  <si>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</si>
  <si>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</si>
  <si>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</si>
  <si>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</si>
  <si>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</si>
  <si>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</si>
  <si>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</si>
  <si>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</si>
  <si>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</si>
  <si>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</si>
  <si>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</si>
  <si>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</si>
  <si>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</si>
  <si>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</si>
  <si>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</si>
  <si>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</si>
  <si>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</si>
  <si>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</si>
  <si>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</si>
  <si>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</si>
  <si>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</si>
  <si>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</si>
  <si>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</si>
  <si>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</si>
  <si>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</si>
  <si>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</si>
  <si>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</si>
  <si>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</si>
  <si>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</si>
  <si>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</si>
  <si>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</si>
  <si>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</si>
  <si>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</si>
  <si>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</si>
  <si>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</si>
  <si>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</si>
  <si>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</si>
  <si>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</si>
  <si>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</si>
  <si>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</si>
  <si>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</si>
  <si>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</si>
  <si>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</si>
  <si>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</si>
  <si>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</si>
  <si>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</si>
  <si>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</si>
  <si>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</si>
  <si>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</si>
  <si>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</si>
  <si>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</si>
  <si>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</si>
  <si>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</si>
  <si>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</si>
  <si>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</si>
  <si>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</si>
  <si>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</si>
  <si>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</si>
  <si>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</si>
  <si>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</si>
  <si>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</si>
  <si>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</si>
  <si>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</si>
  <si>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</si>
  <si>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</si>
  <si>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</si>
  <si>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</si>
  <si>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</si>
  <si>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</si>
  <si>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</si>
  <si>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</si>
  <si>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</si>
  <si>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</si>
  <si>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</si>
  <si>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</si>
  <si>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</si>
  <si>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</si>
  <si>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</si>
  <si>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</si>
  <si>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</si>
  <si>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</si>
  <si>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</si>
  <si>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</si>
  <si>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</si>
  <si>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</si>
  <si>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</si>
  <si>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</si>
  <si>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</si>
  <si>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</si>
  <si>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</si>
  <si>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</si>
  <si>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</si>
  <si>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</si>
  <si>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</si>
  <si>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</si>
  <si>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</si>
  <si>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</si>
  <si>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</si>
  <si>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</si>
  <si>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</si>
  <si>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</si>
  <si>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</si>
  <si>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</si>
  <si>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</si>
  <si>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</si>
  <si>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</si>
  <si>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</si>
  <si>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</si>
  <si>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</si>
  <si>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</si>
  <si>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</si>
  <si>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</si>
  <si>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</si>
  <si>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</si>
  <si>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</si>
  <si>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</si>
  <si>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</si>
  <si>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</si>
  <si>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</si>
  <si>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</si>
  <si>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</si>
  <si>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</si>
  <si>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</si>
  <si>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</si>
  <si>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</si>
  <si>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</si>
  <si>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</si>
  <si>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</si>
  <si>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</si>
  <si>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</si>
  <si>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</si>
  <si>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</si>
  <si>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</si>
  <si>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</si>
  <si>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</si>
  <si>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</si>
  <si>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</si>
  <si>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</si>
  <si>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</si>
  <si>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</si>
  <si>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</si>
  <si>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</si>
  <si>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</si>
  <si>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</si>
  <si>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</si>
  <si>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</si>
  <si>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</si>
  <si>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</si>
  <si>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</si>
  <si>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</si>
  <si>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</si>
  <si>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</si>
  <si>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</si>
  <si>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</si>
  <si>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</si>
  <si>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</si>
  <si>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</si>
  <si>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</si>
  <si>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</si>
  <si>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</si>
  <si>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</si>
  <si>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</si>
  <si>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</si>
  <si>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</si>
  <si>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</si>
  <si>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</si>
  <si>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</si>
  <si>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</si>
  <si>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</si>
  <si>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</si>
  <si>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</si>
  <si>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</si>
  <si>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</si>
  <si>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</si>
  <si>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</si>
  <si>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</si>
  <si>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</si>
  <si>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</si>
  <si>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</si>
  <si>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</si>
  <si>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</si>
  <si>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</si>
  <si>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</si>
  <si>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</si>
  <si>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</si>
  <si>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</si>
  <si>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</si>
  <si>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</si>
  <si>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</si>
  <si>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</si>
  <si>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</si>
  <si>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</si>
  <si>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</si>
  <si>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</si>
  <si>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</si>
  <si>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</si>
  <si>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</si>
  <si>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</si>
  <si>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</si>
  <si>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</si>
  <si>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</si>
  <si>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</si>
  <si>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</si>
  <si>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</si>
  <si>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</si>
  <si>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</si>
  <si>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</si>
  <si>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</si>
  <si>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</si>
  <si>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</si>
  <si>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</si>
  <si>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</si>
  <si>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</si>
  <si>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</si>
  <si>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</si>
  <si>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</si>
  <si>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</si>
  <si>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</si>
  <si>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</si>
  <si>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</si>
  <si>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</si>
  <si>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</si>
  <si>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</si>
  <si>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</si>
  <si>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</si>
  <si>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</si>
  <si>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</si>
  <si>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</si>
  <si>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</si>
  <si>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</si>
  <si>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</si>
  <si>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</si>
  <si>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</si>
  <si>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</si>
  <si>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</si>
  <si>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</si>
  <si>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</si>
  <si>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</si>
  <si>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</si>
  <si>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</si>
  <si>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</si>
  <si>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</si>
  <si>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</si>
  <si>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</si>
  <si>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</si>
  <si>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</si>
  <si>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</si>
  <si>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</si>
  <si>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</si>
  <si>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</si>
  <si>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</si>
  <si>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</si>
  <si>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</si>
  <si>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</si>
  <si>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</si>
  <si>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</si>
  <si>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</si>
  <si>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</si>
  <si>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</si>
  <si>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</si>
  <si>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</si>
  <si>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</si>
  <si>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</si>
  <si>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</si>
  <si>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</si>
  <si>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</si>
  <si>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</si>
  <si>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</si>
  <si>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</si>
  <si>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</si>
  <si>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</si>
  <si>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</si>
  <si>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</si>
  <si>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</si>
  <si>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</si>
  <si>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</si>
  <si>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</si>
  <si>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</si>
  <si>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</si>
  <si>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</si>
  <si>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</si>
  <si>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</si>
  <si>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</si>
  <si>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</si>
  <si>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</si>
  <si>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</si>
  <si>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</si>
  <si>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</si>
  <si>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</si>
  <si>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</si>
  <si>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</si>
  <si>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</si>
  <si>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</si>
  <si>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</si>
  <si>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</si>
  <si>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</si>
  <si>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</si>
  <si>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</si>
  <si>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</si>
  <si>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</si>
  <si>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</si>
  <si>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</si>
  <si>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</si>
  <si>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</si>
  <si>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</si>
  <si>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</si>
  <si>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</si>
  <si>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</si>
  <si>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</si>
  <si>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</si>
  <si>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</si>
  <si>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</si>
  <si>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</si>
  <si>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</si>
  <si>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</si>
  <si>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</si>
  <si>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</si>
  <si>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</si>
  <si>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</si>
  <si>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</si>
  <si>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</si>
  <si>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</si>
  <si>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</si>
  <si>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</si>
  <si>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</si>
  <si>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</si>
  <si>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</si>
  <si>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</si>
  <si>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</si>
  <si>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</si>
  <si>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</si>
  <si>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</si>
  <si>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</si>
  <si>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</si>
  <si>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</si>
  <si>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</si>
  <si>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</si>
  <si>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</si>
  <si>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</si>
  <si>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</si>
  <si>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</si>
  <si>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</si>
  <si>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</si>
  <si>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</si>
  <si>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</si>
  <si>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</si>
  <si>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</si>
  <si>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</si>
  <si>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</si>
  <si>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</si>
  <si>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</si>
  <si>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</si>
  <si>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</si>
  <si>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</si>
  <si>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</si>
  <si>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</si>
  <si>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</si>
  <si>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</si>
  <si>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</si>
  <si>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</si>
  <si>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</si>
  <si>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</si>
  <si>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</si>
  <si>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</si>
  <si>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</si>
  <si>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</si>
  <si>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</si>
  <si>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</si>
  <si>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</si>
  <si>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</si>
  <si>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</si>
  <si>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</si>
  <si>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</si>
  <si>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</si>
  <si>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</si>
  <si>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</si>
  <si>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</si>
  <si>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</si>
  <si>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</si>
  <si>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</si>
  <si>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</si>
  <si>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</si>
  <si>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</si>
  <si>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</si>
  <si>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</si>
  <si>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</si>
  <si>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</si>
  <si>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</si>
  <si>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</si>
  <si>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</si>
  <si>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</si>
  <si>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</si>
  <si>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</si>
  <si>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</si>
  <si>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</si>
  <si>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</si>
  <si>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</si>
  <si>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</si>
  <si>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</si>
  <si>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</si>
  <si>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</si>
  <si>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</si>
  <si>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</si>
  <si>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</si>
  <si>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</si>
  <si>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</si>
  <si>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</si>
  <si>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</si>
  <si>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</si>
  <si>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</si>
  <si>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</si>
  <si>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</si>
  <si>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</si>
  <si>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</si>
  <si>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</si>
  <si>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</si>
  <si>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</si>
  <si>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</si>
  <si>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</si>
  <si>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</si>
  <si>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</si>
  <si>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</si>
  <si>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</si>
  <si>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</si>
  <si>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</si>
  <si>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</si>
  <si>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</si>
  <si>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</si>
  <si>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</si>
  <si>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</si>
  <si>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</si>
  <si>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</si>
  <si>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</si>
  <si>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</si>
  <si>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</si>
  <si>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</si>
  <si>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</si>
  <si>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</si>
  <si>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</si>
  <si>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</si>
  <si>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</si>
  <si>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</si>
  <si>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</si>
  <si>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</si>
  <si>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</si>
  <si>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</si>
  <si>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</si>
  <si>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</si>
  <si>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</si>
  <si>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</si>
  <si>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</si>
  <si>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</si>
  <si>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</si>
  <si>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</si>
  <si>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</si>
  <si>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</si>
  <si>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</si>
  <si>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</si>
  <si>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</si>
  <si>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</si>
  <si>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</si>
  <si>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</si>
  <si>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</si>
  <si>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</si>
  <si>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</si>
  <si>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</si>
  <si>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</si>
  <si>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</si>
  <si>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</si>
  <si>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</si>
  <si>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</si>
  <si>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</si>
  <si>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</si>
  <si>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</si>
  <si>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</si>
  <si>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</si>
  <si>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</si>
  <si>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</si>
  <si>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</si>
  <si>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</si>
  <si>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</si>
  <si>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</si>
  <si>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</si>
  <si>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</si>
  <si>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</si>
  <si>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</si>
  <si>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</si>
  <si>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</si>
  <si>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</si>
  <si>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</si>
  <si>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</si>
  <si>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</si>
  <si>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</si>
  <si>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</si>
  <si>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</si>
  <si>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</si>
  <si>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</si>
  <si>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</si>
  <si>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</si>
  <si>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</si>
  <si>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</si>
  <si>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</si>
  <si>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</si>
  <si>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</si>
  <si>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</si>
  <si>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</si>
  <si>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</si>
  <si>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</si>
  <si>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</si>
  <si>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</si>
  <si>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</si>
  <si>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</si>
  <si>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</si>
  <si>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</si>
  <si>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</si>
  <si>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</si>
  <si>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</si>
  <si>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</si>
  <si>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</si>
  <si>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</si>
  <si>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</si>
  <si>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</si>
  <si>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</si>
  <si>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</si>
  <si>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</si>
  <si>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</si>
  <si>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</si>
  <si>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</si>
  <si>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</si>
  <si>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</si>
  <si>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</si>
  <si>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</si>
  <si>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</si>
  <si>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</si>
  <si>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</si>
  <si>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</si>
  <si>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</si>
  <si>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</si>
  <si>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</si>
  <si>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</si>
  <si>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</si>
  <si>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</si>
  <si>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</si>
  <si>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</si>
  <si>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</si>
  <si>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</si>
  <si>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</si>
  <si>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</si>
  <si>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</si>
  <si>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</si>
  <si>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</si>
  <si>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</si>
  <si>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</si>
  <si>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</si>
  <si>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</si>
  <si>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</si>
  <si>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</si>
  <si>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</si>
  <si>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</si>
  <si>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</si>
  <si>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</si>
  <si>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</si>
  <si>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</si>
  <si>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</si>
  <si>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</si>
  <si>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</si>
  <si>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</si>
  <si>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</si>
  <si>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</si>
  <si>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</si>
  <si>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</si>
  <si>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</si>
  <si>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</si>
  <si>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</si>
  <si>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</si>
  <si>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</si>
  <si>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</si>
  <si>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</si>
  <si>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</si>
  <si>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</si>
  <si>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</si>
  <si>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</si>
  <si>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</si>
  <si>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</si>
  <si>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</si>
  <si>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</si>
  <si>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</si>
  <si>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</si>
  <si>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</si>
  <si>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</si>
  <si>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</si>
  <si>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</si>
  <si>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</si>
  <si>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</si>
  <si>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</si>
  <si>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</si>
  <si>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</si>
  <si>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</si>
  <si>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</si>
  <si>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</si>
  <si>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</si>
  <si>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</si>
  <si>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</si>
  <si>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</si>
  <si>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</si>
  <si>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</si>
  <si>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</si>
  <si>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</si>
  <si>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</si>
  <si>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</si>
  <si>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</si>
  <si>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</si>
  <si>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</si>
  <si>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</si>
  <si>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</si>
  <si>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</si>
  <si>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</si>
  <si>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</si>
  <si>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</si>
  <si>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</si>
  <si>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</si>
  <si>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</si>
  <si>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</si>
  <si>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</si>
  <si>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</si>
  <si>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</si>
  <si>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</si>
  <si>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</si>
  <si>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</si>
  <si>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</si>
  <si>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</si>
  <si>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</si>
  <si>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</si>
  <si>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</si>
  <si>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</si>
  <si>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</si>
  <si>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</si>
  <si>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</si>
  <si>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</si>
  <si>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</si>
  <si>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</si>
  <si>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</si>
  <si>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</si>
  <si>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</si>
  <si>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</si>
  <si>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</si>
  <si>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</si>
  <si>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</si>
  <si>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</si>
  <si>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</si>
  <si>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</si>
  <si>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</si>
  <si>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</si>
  <si>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</si>
  <si>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</si>
  <si>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</si>
  <si>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</si>
  <si>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</si>
  <si>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</si>
  <si>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</si>
  <si>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</si>
  <si>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</si>
  <si>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</si>
  <si>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</si>
  <si>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</si>
  <si>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</si>
  <si>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</si>
  <si>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</si>
  <si>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</si>
  <si>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</si>
  <si>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</si>
  <si>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</si>
  <si>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</si>
  <si>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</si>
  <si>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</si>
  <si>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</si>
  <si>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</si>
  <si>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</si>
  <si>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</si>
  <si>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</si>
  <si>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</si>
  <si>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</si>
  <si>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</si>
  <si>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</si>
  <si>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</si>
  <si>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</si>
  <si>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</si>
  <si>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</si>
  <si>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</si>
  <si>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</si>
  <si>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</si>
  <si>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</si>
  <si>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</si>
  <si>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</si>
  <si>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</si>
  <si>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</si>
  <si>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</si>
  <si>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</si>
  <si>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</si>
  <si>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</si>
  <si>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</si>
  <si>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</si>
  <si>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</si>
  <si>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</si>
  <si>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</si>
  <si>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</si>
  <si>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</si>
  <si>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</si>
  <si>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</si>
  <si>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</si>
  <si>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</si>
  <si>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</si>
  <si>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</si>
  <si>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</si>
  <si>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</si>
  <si>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</si>
  <si>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</si>
  <si>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</si>
  <si>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</si>
  <si>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</si>
  <si>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</si>
  <si>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</si>
  <si>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</si>
  <si>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</si>
  <si>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</si>
  <si>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</si>
  <si>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</si>
  <si>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</si>
  <si>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</si>
  <si>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</si>
  <si>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</si>
  <si>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</si>
  <si>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</si>
  <si>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</si>
  <si>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</si>
  <si>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</si>
  <si>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</si>
  <si>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</si>
  <si>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</si>
  <si>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</si>
  <si>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</si>
  <si>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</si>
  <si>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</si>
  <si>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</si>
  <si>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</si>
  <si>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</si>
  <si>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</si>
  <si>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</si>
  <si>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</si>
  <si>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</si>
  <si>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</si>
  <si>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</si>
  <si>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</si>
  <si>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</si>
  <si>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</si>
  <si>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</si>
  <si>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</si>
  <si>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</si>
  <si>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</si>
  <si>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</si>
  <si>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</si>
  <si>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</si>
  <si>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</si>
  <si>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</si>
  <si>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</si>
  <si>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</si>
  <si>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</si>
  <si>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</si>
  <si>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</si>
  <si>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</si>
  <si>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</si>
  <si>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</si>
  <si>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</si>
  <si>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</si>
  <si>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</si>
  <si>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</si>
  <si>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</si>
  <si>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</si>
  <si>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</si>
  <si>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</si>
  <si>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</si>
  <si>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</si>
  <si>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</si>
  <si>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</si>
  <si>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</si>
  <si>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</si>
  <si>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</si>
  <si>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</si>
  <si>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</si>
  <si>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</si>
  <si>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</si>
  <si>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</si>
  <si>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</si>
  <si>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</si>
  <si>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</si>
  <si>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</si>
  <si>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</si>
  <si>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</si>
  <si>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</si>
  <si>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</si>
  <si>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</si>
  <si>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</si>
  <si>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</si>
  <si>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</si>
  <si>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</si>
  <si>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</si>
  <si>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</si>
  <si>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</si>
  <si>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</si>
  <si>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</si>
  <si>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</si>
  <si>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</si>
  <si>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</si>
  <si>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</si>
  <si>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</si>
  <si>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</si>
  <si>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</si>
  <si>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</si>
  <si>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</si>
  <si>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</si>
  <si>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</si>
  <si>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</si>
  <si>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</si>
  <si>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</si>
  <si>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</si>
  <si>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</si>
  <si>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</si>
  <si>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</si>
  <si>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</si>
  <si>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</si>
  <si>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</si>
  <si>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</si>
  <si>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</si>
  <si>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</si>
  <si>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</si>
  <si>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</si>
  <si>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</si>
  <si>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</si>
  <si>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</si>
  <si>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</si>
  <si>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</si>
  <si>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</si>
  <si>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</si>
  <si>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</si>
  <si>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</si>
  <si>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</si>
  <si>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</si>
  <si>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</si>
  <si>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</si>
  <si>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</si>
  <si>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</si>
  <si>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</si>
  <si>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</si>
  <si>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</si>
  <si>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</si>
  <si>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</si>
  <si>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</si>
  <si>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</si>
  <si>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</si>
  <si>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</si>
  <si>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</si>
  <si>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</si>
  <si>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</si>
  <si>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</si>
  <si>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</si>
  <si>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</si>
  <si>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</si>
  <si>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</si>
  <si>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</si>
  <si>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</si>
  <si>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</si>
  <si>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</si>
  <si>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</si>
  <si>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</si>
  <si>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</si>
  <si>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</si>
  <si>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</si>
  <si>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</si>
  <si>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</si>
  <si>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</si>
  <si>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</si>
  <si>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</si>
  <si>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</si>
  <si>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</si>
  <si>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</si>
  <si>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</si>
  <si>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</si>
  <si>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</si>
  <si>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</si>
  <si>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</si>
  <si>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</si>
  <si>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</si>
  <si>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</si>
  <si>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</si>
  <si>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</si>
  <si>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</si>
  <si>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</si>
  <si>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</si>
  <si>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</si>
  <si>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</si>
  <si>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</si>
  <si>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</si>
  <si>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</si>
  <si>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</si>
  <si>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</si>
  <si>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</si>
  <si>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</si>
  <si>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</si>
  <si>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</si>
  <si>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</si>
  <si>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</si>
  <si>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</si>
  <si>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</si>
  <si>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</si>
  <si>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</si>
  <si>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</si>
  <si>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</si>
  <si>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</si>
  <si>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</si>
  <si>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</si>
  <si>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</si>
  <si>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</si>
  <si>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</si>
  <si>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</si>
  <si>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</si>
  <si>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</si>
  <si>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</si>
  <si>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</si>
  <si>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</si>
  <si>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</si>
  <si>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</si>
  <si>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</si>
  <si>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</si>
  <si>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</si>
  <si>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</si>
  <si>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</si>
  <si>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</si>
  <si>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</si>
  <si>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</si>
  <si>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</si>
  <si>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</si>
  <si>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</si>
  <si>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</si>
  <si>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</si>
  <si>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</si>
  <si>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</si>
  <si>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</si>
  <si>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</si>
  <si>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</si>
  <si>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</si>
  <si>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</si>
  <si>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</si>
  <si>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</si>
  <si>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</si>
  <si>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</si>
  <si>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</si>
  <si>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</si>
  <si>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</si>
  <si>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</si>
  <si>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</si>
  <si>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</si>
  <si>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</si>
  <si>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</si>
  <si>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</si>
  <si>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</si>
  <si>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</si>
  <si>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</si>
  <si>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</si>
  <si>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</si>
  <si>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</si>
  <si>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</si>
  <si>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</si>
  <si>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</si>
  <si>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</si>
  <si>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</si>
  <si>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</si>
  <si>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</si>
  <si>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</si>
  <si>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</si>
  <si>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</si>
  <si>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</si>
  <si>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</si>
  <si>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</si>
  <si>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</si>
  <si>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</si>
  <si>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</si>
  <si>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</si>
  <si>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</si>
  <si>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</si>
  <si>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</si>
  <si>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</si>
  <si>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</si>
  <si>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</si>
  <si>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</si>
  <si>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</si>
  <si>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</si>
  <si>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</si>
  <si>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</si>
  <si>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</si>
  <si>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</si>
  <si>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</si>
  <si>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</si>
  <si>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</si>
  <si>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</si>
  <si>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</si>
  <si>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</si>
  <si>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</si>
  <si>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</si>
  <si>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</si>
  <si>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</si>
  <si>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</si>
  <si>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</si>
  <si>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</si>
  <si>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</si>
  <si>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</si>
  <si>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</si>
  <si>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</si>
  <si>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</si>
  <si>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</si>
  <si>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</si>
  <si>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</si>
  <si>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</si>
  <si>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</si>
  <si>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</si>
  <si>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</si>
  <si>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</si>
  <si>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</si>
  <si>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</si>
  <si>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</si>
  <si>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</si>
  <si>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</si>
  <si>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</si>
  <si>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</si>
  <si>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</si>
  <si>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</si>
  <si>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</si>
  <si>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</si>
  <si>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</si>
  <si>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</si>
  <si>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</si>
  <si>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</si>
  <si>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</si>
  <si>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</si>
  <si>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</si>
  <si>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</si>
  <si>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</si>
  <si>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</si>
  <si>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</si>
  <si>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</si>
  <si>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</si>
  <si>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</si>
  <si>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</si>
  <si>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</si>
  <si>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</si>
  <si>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</si>
  <si>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</si>
  <si>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</si>
  <si>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</si>
  <si>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</si>
  <si>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</si>
  <si>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</si>
  <si>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</si>
  <si>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</si>
  <si>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</si>
  <si>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</si>
  <si>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</si>
  <si>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</si>
  <si>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</si>
  <si>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</si>
  <si>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</si>
  <si>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</si>
  <si>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</si>
  <si>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</si>
  <si>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</si>
  <si>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</si>
  <si>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</si>
  <si>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</si>
  <si>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</si>
  <si>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</si>
  <si>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</si>
  <si>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</si>
  <si>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</si>
  <si>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</si>
  <si>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</si>
  <si>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</si>
  <si>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</si>
  <si>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</si>
  <si>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</si>
  <si>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</si>
  <si>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</si>
  <si>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</si>
  <si>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</si>
  <si>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</si>
  <si>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</si>
  <si>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</si>
  <si>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</si>
  <si>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</si>
  <si>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</si>
  <si>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</si>
  <si>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</si>
  <si>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</si>
  <si>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</si>
  <si>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</si>
  <si>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</si>
  <si>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</si>
  <si>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</si>
  <si>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</si>
  <si>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</si>
  <si>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</si>
  <si>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</si>
  <si>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</si>
  <si>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</si>
  <si>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</si>
  <si>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</si>
  <si>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</si>
  <si>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</si>
  <si>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</si>
  <si>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</si>
  <si>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</si>
  <si>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</si>
  <si>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</si>
  <si>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</si>
  <si>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</si>
  <si>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</si>
  <si>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</si>
  <si>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</si>
  <si>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</si>
  <si>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</si>
  <si>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</si>
  <si>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</si>
  <si>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</si>
  <si>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</si>
  <si>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</si>
  <si>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</si>
  <si>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</si>
  <si>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</si>
  <si>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</si>
  <si>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</si>
  <si>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</si>
  <si>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</si>
  <si>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</si>
  <si>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</si>
  <si>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</si>
  <si>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</si>
  <si>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</si>
  <si>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</si>
  <si>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</si>
  <si>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</si>
  <si>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</si>
  <si>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</si>
  <si>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</si>
  <si>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</si>
  <si>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</si>
  <si>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</si>
  <si>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</si>
  <si>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</si>
  <si>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</si>
  <si>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</si>
  <si>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</si>
  <si>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</si>
  <si>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</si>
  <si>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</si>
  <si>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</si>
  <si>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</si>
  <si>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</si>
  <si>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</si>
  <si>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</si>
  <si>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</si>
  <si>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</si>
  <si>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</si>
  <si>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</si>
  <si>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</si>
  <si>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</si>
  <si>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</si>
  <si>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</si>
  <si>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</si>
  <si>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</si>
  <si>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</si>
  <si>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</si>
  <si>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</si>
  <si>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</si>
  <si>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</si>
  <si>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</si>
  <si>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</si>
  <si>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</si>
  <si>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</si>
  <si>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</si>
  <si>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</si>
  <si>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</si>
  <si>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</si>
  <si>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</si>
  <si>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</si>
  <si>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</si>
  <si>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</si>
  <si>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</si>
  <si>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</si>
  <si>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</si>
  <si>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</si>
  <si>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</si>
  <si>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</si>
  <si>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</si>
  <si>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</si>
  <si>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</si>
  <si>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</si>
  <si>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</si>
  <si>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</si>
  <si>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</si>
  <si>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</si>
  <si>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</si>
  <si>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</si>
  <si>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</si>
  <si>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</si>
  <si>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</si>
  <si>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</si>
  <si>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</si>
  <si>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</si>
  <si>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</si>
  <si>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</si>
  <si>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</si>
  <si>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</si>
  <si>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</si>
  <si>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</si>
  <si>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</si>
  <si>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</si>
  <si>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</si>
  <si>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</si>
  <si>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</si>
  <si>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</si>
  <si>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</si>
  <si>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</si>
  <si>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</si>
  <si>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</si>
  <si>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</si>
  <si>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</si>
  <si>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</si>
  <si>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</si>
  <si>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</si>
  <si>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</si>
  <si>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</si>
  <si>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</si>
  <si>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</si>
  <si>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</si>
  <si>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</si>
  <si>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</si>
  <si>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</si>
  <si>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</si>
  <si>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</si>
  <si>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</si>
  <si>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</si>
  <si>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</si>
  <si>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</si>
  <si>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</si>
  <si>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</si>
  <si>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</si>
  <si>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</si>
  <si>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</si>
  <si>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</si>
  <si>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</si>
  <si>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</si>
  <si>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</si>
  <si>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</si>
  <si>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</si>
  <si>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</si>
  <si>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</si>
  <si>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</si>
  <si>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</si>
  <si>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</si>
  <si>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</si>
  <si>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</si>
  <si>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</si>
  <si>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</si>
  <si>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</si>
  <si>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</si>
  <si>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</si>
  <si>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</si>
  <si>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</si>
  <si>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</si>
  <si>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</si>
  <si>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</si>
  <si>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</si>
  <si>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</si>
  <si>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</si>
  <si>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</si>
  <si>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</si>
  <si>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</si>
  <si>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</si>
  <si>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</si>
  <si>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</si>
  <si>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</si>
  <si>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</si>
  <si>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</si>
  <si>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</si>
  <si>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</si>
  <si>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</si>
  <si>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</si>
  <si>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</si>
  <si>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</si>
  <si>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</si>
  <si>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</si>
  <si>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</si>
  <si>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</si>
  <si>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</si>
  <si>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</si>
  <si>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</si>
  <si>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</si>
  <si>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</si>
  <si>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</si>
  <si>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</si>
  <si>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</si>
  <si>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</si>
  <si>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</si>
  <si>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</si>
  <si>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</si>
  <si>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</si>
  <si>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</si>
  <si>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</si>
  <si>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</si>
  <si>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</si>
  <si>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</si>
  <si>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</si>
  <si>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</si>
  <si>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</si>
  <si>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</si>
  <si>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</si>
  <si>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</si>
  <si>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</si>
  <si>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</si>
  <si>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</si>
  <si>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</si>
  <si>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</si>
  <si>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</si>
  <si>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</si>
  <si>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</si>
  <si>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</si>
  <si>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</si>
  <si>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</si>
  <si>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</si>
  <si>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</si>
  <si>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</si>
  <si>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</si>
  <si>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</si>
  <si>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</si>
  <si>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</si>
  <si>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</si>
  <si>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</si>
  <si>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</si>
  <si>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</si>
  <si>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</si>
  <si>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</si>
  <si>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</si>
  <si>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</si>
  <si>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</si>
  <si>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</si>
  <si>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</si>
  <si>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</si>
  <si>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</si>
  <si>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</si>
  <si>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</si>
  <si>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</si>
  <si>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</si>
  <si>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</si>
  <si>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</si>
  <si>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</si>
  <si>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</si>
  <si>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</si>
  <si>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</si>
  <si>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</si>
  <si>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</si>
  <si>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</si>
  <si>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</si>
  <si>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</si>
  <si>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</si>
  <si>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</si>
  <si>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</si>
  <si>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</si>
  <si>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</si>
  <si>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</si>
  <si>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</si>
  <si>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</si>
  <si>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</si>
  <si>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</si>
  <si>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</si>
  <si>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</si>
  <si>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</si>
  <si>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</si>
  <si>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</si>
  <si>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</si>
  <si>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</si>
  <si>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</si>
  <si>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</si>
  <si>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</si>
  <si>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</si>
  <si>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</si>
  <si>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</si>
  <si>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</si>
  <si>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</si>
  <si>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</si>
  <si>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</si>
  <si>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</si>
  <si>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</si>
  <si>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</si>
  <si>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</si>
  <si>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</si>
  <si>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</si>
  <si>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</si>
  <si>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</si>
  <si>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</si>
  <si>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</si>
  <si>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</si>
  <si>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</si>
  <si>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</si>
  <si>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</si>
  <si>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</si>
  <si>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</si>
  <si>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</si>
  <si>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</si>
  <si>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</si>
  <si>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</si>
  <si>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</si>
  <si>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</si>
  <si>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</si>
  <si>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</si>
  <si>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</si>
  <si>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</si>
  <si>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</si>
  <si>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</si>
  <si>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</si>
  <si>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</si>
  <si>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</si>
  <si>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</si>
  <si>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</si>
  <si>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</si>
  <si>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</si>
  <si>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</si>
  <si>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</si>
  <si>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</si>
  <si>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</si>
  <si>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</si>
  <si>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</si>
  <si>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</si>
  <si>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</si>
  <si>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</si>
  <si>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</si>
  <si>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</si>
  <si>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</si>
  <si>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</si>
  <si>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</si>
  <si>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</si>
  <si>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</si>
  <si>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</si>
  <si>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</si>
  <si>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</si>
  <si>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</si>
  <si>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</si>
  <si>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</si>
  <si>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</si>
  <si>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</si>
  <si>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</si>
  <si>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</si>
  <si>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</si>
  <si>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</si>
  <si>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</si>
  <si>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</si>
  <si>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</si>
  <si>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</si>
  <si>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</si>
  <si>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</si>
  <si>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</si>
  <si>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</si>
  <si>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</si>
  <si>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</si>
  <si>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</si>
  <si>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</si>
  <si>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</si>
  <si>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</si>
  <si>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</si>
  <si>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</si>
  <si>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</si>
  <si>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</si>
  <si>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</si>
  <si>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</si>
  <si>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</si>
  <si>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</si>
  <si>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</si>
  <si>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</si>
  <si>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</si>
  <si>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</si>
  <si>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</si>
  <si>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</si>
  <si>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</si>
  <si>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</si>
  <si>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</si>
  <si>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</si>
  <si>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</si>
  <si>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</si>
  <si>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</si>
  <si>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</si>
  <si>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</si>
  <si>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</si>
  <si>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</si>
  <si>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</si>
  <si>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</si>
  <si>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</si>
  <si>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</si>
  <si>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</si>
  <si>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</si>
  <si>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</si>
  <si>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</si>
  <si>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</si>
  <si>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</si>
  <si>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</si>
  <si>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</si>
  <si>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</si>
  <si>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</si>
  <si>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</si>
  <si>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</si>
  <si>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</si>
  <si>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</si>
  <si>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</si>
  <si>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</si>
  <si>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</si>
  <si>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</si>
  <si>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</si>
  <si>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</si>
  <si>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</si>
  <si>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</si>
  <si>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</si>
  <si>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</si>
  <si>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</si>
  <si>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</si>
  <si>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</si>
  <si>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</si>
  <si>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</si>
  <si>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</si>
  <si>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</si>
  <si>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</si>
  <si>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</si>
  <si>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</si>
  <si>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</si>
  <si>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</si>
  <si>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</si>
  <si>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</si>
  <si>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</si>
  <si>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</si>
  <si>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</si>
  <si>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</si>
  <si>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</si>
  <si>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</si>
  <si>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</si>
  <si>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</si>
  <si>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</si>
  <si>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</si>
  <si>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</si>
  <si>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</si>
  <si>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</si>
  <si>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</si>
  <si>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</si>
  <si>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</si>
  <si>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</si>
  <si>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</si>
  <si>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</si>
  <si>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</si>
  <si>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</si>
  <si>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</si>
  <si>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</si>
  <si>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</si>
  <si>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</si>
  <si>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</si>
  <si>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</si>
  <si>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</si>
  <si>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</si>
  <si>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</si>
  <si>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</si>
  <si>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</si>
  <si>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</si>
  <si>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</si>
  <si>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</si>
  <si>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</si>
  <si>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</si>
  <si>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</si>
  <si>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</si>
  <si>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</si>
  <si>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</si>
  <si>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</si>
  <si>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</si>
  <si>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</si>
  <si>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</si>
  <si>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</si>
  <si>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</si>
  <si>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</si>
  <si>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</si>
  <si>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</si>
  <si>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</si>
  <si>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</si>
  <si>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</si>
  <si>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</si>
  <si>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</si>
  <si>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</si>
  <si>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</si>
  <si>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</si>
  <si>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</si>
  <si>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</si>
  <si>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</si>
  <si>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</si>
  <si>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</si>
  <si>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</si>
  <si>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</si>
  <si>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</si>
  <si>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</si>
  <si>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</si>
  <si>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</si>
  <si>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</si>
  <si>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</si>
  <si>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</si>
  <si>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</si>
  <si>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</si>
  <si>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</si>
  <si>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</si>
  <si>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</si>
  <si>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</si>
  <si>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</si>
  <si>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</si>
  <si>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</si>
  <si>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</si>
  <si>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</si>
  <si>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</si>
  <si>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</si>
  <si>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</si>
  <si>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</si>
  <si>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</si>
  <si>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</si>
  <si>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</si>
  <si>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</si>
  <si>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</si>
  <si>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</si>
  <si>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</si>
  <si>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</si>
  <si>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</si>
  <si>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</si>
  <si>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</si>
  <si>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</si>
  <si>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</si>
  <si>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</si>
  <si>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</si>
  <si>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</si>
  <si>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</si>
  <si>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</si>
  <si>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</si>
  <si>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</si>
  <si>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</si>
  <si>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</si>
  <si>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</si>
  <si>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</si>
  <si>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</si>
  <si>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</si>
  <si>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</si>
  <si>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</si>
  <si>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</si>
  <si>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</si>
  <si>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</si>
  <si>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</si>
  <si>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</si>
  <si>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</si>
  <si>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</si>
  <si>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</si>
  <si>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</si>
  <si>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</si>
  <si>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</si>
  <si>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</si>
  <si>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</si>
  <si>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</si>
  <si>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</si>
  <si>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</si>
  <si>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</si>
  <si>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</si>
  <si>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</si>
  <si>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</si>
  <si>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</si>
  <si>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</si>
  <si>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</si>
  <si>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</si>
  <si>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</si>
  <si>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</si>
  <si>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</si>
  <si>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</si>
  <si>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</si>
  <si>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</si>
  <si>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</si>
  <si>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</si>
  <si>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</si>
  <si>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</si>
  <si>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</si>
  <si>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</si>
  <si>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</si>
  <si>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</si>
  <si>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</si>
  <si>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</si>
  <si>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</si>
  <si>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</si>
  <si>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</si>
  <si>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</si>
  <si>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</si>
  <si>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</si>
  <si>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</si>
  <si>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</si>
  <si>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</si>
  <si>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</si>
  <si>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</si>
  <si>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</si>
  <si>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</si>
  <si>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</si>
  <si>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</si>
  <si>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</si>
  <si>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</si>
  <si>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</si>
  <si>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</si>
  <si>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</si>
  <si>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</si>
  <si>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</si>
  <si>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</si>
  <si>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</si>
  <si>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</si>
  <si>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</si>
  <si>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</si>
  <si>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</si>
  <si>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</si>
  <si>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</si>
  <si>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</si>
  <si>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</si>
  <si>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</si>
  <si>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</si>
  <si>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</si>
  <si>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</si>
  <si>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</si>
  <si>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</si>
  <si>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</si>
  <si>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</si>
  <si>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</si>
  <si>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</si>
  <si>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</si>
  <si>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</si>
  <si>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</si>
  <si>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</si>
  <si>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</si>
  <si>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</si>
  <si>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</si>
  <si>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</si>
  <si>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</si>
  <si>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</si>
  <si>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</si>
  <si>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</si>
  <si>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</si>
  <si>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</si>
  <si>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</si>
  <si>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</si>
  <si>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</si>
  <si>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</si>
  <si>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</si>
  <si>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</si>
  <si>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</si>
  <si>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</si>
  <si>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</si>
  <si>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</si>
  <si>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</si>
  <si>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</si>
  <si>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</si>
  <si>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</si>
  <si>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</si>
  <si>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</si>
  <si>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</si>
  <si>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</si>
  <si>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</si>
  <si>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</si>
  <si>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</si>
  <si>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</si>
  <si>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</si>
  <si>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</si>
  <si>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</si>
  <si>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</si>
  <si>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</si>
  <si>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</si>
  <si>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</si>
  <si>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</si>
  <si>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</si>
  <si>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</si>
  <si>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</si>
  <si>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</si>
  <si>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</si>
  <si>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</si>
  <si>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</si>
  <si>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</si>
  <si>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</si>
  <si>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</si>
  <si>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</si>
  <si>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</si>
  <si>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</si>
  <si>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</si>
  <si>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</si>
  <si>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</si>
  <si>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</si>
  <si>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</si>
  <si>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</si>
  <si>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</si>
  <si>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</si>
  <si>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</si>
  <si>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</si>
  <si>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</si>
  <si>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</si>
  <si>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</si>
  <si>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</si>
  <si>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</si>
  <si>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</si>
  <si>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</si>
  <si>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</si>
  <si>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</si>
  <si>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</si>
  <si>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</si>
  <si>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</si>
  <si>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</si>
  <si>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</si>
  <si>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</si>
  <si>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</si>
  <si>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</si>
  <si>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</si>
  <si>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</si>
  <si>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</si>
  <si>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</si>
  <si>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</si>
  <si>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</si>
  <si>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</si>
  <si>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</si>
  <si>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</si>
  <si>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</si>
  <si>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</si>
  <si>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</si>
  <si>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</si>
  <si>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</si>
  <si>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</si>
  <si>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</si>
  <si>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</si>
  <si>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</si>
  <si>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</si>
  <si>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</si>
  <si>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</si>
  <si>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</si>
  <si>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</si>
  <si>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</si>
  <si>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</si>
  <si>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</si>
  <si>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</si>
  <si>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</si>
  <si>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</si>
  <si>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</si>
  <si>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</si>
  <si>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</si>
  <si>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</si>
  <si>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</si>
  <si>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</si>
  <si>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</si>
  <si>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</si>
  <si>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</si>
  <si>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</si>
  <si>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</si>
  <si>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</si>
  <si>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</si>
  <si>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</si>
  <si>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</si>
  <si>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</si>
  <si>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</si>
  <si>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</si>
  <si>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</si>
  <si>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</si>
  <si>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</si>
  <si>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</si>
  <si>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</si>
  <si>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</si>
  <si>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</si>
  <si>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</si>
  <si>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</si>
  <si>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</si>
  <si>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</si>
  <si>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</si>
  <si>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</si>
  <si>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</si>
  <si>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</si>
  <si>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</si>
  <si>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</si>
  <si>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</si>
  <si>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</si>
  <si>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</si>
  <si>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</si>
  <si>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</si>
  <si>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</si>
  <si>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</si>
  <si>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</si>
  <si>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</si>
  <si>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</si>
  <si>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</si>
  <si>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</si>
  <si>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</si>
  <si>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</si>
  <si>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</si>
  <si>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</si>
  <si>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</si>
  <si>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</si>
  <si>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</si>
  <si>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</si>
  <si>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</si>
  <si>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</si>
  <si>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</si>
  <si>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</si>
  <si>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</si>
  <si>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</si>
  <si>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</si>
  <si>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</si>
  <si>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</si>
  <si>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</si>
  <si>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</si>
  <si>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</si>
  <si>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</si>
  <si>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</si>
  <si>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</si>
  <si>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</si>
  <si>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</si>
  <si>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</si>
  <si>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</si>
  <si>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</si>
  <si>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</si>
  <si>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</si>
  <si>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</si>
  <si>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</si>
  <si>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</si>
  <si>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</si>
  <si>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</si>
  <si>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</si>
  <si>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</si>
  <si>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</si>
  <si>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</si>
  <si>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</si>
  <si>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</si>
  <si>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</si>
  <si>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</si>
  <si>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</si>
  <si>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</si>
  <si>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</si>
  <si>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</si>
  <si>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</si>
  <si>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</si>
  <si>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</si>
  <si>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</si>
  <si>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</si>
  <si>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</si>
  <si>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</si>
  <si>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</si>
  <si>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</si>
  <si>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</si>
  <si>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</si>
  <si>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</si>
  <si>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</si>
  <si>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</si>
  <si>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</si>
  <si>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</si>
  <si>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</si>
  <si>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</si>
  <si>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</si>
  <si>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</si>
  <si>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</si>
  <si>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</si>
  <si>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</si>
  <si>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</si>
  <si>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</si>
  <si>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</si>
  <si>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</si>
  <si>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</si>
  <si>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</si>
  <si>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</si>
  <si>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</si>
  <si>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</si>
  <si>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</si>
  <si>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</si>
  <si>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</si>
  <si>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</si>
  <si>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</si>
  <si>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</si>
  <si>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</si>
  <si>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</si>
  <si>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</si>
  <si>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</si>
  <si>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</si>
  <si>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</si>
  <si>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</si>
  <si>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</si>
  <si>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</si>
  <si>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</si>
  <si>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</si>
  <si>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</si>
  <si>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</si>
  <si>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</si>
  <si>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</si>
  <si>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</si>
  <si>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</si>
  <si>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</si>
  <si>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</si>
  <si>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</si>
  <si>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</si>
  <si>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</si>
  <si>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</si>
  <si>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</si>
  <si>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</si>
  <si>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</si>
  <si>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</si>
  <si>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</si>
  <si>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</si>
  <si>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</si>
  <si>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</si>
  <si>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</si>
  <si>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</si>
  <si>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</si>
  <si>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</si>
  <si>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</si>
  <si>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</si>
  <si>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</si>
  <si>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</si>
  <si>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</si>
  <si>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</si>
  <si>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</si>
  <si>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</si>
  <si>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</si>
  <si>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</si>
  <si>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</si>
  <si>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</si>
  <si>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</si>
  <si>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</si>
  <si>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</si>
  <si>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</si>
  <si>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</si>
  <si>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</si>
  <si>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</si>
  <si>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</si>
  <si>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</si>
  <si>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</si>
  <si>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</si>
  <si>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</si>
  <si>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</si>
  <si>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</si>
  <si>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</si>
  <si>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</si>
  <si>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</si>
  <si>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</si>
  <si>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</si>
  <si>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</si>
  <si>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</si>
  <si>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</si>
  <si>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</si>
  <si>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</si>
  <si>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</si>
  <si>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</si>
  <si>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</si>
  <si>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</si>
  <si>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</si>
  <si>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</si>
  <si>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</si>
  <si>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</si>
  <si>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</si>
  <si>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</si>
  <si>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</si>
  <si>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</si>
  <si>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</si>
  <si>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</si>
  <si>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</si>
  <si>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</si>
  <si>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</si>
  <si>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</si>
  <si>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</si>
  <si>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</si>
  <si>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</si>
  <si>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</si>
  <si>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</si>
  <si>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</si>
  <si>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</si>
  <si>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</si>
  <si>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</si>
  <si>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</si>
  <si>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</si>
  <si>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</si>
  <si>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</si>
  <si>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</si>
  <si>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</si>
  <si>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</si>
  <si>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</si>
  <si>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</si>
  <si>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</si>
  <si>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</si>
  <si>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</si>
  <si>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</si>
  <si>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</si>
  <si>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</si>
  <si>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</si>
  <si>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</si>
  <si>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</si>
  <si>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</si>
  <si>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</si>
  <si>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</si>
  <si>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</si>
  <si>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</si>
  <si>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</si>
  <si>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</si>
  <si>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</si>
  <si>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</si>
  <si>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</si>
  <si>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</si>
  <si>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</si>
  <si>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</si>
  <si>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</si>
  <si>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</si>
  <si>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</si>
  <si>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</si>
  <si>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</si>
  <si>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</si>
  <si>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</si>
  <si>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</si>
  <si>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</si>
  <si>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</si>
  <si>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</si>
  <si>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</si>
  <si>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</si>
  <si>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</si>
  <si>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</si>
  <si>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</si>
  <si>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</si>
  <si>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</si>
  <si>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</si>
  <si>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</si>
  <si>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</si>
  <si>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</si>
  <si>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</si>
  <si>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</si>
  <si>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</si>
  <si>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</si>
  <si>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</si>
  <si>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</si>
  <si>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</si>
  <si>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</si>
  <si>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</si>
  <si>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</si>
  <si>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</si>
  <si>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</si>
  <si>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</si>
  <si>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</si>
  <si>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</si>
  <si>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</si>
  <si>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</si>
  <si>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</si>
  <si>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</si>
  <si>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</si>
  <si>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</si>
  <si>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</si>
  <si>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</si>
  <si>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</si>
  <si>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</si>
  <si>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</si>
  <si>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</si>
  <si>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</si>
  <si>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</si>
  <si>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</si>
  <si>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</si>
  <si>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</si>
  <si>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</si>
  <si>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</si>
  <si>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</si>
  <si>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</si>
  <si>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</si>
  <si>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</si>
  <si>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</si>
  <si>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</si>
  <si>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</si>
  <si>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</si>
  <si>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</si>
  <si>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</si>
  <si>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</si>
  <si>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</si>
  <si>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</si>
  <si>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</si>
  <si>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</si>
  <si>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</si>
  <si>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</si>
  <si>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</si>
  <si>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</si>
  <si>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</si>
  <si>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</si>
  <si>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</si>
  <si>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</si>
  <si>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</si>
  <si>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</si>
  <si>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</si>
  <si>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</si>
  <si>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</si>
  <si>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</si>
  <si>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</si>
  <si>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</si>
  <si>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</si>
  <si>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</si>
  <si>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</si>
  <si>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</si>
  <si>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</si>
  <si>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</si>
  <si>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</si>
  <si>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</si>
  <si>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</si>
  <si>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</si>
  <si>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</si>
  <si>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</si>
  <si>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</si>
  <si>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</si>
  <si>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</si>
  <si>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</si>
  <si>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</si>
  <si>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</si>
  <si>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</si>
  <si>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</si>
  <si>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</si>
  <si>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</si>
  <si>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</si>
  <si>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</si>
  <si>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</si>
  <si>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</si>
  <si>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</si>
  <si>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</si>
  <si>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</si>
  <si>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</si>
  <si>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</si>
  <si>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</si>
  <si>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</si>
  <si>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</si>
  <si>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</si>
  <si>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</si>
  <si>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</si>
  <si>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</si>
  <si>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</si>
  <si>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</si>
  <si>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</si>
  <si>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</si>
  <si>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</si>
  <si>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</si>
  <si>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</si>
  <si>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</si>
  <si>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</si>
  <si>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</si>
  <si>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</si>
  <si>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</si>
  <si>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</si>
  <si>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</si>
  <si>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</si>
  <si>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</si>
  <si>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</si>
  <si>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</si>
  <si>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</si>
  <si>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</si>
  <si>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</si>
  <si>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</si>
  <si>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</si>
  <si>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</si>
  <si>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</si>
  <si>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</si>
  <si>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</si>
  <si>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</si>
  <si>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</si>
  <si>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</si>
  <si>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</si>
  <si>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</si>
  <si>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</si>
  <si>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</si>
  <si>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</si>
  <si>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</si>
  <si>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</si>
  <si>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</si>
  <si>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</si>
  <si>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</si>
  <si>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</si>
  <si>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</si>
  <si>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</si>
  <si>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</si>
  <si>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</si>
  <si>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</si>
  <si>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</si>
  <si>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</si>
  <si>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</si>
  <si>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</si>
  <si>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</si>
  <si>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</si>
  <si>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</si>
  <si>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</si>
  <si>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</si>
  <si>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</si>
  <si>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</si>
  <si>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</si>
  <si>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</si>
  <si>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</si>
  <si>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</si>
  <si>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</si>
  <si>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</si>
  <si>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</si>
  <si>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</si>
  <si>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</si>
  <si>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</si>
  <si>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</si>
  <si>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</si>
  <si>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</si>
  <si>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</si>
  <si>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</si>
  <si>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</si>
  <si>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</si>
  <si>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</si>
  <si>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</si>
  <si>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</si>
  <si>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</si>
  <si>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</si>
  <si>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</si>
  <si>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</si>
  <si>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</si>
  <si>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</si>
  <si>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</si>
  <si>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</si>
  <si>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</si>
  <si>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</si>
  <si>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</si>
  <si>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</si>
  <si>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</si>
  <si>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</si>
  <si>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</si>
  <si>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</si>
  <si>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</si>
  <si>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</si>
  <si>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</si>
  <si>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</si>
  <si>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</si>
  <si>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</si>
  <si>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</si>
  <si>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</si>
  <si>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</si>
  <si>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</si>
  <si>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</si>
  <si>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</si>
  <si>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</si>
  <si>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</si>
  <si>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</si>
  <si>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</si>
  <si>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</si>
  <si>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</si>
  <si>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</si>
  <si>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</si>
  <si>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</si>
  <si>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</si>
  <si>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</si>
  <si>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</si>
  <si>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</si>
  <si>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</si>
  <si>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</si>
  <si>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</si>
  <si>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</si>
  <si>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</si>
  <si>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</si>
  <si>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</si>
  <si>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</si>
  <si>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</si>
  <si>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</si>
  <si>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</si>
  <si>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</si>
  <si>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</si>
  <si>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</si>
  <si>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</si>
  <si>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</si>
  <si>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</si>
  <si>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</si>
  <si>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</si>
  <si>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</si>
  <si>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</si>
  <si>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</si>
  <si>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</si>
  <si>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</si>
  <si>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</si>
  <si>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</si>
  <si>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</si>
  <si>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</si>
  <si>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</si>
  <si>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</si>
  <si>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</si>
  <si>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</si>
  <si>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</si>
  <si>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</si>
  <si>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</si>
  <si>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</si>
  <si>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</si>
  <si>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</si>
  <si>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</si>
  <si>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</si>
  <si>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</si>
  <si>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</si>
  <si>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</si>
  <si>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</si>
  <si>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</si>
  <si>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</si>
  <si>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</si>
  <si>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</si>
  <si>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</si>
  <si>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</si>
  <si>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</si>
  <si>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</si>
  <si>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</si>
  <si>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</si>
  <si>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</si>
  <si>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</si>
  <si>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</si>
  <si>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</si>
  <si>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</si>
  <si>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</si>
  <si>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</si>
  <si>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</si>
  <si>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</si>
  <si>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</si>
  <si>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</si>
  <si>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</si>
  <si>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</si>
  <si>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</si>
  <si>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</si>
  <si>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</si>
  <si>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</si>
  <si>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</si>
  <si>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</si>
  <si>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</si>
  <si>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</si>
  <si>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</si>
  <si>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</si>
  <si>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</si>
  <si>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</si>
  <si>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</si>
  <si>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</si>
  <si>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</si>
  <si>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</si>
  <si>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</si>
  <si>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</si>
  <si>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</si>
  <si>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</si>
  <si>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</si>
  <si>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</si>
  <si>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</si>
  <si>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</si>
  <si>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</si>
  <si>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</si>
  <si>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</si>
  <si>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</si>
  <si>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</si>
  <si>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</si>
  <si>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</si>
  <si>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</si>
  <si>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</si>
  <si>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</si>
  <si>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</si>
  <si>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</si>
  <si>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</si>
  <si>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</si>
  <si>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</si>
  <si>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</si>
  <si>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</si>
  <si>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</si>
  <si>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</si>
  <si>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</si>
  <si>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</si>
  <si>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</si>
  <si>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</si>
  <si>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</si>
  <si>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</si>
  <si>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</si>
  <si>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</si>
  <si>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</si>
  <si>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</si>
  <si>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</si>
  <si>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</si>
  <si>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</si>
  <si>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</si>
  <si>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</si>
  <si>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</si>
  <si>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</si>
  <si>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</si>
  <si>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</si>
  <si>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</si>
  <si>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</si>
  <si>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</si>
  <si>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</si>
  <si>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</si>
  <si>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</si>
  <si>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</si>
  <si>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</si>
  <si>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</si>
  <si>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</si>
  <si>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</si>
  <si>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</si>
  <si>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</si>
  <si>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</si>
  <si>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</si>
  <si>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</si>
  <si>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</si>
  <si>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</si>
  <si>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</si>
  <si>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</si>
  <si>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</si>
  <si>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</si>
  <si>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</si>
  <si>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</si>
  <si>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</si>
  <si>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</si>
  <si>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</si>
  <si>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</si>
  <si>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</si>
  <si>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</si>
  <si>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</si>
  <si>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</si>
  <si>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</si>
  <si>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</si>
  <si>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</si>
  <si>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</si>
  <si>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</si>
  <si>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</si>
  <si>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</si>
  <si>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</si>
  <si>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</si>
  <si>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</si>
  <si>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</si>
  <si>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</si>
  <si>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</si>
  <si>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</si>
  <si>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</si>
  <si>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</si>
  <si>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</si>
  <si>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</si>
  <si>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</si>
  <si>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</si>
  <si>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</si>
  <si>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</si>
  <si>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</si>
  <si>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</si>
  <si>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</si>
  <si>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</si>
  <si>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</si>
  <si>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</si>
  <si>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</si>
  <si>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</si>
  <si>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</si>
  <si>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</si>
  <si>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</si>
  <si>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</si>
  <si>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</si>
  <si>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</si>
  <si>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</si>
  <si>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</si>
  <si>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</si>
  <si>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</si>
  <si>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</si>
  <si>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</si>
  <si>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</si>
  <si>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</si>
  <si>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</si>
  <si>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</si>
  <si>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</si>
  <si>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</si>
  <si>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</si>
  <si>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</si>
  <si>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</si>
  <si>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</si>
  <si>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</si>
  <si>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</si>
  <si>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</si>
  <si>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</si>
  <si>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</si>
  <si>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</si>
  <si>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</si>
  <si>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</si>
  <si>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</si>
  <si>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</si>
  <si>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</si>
  <si>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</si>
  <si>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</si>
  <si>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</si>
  <si>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</si>
  <si>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</si>
  <si>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</si>
  <si>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</si>
  <si>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</si>
  <si>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</si>
  <si>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</si>
  <si>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</si>
  <si>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</si>
  <si>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</si>
  <si>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</si>
  <si>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</si>
  <si>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</si>
  <si>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</si>
  <si>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</si>
  <si>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</si>
  <si>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</si>
  <si>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</si>
  <si>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</si>
  <si>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</si>
  <si>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</si>
  <si>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</si>
  <si>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</si>
  <si>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</si>
  <si>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</si>
  <si>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</si>
  <si>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</si>
  <si>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</si>
  <si>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</si>
  <si>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</si>
  <si>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</si>
  <si>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</si>
  <si>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</si>
  <si>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</si>
  <si>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</si>
  <si>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</si>
  <si>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</si>
  <si>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</si>
  <si>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</si>
  <si>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</si>
  <si>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</si>
  <si>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</si>
  <si>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</si>
  <si>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</si>
  <si>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</si>
  <si>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</si>
  <si>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</si>
  <si>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</si>
  <si>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</si>
  <si>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</si>
  <si>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</si>
  <si>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</si>
  <si>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</si>
  <si>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</si>
  <si>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</si>
  <si>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</si>
  <si>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</si>
  <si>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</si>
  <si>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</si>
  <si>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</si>
  <si>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</si>
  <si>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</si>
  <si>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</si>
  <si>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</si>
  <si>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</si>
  <si>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</si>
  <si>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</si>
  <si>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</si>
  <si>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</si>
  <si>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</si>
  <si>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</si>
  <si>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</si>
  <si>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</si>
  <si>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</si>
  <si>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</si>
  <si>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</si>
  <si>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</si>
  <si>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</si>
  <si>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</si>
  <si>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</si>
  <si>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</si>
  <si>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</si>
  <si>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</si>
  <si>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</si>
  <si>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</si>
  <si>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</si>
  <si>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</si>
  <si>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</si>
  <si>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</si>
  <si>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</si>
  <si>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</si>
  <si>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</si>
  <si>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</si>
  <si>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</si>
  <si>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</si>
  <si>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</si>
  <si>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</si>
  <si>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</si>
  <si>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</si>
  <si>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</si>
  <si>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</si>
  <si>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</si>
  <si>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</si>
  <si>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</si>
  <si>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</si>
  <si>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</si>
  <si>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</si>
  <si>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</si>
  <si>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</si>
  <si>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</si>
  <si>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</si>
  <si>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</si>
  <si>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</si>
  <si>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</si>
  <si>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</si>
  <si>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</si>
  <si>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</si>
  <si>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</si>
  <si>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</si>
  <si>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</si>
  <si>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</si>
  <si>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</si>
  <si>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</si>
  <si>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</si>
  <si>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</si>
  <si>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</si>
  <si>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</si>
  <si>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</si>
  <si>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</si>
  <si>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</si>
  <si>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</si>
  <si>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</si>
  <si>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</si>
  <si>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</si>
  <si>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</si>
  <si>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</si>
  <si>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</si>
  <si>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</si>
  <si>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</si>
  <si>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</si>
  <si>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</si>
  <si>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</si>
  <si>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</si>
  <si>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</si>
  <si>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</si>
  <si>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</si>
  <si>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</si>
  <si>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</si>
  <si>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</si>
  <si>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</si>
  <si>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</si>
  <si>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</si>
  <si>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</si>
  <si>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</si>
  <si>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</si>
  <si>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</si>
  <si>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</si>
  <si>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</si>
  <si>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</si>
  <si>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</si>
  <si>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</si>
  <si>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</si>
  <si>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</si>
  <si>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</si>
  <si>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</si>
  <si>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</si>
  <si>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</si>
  <si>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</si>
  <si>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</si>
  <si>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</si>
  <si>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</si>
  <si>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</si>
  <si>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</si>
  <si>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</si>
  <si>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</si>
  <si>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</si>
  <si>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</si>
  <si>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</si>
  <si>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</si>
  <si>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</si>
  <si>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</si>
  <si>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</si>
  <si>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</si>
  <si>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</si>
  <si>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</si>
  <si>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</si>
  <si>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</si>
  <si>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</si>
  <si>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</si>
  <si>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</si>
  <si>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</si>
  <si>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</si>
  <si>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</si>
  <si>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</si>
  <si>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</si>
  <si>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</si>
  <si>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</si>
  <si>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</si>
  <si>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</si>
  <si>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</si>
  <si>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</si>
  <si>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</si>
  <si>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</si>
  <si>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</si>
  <si>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</si>
  <si>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</si>
  <si>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</si>
  <si>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</si>
  <si>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</si>
  <si>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</si>
  <si>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</si>
  <si>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</si>
  <si>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</si>
  <si>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</si>
  <si>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</si>
  <si>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</si>
  <si>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</si>
  <si>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</si>
  <si>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</si>
  <si>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</si>
  <si>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</si>
  <si>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</si>
  <si>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</si>
  <si>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</si>
  <si>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</si>
  <si>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</si>
  <si>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</si>
  <si>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</si>
  <si>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</si>
  <si>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</si>
  <si>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</si>
  <si>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</si>
  <si>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</si>
  <si>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</si>
  <si>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</si>
  <si>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</si>
  <si>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</si>
  <si>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</si>
  <si>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</si>
  <si>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</si>
  <si>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</si>
  <si>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</si>
  <si>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</si>
  <si>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</si>
  <si>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</si>
  <si>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</si>
  <si>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</si>
  <si>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</si>
  <si>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</si>
  <si>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</si>
  <si>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</si>
  <si>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</si>
  <si>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</si>
  <si>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</si>
  <si>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</si>
  <si>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</si>
  <si>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</si>
  <si>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</si>
  <si>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</si>
  <si>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</si>
  <si>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</si>
  <si>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</si>
  <si>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</si>
  <si>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</si>
  <si>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</si>
  <si>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</si>
  <si>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</si>
  <si>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</si>
  <si>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</si>
  <si>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</si>
  <si>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</si>
  <si>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</si>
  <si>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</si>
  <si>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</si>
  <si>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</si>
  <si>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</si>
  <si>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</si>
  <si>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</si>
  <si>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</si>
  <si>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</si>
  <si>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</si>
  <si>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</si>
  <si>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</si>
  <si>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</si>
  <si>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</si>
  <si>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</si>
  <si>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</si>
  <si>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</si>
  <si>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</si>
  <si>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</si>
  <si>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</si>
  <si>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</si>
  <si>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</si>
  <si>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</si>
  <si>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</si>
  <si>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</si>
  <si>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</si>
  <si>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</si>
  <si>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</si>
  <si>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</si>
  <si>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</si>
  <si>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</si>
  <si>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</si>
  <si>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</si>
  <si>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</si>
  <si>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</si>
  <si>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</si>
  <si>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</si>
  <si>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</si>
  <si>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</si>
  <si>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</si>
  <si>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</si>
  <si>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</si>
  <si>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</si>
  <si>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</si>
  <si>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</si>
  <si>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</si>
  <si>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</si>
  <si>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</si>
  <si>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</si>
  <si>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</si>
  <si>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</si>
  <si>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</si>
  <si>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</si>
  <si>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</si>
  <si>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</si>
  <si>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</si>
  <si>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</si>
  <si>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</si>
  <si>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</si>
  <si>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</si>
  <si>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</si>
  <si>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</si>
  <si>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</si>
  <si>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</si>
  <si>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</si>
  <si>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</si>
  <si>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</si>
  <si>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</si>
  <si>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</si>
  <si>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</si>
  <si>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</si>
  <si>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</si>
  <si>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</si>
  <si>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</si>
  <si>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</si>
  <si>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</si>
  <si>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</si>
  <si>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</si>
  <si>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</si>
  <si>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</si>
  <si>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</si>
  <si>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</si>
  <si>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</si>
  <si>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</si>
  <si>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</si>
  <si>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</si>
  <si>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</si>
  <si>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</si>
  <si>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</si>
  <si>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</si>
  <si>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</si>
  <si>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</si>
  <si>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</si>
  <si>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</si>
  <si>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</si>
  <si>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</si>
  <si>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</si>
  <si>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</si>
  <si>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</si>
  <si>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</si>
  <si>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</si>
  <si>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</si>
  <si>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</si>
  <si>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</si>
  <si>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</si>
  <si>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</si>
  <si>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</si>
  <si>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</si>
  <si>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</si>
  <si>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</si>
  <si>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</si>
  <si>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</si>
  <si>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</si>
  <si>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</si>
  <si>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</si>
  <si>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</si>
  <si>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</si>
  <si>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</si>
  <si>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</si>
  <si>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</si>
  <si>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</si>
  <si>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</si>
  <si>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</si>
  <si>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</si>
  <si>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</si>
  <si>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</si>
  <si>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</si>
  <si>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</si>
  <si>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</si>
  <si>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</si>
  <si>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</si>
  <si>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</si>
  <si>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</si>
  <si>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</si>
  <si>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</si>
  <si>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</si>
  <si>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</si>
  <si>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</si>
  <si>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</si>
  <si>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</si>
  <si>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</si>
  <si>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</si>
  <si>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</si>
  <si>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</si>
  <si>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</si>
  <si>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</si>
  <si>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</si>
  <si>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</si>
  <si>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</si>
  <si>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</si>
  <si>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</si>
  <si>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</si>
  <si>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</si>
  <si>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</si>
  <si>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</si>
  <si>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</si>
  <si>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</si>
  <si>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</si>
  <si>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</si>
  <si>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</si>
  <si>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</si>
  <si>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</si>
  <si>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</si>
  <si>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</si>
  <si>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</si>
  <si>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</si>
  <si>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</si>
  <si>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</si>
  <si>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</si>
  <si>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</si>
  <si>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</si>
  <si>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</si>
  <si>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</si>
  <si>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</si>
  <si>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</si>
  <si>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</si>
  <si>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</si>
  <si>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</si>
  <si>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</si>
  <si>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</si>
  <si>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</si>
  <si>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</si>
  <si>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</si>
  <si>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</si>
  <si>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</si>
  <si>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</si>
  <si>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</si>
  <si>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</si>
  <si>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</si>
  <si>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</si>
  <si>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</si>
  <si>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</si>
  <si>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</si>
  <si>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</si>
  <si>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</si>
  <si>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</si>
  <si>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</si>
  <si>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</si>
  <si>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</si>
  <si>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</si>
  <si>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</si>
  <si>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</si>
  <si>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</si>
  <si>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</si>
  <si>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</si>
  <si>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</si>
  <si>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</si>
  <si>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</si>
  <si>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</si>
  <si>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</si>
  <si>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</si>
  <si>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</si>
  <si>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</si>
  <si>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</si>
  <si>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</si>
  <si>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</si>
  <si>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</si>
  <si>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</si>
  <si>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</si>
  <si>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</si>
  <si>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</si>
  <si>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</si>
  <si>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</si>
  <si>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</si>
  <si>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</si>
  <si>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</si>
  <si>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</si>
  <si>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</si>
  <si>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</si>
  <si>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</si>
  <si>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</si>
  <si>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</si>
  <si>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</si>
  <si>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</si>
  <si>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</si>
  <si>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</si>
  <si>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</si>
  <si>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</si>
  <si>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</si>
  <si>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</si>
  <si>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</si>
  <si>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</si>
  <si>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</si>
  <si>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</si>
  <si>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</si>
  <si>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</si>
  <si>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</si>
  <si>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</si>
  <si>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</si>
  <si>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</si>
  <si>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</si>
  <si>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</si>
  <si>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</si>
  <si>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</si>
  <si>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</si>
  <si>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</si>
  <si>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</si>
  <si>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</si>
  <si>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</si>
  <si>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</si>
  <si>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</si>
  <si>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</si>
  <si>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</si>
  <si>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</si>
  <si>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</si>
  <si>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</si>
  <si>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</si>
  <si>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</si>
  <si>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</si>
  <si>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</si>
  <si>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</si>
  <si>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</si>
  <si>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</si>
  <si>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</si>
  <si>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</si>
  <si>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</si>
  <si>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</si>
  <si>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</si>
  <si>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</si>
  <si>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</si>
  <si>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</si>
  <si>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</si>
  <si>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</si>
  <si>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</si>
  <si>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</si>
  <si>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</si>
  <si>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</si>
  <si>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</si>
  <si>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</si>
  <si>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</si>
  <si>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</si>
  <si>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</si>
  <si>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</si>
  <si>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</si>
  <si>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</si>
  <si>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</si>
  <si>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</si>
  <si>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</si>
  <si>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</si>
  <si>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</si>
  <si>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</si>
  <si>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</si>
  <si>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</si>
  <si>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</si>
  <si>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</si>
  <si>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</si>
  <si>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</si>
  <si>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</si>
  <si>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</si>
  <si>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</si>
  <si>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</si>
  <si>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</si>
  <si>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</si>
  <si>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</si>
  <si>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</si>
  <si>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</si>
  <si>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</si>
  <si>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</si>
  <si>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</si>
  <si>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</si>
  <si>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</si>
  <si>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</si>
  <si>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</si>
  <si>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</si>
  <si>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</si>
  <si>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</si>
  <si>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</si>
  <si>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</si>
  <si>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</si>
  <si>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</si>
  <si>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</si>
  <si>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</si>
  <si>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</si>
  <si>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</si>
  <si>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</si>
  <si>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</si>
  <si>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</si>
  <si>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</si>
  <si>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</si>
  <si>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</si>
  <si>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</si>
  <si>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</si>
  <si>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</si>
  <si>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</si>
  <si>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</si>
  <si>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</si>
  <si>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</si>
  <si>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</si>
  <si>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</si>
  <si>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</si>
  <si>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</si>
  <si>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</si>
  <si>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</si>
  <si>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</si>
  <si>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</si>
  <si>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</si>
  <si>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</si>
  <si>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</si>
  <si>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</si>
  <si>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</si>
  <si>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</si>
  <si>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</si>
  <si>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</si>
  <si>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</si>
  <si>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</si>
  <si>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</si>
  <si>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</si>
  <si>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</si>
  <si>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</si>
  <si>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</si>
  <si>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</si>
  <si>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</si>
  <si>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</si>
  <si>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</si>
  <si>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</si>
  <si>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</si>
  <si>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</si>
  <si>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</si>
  <si>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</si>
  <si>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</si>
  <si>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</si>
  <si>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</si>
  <si>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</si>
  <si>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</si>
  <si>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</si>
  <si>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</si>
  <si>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</si>
  <si>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</si>
  <si>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</si>
  <si>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</si>
  <si>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</si>
  <si>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</si>
  <si>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</si>
  <si>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</si>
  <si>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</si>
  <si>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</si>
  <si>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</si>
  <si>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</si>
  <si>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</si>
  <si>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</si>
  <si>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</si>
  <si>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</si>
  <si>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</si>
  <si>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</si>
  <si>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</si>
  <si>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</si>
  <si>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</si>
  <si>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</si>
  <si>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</si>
  <si>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</si>
  <si>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</si>
  <si>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</si>
  <si>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</si>
  <si>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</si>
  <si>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</si>
  <si>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</si>
  <si>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</si>
  <si>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</si>
  <si>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</si>
  <si>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</si>
  <si>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</si>
  <si>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</si>
  <si>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</si>
  <si>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</si>
  <si>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</si>
  <si>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</si>
  <si>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</si>
  <si>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</si>
  <si>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</si>
  <si>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</si>
  <si>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</si>
  <si>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</si>
  <si>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</si>
  <si>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</si>
  <si>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</si>
  <si>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</si>
  <si>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</si>
  <si>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</si>
  <si>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</si>
  <si>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</si>
  <si>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</si>
  <si>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</si>
  <si>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</si>
  <si>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</si>
  <si>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</si>
  <si>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</si>
  <si>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</si>
  <si>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</si>
  <si>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</si>
  <si>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</si>
  <si>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</si>
  <si>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</si>
  <si>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</si>
  <si>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</si>
  <si>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</si>
  <si>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</si>
  <si>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</si>
  <si>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</si>
  <si>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</si>
  <si>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</si>
  <si>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</si>
  <si>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</si>
  <si>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</si>
  <si>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</si>
  <si>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</si>
  <si>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</si>
  <si>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</si>
  <si>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</si>
  <si>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</si>
  <si>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</si>
  <si>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</si>
  <si>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</si>
  <si>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</si>
  <si>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</si>
  <si>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</si>
  <si>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</si>
  <si>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</si>
  <si>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</si>
  <si>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</si>
  <si>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</si>
  <si>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</si>
  <si>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</si>
  <si>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</si>
  <si>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</si>
  <si>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</si>
  <si>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</si>
  <si>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</si>
  <si>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</si>
  <si>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</si>
  <si>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</si>
  <si>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</si>
  <si>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</si>
  <si>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</si>
  <si>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</si>
  <si>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</si>
  <si>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</si>
  <si>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</si>
  <si>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</si>
  <si>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</si>
  <si>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</si>
  <si>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</si>
  <si>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</si>
  <si>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</si>
  <si>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</si>
  <si>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</si>
  <si>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</si>
  <si>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</si>
  <si>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</si>
  <si>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</si>
  <si>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</si>
  <si>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</si>
  <si>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</si>
  <si>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</si>
  <si>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</si>
  <si>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</si>
  <si>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</si>
  <si>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</si>
  <si>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</si>
  <si>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</si>
  <si>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</si>
  <si>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</si>
  <si>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</si>
  <si>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</si>
  <si>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</si>
  <si>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</si>
  <si>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</si>
  <si>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</si>
  <si>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</si>
  <si>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</si>
  <si>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</si>
  <si>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</si>
  <si>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</si>
  <si>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</si>
  <si>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</si>
  <si>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</si>
  <si>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</si>
  <si>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</si>
  <si>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</si>
  <si>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</si>
  <si>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</si>
  <si>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</si>
  <si>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</si>
  <si>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</si>
  <si>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</si>
  <si>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</si>
  <si>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</si>
  <si>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</si>
  <si>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</si>
  <si>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</si>
  <si>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</si>
  <si>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</si>
  <si>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</si>
  <si>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</si>
  <si>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</si>
  <si>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</si>
  <si>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</si>
  <si>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</si>
  <si>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</si>
  <si>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</si>
  <si>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</si>
  <si>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</si>
  <si>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</si>
  <si>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</si>
  <si>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</si>
  <si>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</si>
  <si>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</si>
  <si>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</si>
  <si>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</si>
  <si>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</si>
  <si>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</si>
  <si>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</si>
  <si>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</si>
  <si>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</si>
  <si>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</si>
  <si>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</si>
  <si>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</si>
  <si>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</si>
  <si>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</si>
  <si>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</si>
  <si>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</si>
  <si>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</si>
  <si>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</si>
  <si>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</si>
  <si>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</si>
  <si>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</si>
  <si>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</si>
  <si>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</si>
  <si>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</si>
  <si>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</si>
  <si>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</si>
  <si>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</si>
  <si>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</si>
  <si>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</si>
  <si>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</si>
  <si>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</si>
  <si>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</si>
  <si>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</si>
  <si>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</si>
  <si>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</si>
  <si>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</si>
  <si>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</si>
  <si>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</si>
  <si>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</si>
  <si>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</si>
  <si>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</si>
  <si>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</si>
  <si>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</si>
  <si>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</si>
  <si>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</si>
  <si>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</si>
  <si>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</si>
  <si>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</si>
  <si>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</si>
  <si>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</si>
  <si>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</si>
  <si>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</si>
  <si>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</si>
  <si>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</si>
  <si>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</si>
  <si>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</si>
  <si>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</si>
  <si>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</si>
  <si>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</si>
  <si>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</si>
  <si>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</si>
  <si>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</si>
  <si>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</si>
  <si>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</si>
  <si>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</si>
  <si>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</si>
  <si>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</si>
  <si>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</si>
  <si>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</si>
  <si>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</si>
  <si>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</si>
  <si>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</si>
  <si>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</si>
  <si>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</si>
  <si>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</si>
  <si>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</si>
  <si>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</si>
  <si>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</si>
  <si>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</si>
  <si>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</si>
  <si>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</si>
  <si>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</si>
  <si>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</si>
  <si>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</si>
  <si>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</si>
  <si>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</si>
  <si>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</si>
  <si>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</si>
  <si>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</si>
  <si>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</si>
  <si>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</si>
  <si>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</si>
  <si>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</si>
  <si>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</si>
  <si>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</si>
  <si>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</si>
  <si>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</si>
  <si>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</si>
  <si>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</si>
  <si>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</si>
  <si>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</si>
  <si>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</si>
  <si>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</si>
  <si>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</si>
  <si>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</si>
  <si>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</si>
  <si>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</si>
  <si>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</si>
  <si>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</si>
  <si>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</si>
  <si>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</si>
  <si>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</si>
  <si>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</si>
  <si>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</si>
  <si>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</si>
  <si>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</si>
  <si>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</si>
  <si>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</si>
  <si>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</si>
  <si>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</si>
  <si>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</si>
  <si>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</si>
  <si>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</si>
  <si>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</si>
  <si>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</si>
  <si>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</si>
  <si>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</si>
  <si>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</si>
  <si>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</si>
  <si>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</si>
  <si>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</si>
  <si>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</si>
  <si>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</si>
  <si>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</si>
  <si>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</si>
  <si>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</si>
  <si>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</si>
  <si>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</si>
  <si>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</si>
  <si>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</si>
  <si>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</si>
  <si>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</si>
  <si>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</si>
  <si>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</si>
  <si>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</si>
  <si>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</si>
  <si>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</si>
  <si>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</si>
  <si>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</si>
  <si>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</si>
  <si>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</si>
  <si>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</si>
  <si>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</si>
  <si>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</si>
  <si>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</si>
  <si>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</si>
  <si>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</si>
  <si>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</si>
  <si>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</si>
  <si>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</si>
  <si>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</si>
  <si>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</si>
  <si>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</si>
  <si>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</si>
  <si>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</si>
  <si>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</si>
  <si>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</si>
  <si>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</si>
  <si>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</si>
  <si>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</si>
  <si>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</si>
  <si>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</si>
  <si>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</si>
  <si>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</si>
  <si>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</si>
  <si>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</si>
  <si>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</si>
  <si>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</si>
  <si>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</si>
  <si>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</si>
  <si>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</si>
  <si>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</si>
  <si>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</si>
  <si>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</si>
  <si>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</si>
  <si>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</si>
  <si>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</si>
  <si>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</si>
  <si>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</si>
  <si>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</si>
  <si>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</si>
  <si>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</si>
  <si>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</si>
  <si>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</si>
  <si>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</si>
  <si>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</si>
  <si>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</si>
  <si>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</si>
  <si>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</si>
  <si>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</si>
  <si>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</si>
  <si>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</si>
  <si>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</si>
  <si>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</si>
  <si>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</si>
  <si>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</si>
  <si>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</si>
  <si>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</si>
  <si>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</si>
  <si>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</si>
  <si>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</si>
  <si>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</si>
  <si>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</si>
  <si>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</si>
  <si>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</si>
  <si>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</si>
  <si>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</si>
  <si>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</si>
  <si>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</si>
  <si>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</si>
  <si>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</si>
  <si>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</si>
  <si>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</si>
  <si>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</si>
  <si>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</si>
  <si>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</si>
  <si>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</si>
  <si>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</si>
  <si>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</si>
  <si>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</si>
  <si>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</si>
  <si>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</si>
  <si>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</si>
  <si>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</si>
  <si>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</si>
  <si>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</si>
  <si>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</si>
  <si>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</si>
  <si>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</si>
  <si>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</si>
  <si>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</si>
  <si>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</si>
  <si>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</si>
  <si>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</si>
  <si>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</si>
  <si>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</si>
  <si>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</si>
  <si>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</si>
  <si>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</si>
  <si>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</si>
  <si>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</si>
  <si>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</si>
  <si>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</si>
  <si>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</si>
  <si>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</si>
  <si>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</si>
  <si>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</si>
  <si>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</si>
  <si>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</si>
  <si>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</si>
  <si>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</si>
  <si>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</si>
  <si>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</si>
  <si>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</si>
  <si>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</si>
  <si>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</si>
  <si>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</si>
  <si>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</si>
  <si>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</si>
  <si>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</si>
  <si>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</si>
  <si>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</si>
  <si>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</si>
  <si>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</si>
  <si>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</si>
  <si>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</si>
  <si>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</si>
  <si>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</si>
  <si>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</si>
  <si>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</si>
  <si>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</si>
  <si>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</si>
  <si>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</si>
  <si>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</si>
  <si>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</si>
  <si>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</si>
  <si>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</si>
  <si>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</si>
  <si>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</si>
  <si>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</si>
  <si>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</si>
  <si>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</si>
  <si>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</si>
  <si>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</si>
  <si>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</si>
  <si>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</si>
  <si>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</si>
  <si>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</si>
  <si>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</si>
  <si>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</si>
  <si>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</si>
  <si>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</si>
  <si>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</si>
  <si>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</si>
  <si>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</si>
  <si>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</si>
  <si>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</si>
  <si>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</si>
  <si>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</si>
  <si>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</si>
  <si>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</si>
  <si>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</si>
  <si>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</si>
  <si>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</si>
  <si>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</si>
  <si>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</si>
  <si>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</si>
  <si>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</si>
  <si>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</si>
  <si>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</si>
  <si>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</si>
  <si>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</si>
  <si>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</si>
  <si>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</si>
  <si>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</si>
  <si>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</si>
  <si>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</si>
  <si>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</si>
  <si>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</si>
  <si>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</si>
  <si>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</si>
  <si>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</si>
  <si>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</si>
  <si>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</si>
  <si>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</si>
  <si>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</si>
  <si>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</si>
  <si>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</si>
  <si>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</si>
  <si>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</si>
  <si>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</si>
  <si>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</si>
  <si>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</si>
  <si>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</si>
  <si>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</si>
  <si>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</si>
  <si>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</si>
  <si>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</si>
  <si>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</si>
  <si>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</si>
  <si>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</si>
  <si>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</si>
  <si>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</si>
  <si>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</si>
  <si>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</si>
  <si>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</si>
  <si>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</si>
  <si>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</si>
  <si>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</si>
  <si>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</si>
  <si>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</si>
  <si>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</si>
  <si>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</si>
  <si>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</si>
  <si>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</si>
  <si>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</si>
  <si>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</si>
  <si>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</si>
  <si>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</si>
  <si>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</si>
  <si>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</si>
  <si>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</si>
  <si>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</si>
  <si>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</si>
  <si>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</si>
  <si>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</si>
  <si>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</si>
  <si>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</si>
  <si>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</si>
  <si>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</si>
  <si>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</si>
  <si>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</si>
  <si>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</si>
  <si>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</si>
  <si>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</si>
  <si>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</si>
  <si>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</si>
  <si>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</si>
  <si>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</si>
  <si>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</si>
  <si>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</si>
  <si>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</si>
  <si>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</si>
  <si>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</si>
  <si>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</si>
  <si>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</si>
  <si>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</si>
  <si>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</si>
  <si>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</si>
  <si>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</si>
  <si>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</si>
  <si>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</si>
  <si>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</si>
  <si>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</si>
  <si>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</si>
  <si>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</si>
  <si>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</si>
  <si>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</si>
  <si>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</si>
  <si>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</si>
  <si>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</si>
  <si>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</si>
  <si>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</si>
  <si>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</si>
  <si>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</si>
  <si>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</si>
  <si>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</si>
  <si>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</si>
  <si>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</si>
  <si>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</si>
  <si>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</si>
  <si>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</si>
  <si>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</si>
  <si>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</si>
  <si>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</si>
  <si>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</si>
  <si>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</si>
  <si>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</si>
  <si>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</si>
  <si>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</si>
  <si>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</si>
  <si>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</si>
  <si>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</si>
  <si>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</si>
  <si>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</si>
  <si>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</si>
  <si>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</si>
  <si>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</si>
  <si>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</si>
  <si>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</si>
  <si>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</si>
  <si>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</si>
  <si>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</si>
  <si>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</si>
  <si>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</si>
  <si>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</si>
  <si>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</si>
  <si>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</si>
  <si>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</si>
  <si>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</si>
  <si>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</si>
  <si>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</si>
  <si>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</si>
  <si>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</si>
  <si>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</si>
  <si>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</si>
  <si>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</si>
  <si>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</si>
  <si>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</si>
  <si>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</si>
  <si>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</si>
  <si>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</si>
  <si>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</si>
  <si>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</si>
  <si>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</si>
  <si>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</si>
  <si>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</si>
  <si>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</si>
  <si>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</si>
  <si>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</si>
  <si>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</si>
  <si>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</si>
  <si>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</si>
  <si>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</si>
  <si>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</si>
  <si>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</si>
  <si>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</si>
  <si>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</si>
  <si>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</si>
  <si>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</si>
  <si>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</si>
  <si>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</si>
  <si>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</si>
  <si>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</si>
  <si>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</si>
  <si>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</si>
  <si>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</si>
  <si>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</si>
  <si>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</si>
  <si>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</si>
  <si>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</si>
  <si>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</si>
  <si>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</si>
  <si>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</si>
  <si>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</si>
  <si>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</si>
  <si>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</si>
  <si>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</si>
  <si>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</si>
  <si>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</si>
  <si>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</si>
  <si>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</si>
  <si>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</si>
  <si>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</si>
  <si>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</si>
  <si>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</si>
  <si>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</si>
  <si>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</si>
  <si>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</si>
  <si>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</si>
  <si>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</si>
  <si>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</si>
  <si>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</si>
  <si>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</si>
  <si>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</si>
  <si>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</si>
  <si>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</si>
  <si>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</si>
  <si>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</si>
  <si>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</si>
  <si>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</si>
  <si>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</si>
  <si>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</si>
  <si>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</si>
  <si>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</si>
  <si>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</si>
  <si>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</si>
  <si>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</si>
  <si>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</si>
  <si>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</si>
  <si>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</si>
  <si>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</si>
  <si>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</si>
  <si>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</si>
  <si>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</si>
  <si>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</si>
  <si>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</si>
  <si>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</si>
  <si>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</si>
  <si>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</si>
  <si>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</si>
  <si>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</si>
  <si>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</si>
  <si>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</si>
  <si>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</si>
  <si>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</si>
  <si>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</si>
  <si>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</si>
  <si>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</si>
  <si>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</si>
  <si>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</si>
  <si>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</si>
  <si>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</si>
  <si>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</si>
  <si>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</si>
  <si>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</si>
  <si>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</si>
  <si>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</si>
  <si>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</si>
  <si>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</si>
  <si>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</si>
  <si>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</si>
  <si>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</si>
  <si>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</si>
  <si>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</si>
  <si>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</si>
  <si>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</si>
  <si>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</si>
  <si>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</si>
  <si>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</si>
  <si>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</si>
  <si>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</si>
  <si>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</si>
  <si>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</si>
  <si>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</si>
  <si>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</si>
  <si>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</si>
  <si>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</si>
  <si>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</si>
  <si>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</si>
  <si>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</si>
  <si>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</si>
  <si>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</si>
  <si>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</si>
  <si>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</si>
  <si>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</si>
  <si>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</si>
  <si>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</si>
  <si>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</si>
  <si>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</si>
  <si>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</si>
  <si>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</si>
  <si>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</si>
  <si>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</si>
  <si>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</si>
  <si>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</si>
  <si>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</si>
  <si>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</si>
  <si>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</si>
  <si>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</si>
  <si>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</si>
  <si>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</si>
  <si>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</si>
  <si>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</si>
  <si>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</si>
  <si>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</si>
  <si>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</si>
  <si>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</si>
  <si>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</si>
  <si>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</si>
  <si>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</si>
  <si>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</si>
  <si>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</si>
  <si>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</si>
  <si>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</si>
  <si>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</si>
  <si>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</si>
  <si>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</si>
  <si>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</si>
  <si>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</si>
  <si>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</si>
  <si>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</si>
  <si>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</si>
  <si>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</si>
  <si>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</si>
  <si>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</si>
  <si>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</si>
  <si>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</si>
  <si>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</si>
  <si>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</si>
  <si>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</si>
  <si>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</si>
  <si>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</si>
  <si>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</si>
  <si>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</si>
  <si>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</si>
  <si>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</si>
  <si>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</si>
  <si>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</si>
  <si>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</si>
  <si>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</si>
  <si>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</si>
  <si>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</si>
  <si>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</si>
  <si>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</si>
  <si>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</si>
  <si>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</si>
  <si>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</si>
  <si>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</si>
  <si>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</si>
  <si>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</si>
  <si>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</si>
  <si>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</si>
  <si>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</si>
  <si>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</si>
  <si>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</si>
  <si>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</si>
  <si>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</si>
  <si>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</si>
  <si>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</si>
  <si>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</si>
  <si>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</si>
  <si>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</si>
  <si>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</si>
  <si>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</si>
  <si>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</si>
  <si>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</si>
  <si>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</si>
  <si>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</si>
  <si>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</si>
  <si>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</si>
  <si>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</si>
  <si>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</si>
  <si>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</si>
  <si>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</si>
  <si>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</si>
  <si>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</si>
  <si>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</si>
  <si>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</si>
  <si>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</si>
  <si>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</si>
  <si>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</si>
  <si>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</si>
  <si>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</si>
  <si>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</si>
  <si>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</si>
  <si>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</si>
  <si>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</si>
  <si>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</si>
  <si>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</si>
  <si>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</si>
  <si>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</si>
  <si>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</si>
  <si>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</si>
  <si>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</si>
  <si>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</si>
  <si>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</si>
  <si>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</si>
  <si>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</si>
  <si>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</si>
  <si>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</si>
  <si>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</si>
  <si>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</si>
  <si>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</si>
  <si>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</si>
  <si>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</si>
  <si>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</si>
  <si>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</si>
  <si>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</si>
  <si>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</si>
  <si>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</si>
  <si>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</si>
  <si>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</si>
  <si>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</si>
  <si>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</si>
  <si>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</si>
  <si>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</si>
  <si>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</si>
  <si>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</si>
  <si>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</si>
  <si>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</si>
  <si>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</si>
  <si>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</si>
  <si>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</si>
  <si>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</si>
  <si>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</si>
  <si>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</si>
  <si>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</si>
  <si>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</si>
  <si>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</si>
  <si>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</si>
  <si>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</si>
  <si>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</si>
  <si>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</si>
  <si>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</si>
  <si>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</si>
  <si>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</si>
  <si>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</si>
  <si>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</si>
  <si>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</si>
  <si>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</si>
  <si>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</si>
  <si>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</si>
  <si>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</si>
  <si>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</si>
  <si>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</si>
  <si>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</si>
  <si>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</si>
  <si>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</si>
  <si>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</si>
  <si>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</si>
  <si>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</si>
  <si>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</si>
  <si>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</si>
  <si>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</si>
  <si>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</si>
  <si>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</si>
  <si>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</si>
  <si>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</si>
  <si>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</si>
  <si>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</si>
  <si>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</si>
  <si>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</si>
  <si>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</si>
  <si>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</si>
  <si>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</si>
  <si>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</si>
  <si>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</si>
  <si>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</si>
  <si>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</si>
  <si>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</si>
  <si>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</si>
  <si>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</si>
  <si>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</si>
  <si>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</si>
  <si>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</si>
  <si>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</si>
  <si>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</si>
  <si>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</si>
  <si>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</si>
  <si>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</si>
  <si>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</si>
  <si>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</si>
  <si>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</si>
  <si>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</si>
  <si>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</si>
  <si>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</si>
  <si>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</si>
  <si>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</si>
  <si>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</si>
  <si>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</si>
  <si>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</si>
  <si>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</si>
  <si>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</si>
  <si>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</si>
  <si>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</si>
  <si>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</si>
  <si>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</si>
  <si>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</si>
  <si>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</si>
  <si>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</si>
  <si>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</si>
  <si>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</si>
  <si>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</si>
  <si>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</si>
  <si>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</si>
  <si>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</si>
  <si>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</si>
  <si>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</si>
  <si>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</si>
  <si>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</si>
  <si>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</si>
  <si>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</si>
  <si>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</si>
  <si>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</si>
  <si>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</si>
  <si>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</si>
  <si>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</si>
  <si>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</si>
  <si>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</si>
  <si>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</si>
  <si>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</si>
  <si>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</si>
  <si>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</si>
  <si>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</si>
  <si>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</si>
  <si>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</si>
  <si>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</si>
  <si>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</si>
  <si>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</si>
  <si>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</si>
  <si>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</si>
  <si>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</si>
  <si>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</si>
  <si>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</si>
  <si>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</si>
  <si>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</si>
  <si>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</si>
  <si>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</si>
  <si>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</si>
  <si>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</si>
  <si>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</si>
  <si>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</si>
  <si>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</si>
  <si>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</si>
  <si>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</si>
  <si>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</si>
  <si>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</si>
  <si>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</si>
  <si>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</si>
  <si>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</si>
  <si>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</si>
  <si>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</si>
  <si>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</si>
  <si>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</si>
  <si>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</si>
  <si>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</si>
  <si>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</si>
  <si>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</si>
  <si>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</si>
  <si>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</si>
  <si>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</si>
  <si>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</si>
  <si>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</si>
  <si>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</si>
  <si>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</si>
  <si>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</si>
  <si>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</si>
  <si>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</si>
  <si>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</si>
  <si>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</si>
  <si>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</si>
  <si>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</si>
  <si>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</si>
  <si>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</si>
  <si>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</si>
  <si>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</si>
  <si>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</si>
  <si>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</si>
  <si>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</si>
  <si>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</si>
  <si>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</si>
  <si>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</si>
  <si>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</si>
  <si>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</si>
  <si>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</si>
  <si>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</si>
  <si>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</si>
  <si>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</si>
  <si>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</si>
  <si>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</si>
  <si>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</si>
  <si>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</si>
  <si>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</si>
  <si>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</si>
  <si>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</si>
  <si>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</si>
  <si>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</si>
  <si>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</si>
  <si>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</si>
  <si>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</si>
  <si>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</si>
  <si>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</si>
  <si>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</si>
  <si>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</si>
  <si>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</si>
  <si>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</si>
  <si>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</si>
  <si>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</si>
  <si>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</si>
  <si>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</si>
  <si>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</si>
  <si>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</si>
  <si>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</si>
  <si>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</si>
  <si>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</si>
  <si>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</si>
  <si>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</si>
  <si>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</si>
  <si>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</si>
  <si>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</si>
  <si>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</si>
  <si>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</si>
  <si>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</si>
  <si>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</si>
  <si>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</si>
  <si>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</si>
  <si>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</si>
  <si>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</si>
  <si>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</si>
  <si>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</si>
  <si>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</si>
  <si>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</si>
  <si>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</si>
  <si>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</si>
  <si>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</si>
  <si>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</si>
  <si>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</si>
  <si>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</si>
  <si>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</si>
  <si>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</si>
  <si>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</si>
  <si>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</si>
  <si>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</si>
  <si>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</si>
  <si>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</si>
  <si>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</si>
  <si>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</si>
  <si>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</si>
  <si>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</si>
  <si>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</si>
  <si>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</si>
  <si>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</si>
  <si>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</si>
  <si>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</si>
  <si>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</si>
  <si>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</si>
  <si>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</si>
  <si>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</si>
  <si>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</si>
  <si>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</si>
  <si>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</si>
  <si>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</si>
  <si>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</si>
  <si>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</si>
  <si>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</si>
  <si>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</si>
  <si>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</si>
  <si>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</si>
  <si>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</si>
  <si>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</si>
  <si>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</si>
  <si>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</si>
  <si>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</si>
  <si>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</si>
  <si>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</si>
  <si>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</si>
  <si>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</si>
  <si>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</si>
  <si>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</si>
  <si>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</si>
  <si>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</si>
  <si>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</si>
  <si>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</si>
  <si>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</si>
  <si>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</si>
  <si>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</si>
  <si>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</si>
  <si>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</si>
  <si>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</si>
  <si>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</si>
  <si>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</si>
  <si>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</si>
  <si>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</si>
  <si>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</si>
  <si>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</si>
  <si>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</si>
  <si>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</si>
  <si>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</si>
  <si>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</si>
  <si>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</si>
  <si>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</si>
  <si>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</si>
  <si>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</si>
  <si>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</si>
  <si>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</si>
  <si>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</si>
  <si>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</si>
  <si>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</si>
  <si>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</si>
  <si>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</si>
  <si>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</si>
  <si>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</si>
  <si>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</si>
  <si>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</si>
  <si>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</si>
  <si>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</si>
  <si>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</si>
  <si>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</si>
  <si>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</si>
  <si>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</si>
  <si>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</si>
  <si>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</si>
  <si>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</si>
  <si>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</si>
  <si>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</si>
  <si>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</si>
  <si>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</si>
  <si>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</si>
  <si>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</si>
  <si>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</si>
  <si>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</si>
  <si>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</si>
  <si>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</si>
  <si>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</si>
  <si>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</si>
  <si>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</si>
  <si>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</si>
  <si>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</si>
  <si>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</si>
  <si>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</si>
  <si>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</si>
  <si>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</si>
  <si>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</si>
  <si>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</si>
  <si>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</si>
  <si>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</si>
  <si>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</si>
  <si>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</si>
  <si>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</si>
  <si>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</si>
  <si>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</si>
  <si>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</si>
  <si>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</si>
  <si>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</si>
  <si>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</si>
  <si>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</si>
  <si>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</si>
  <si>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</si>
  <si>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</si>
  <si>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</si>
  <si>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</si>
  <si>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</si>
  <si>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</si>
  <si>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</si>
  <si>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</si>
  <si>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</si>
  <si>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</si>
  <si>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</si>
  <si>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</si>
  <si>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</si>
  <si>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</si>
  <si>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</si>
  <si>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</si>
  <si>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</si>
  <si>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</si>
  <si>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</si>
  <si>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</si>
  <si>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</si>
  <si>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</si>
  <si>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</si>
  <si>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</si>
  <si>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</si>
  <si>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</si>
  <si>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</si>
  <si>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</si>
  <si>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</si>
  <si>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</si>
  <si>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</si>
  <si>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</si>
  <si>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</si>
  <si>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</si>
  <si>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</si>
  <si>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</si>
  <si>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</si>
  <si>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</si>
  <si>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</si>
  <si>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</si>
  <si>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</si>
  <si>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</si>
  <si>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</si>
  <si>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</si>
  <si>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</si>
  <si>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</si>
  <si>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</si>
  <si>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</si>
  <si>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</si>
  <si>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</si>
  <si>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</si>
  <si>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</si>
  <si>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</si>
  <si>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</si>
  <si>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</si>
  <si>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</si>
  <si>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</si>
  <si>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</si>
  <si>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</si>
  <si>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</si>
  <si>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</si>
  <si>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</si>
  <si>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</si>
  <si>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</si>
  <si>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</si>
  <si>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</si>
  <si>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</si>
  <si>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</si>
  <si>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</si>
  <si>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</si>
  <si>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</si>
  <si>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</si>
  <si>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</si>
  <si>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</si>
  <si>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</si>
  <si>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</si>
  <si>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</si>
  <si>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</si>
  <si>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</si>
  <si>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</si>
  <si>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</si>
  <si>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</si>
  <si>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</si>
  <si>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</si>
  <si>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</si>
  <si>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</si>
  <si>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</si>
  <si>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</si>
  <si>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</si>
  <si>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</si>
  <si>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</si>
  <si>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</si>
  <si>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</si>
  <si>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</si>
  <si>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</si>
  <si>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</si>
  <si>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</si>
  <si>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</si>
  <si>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</si>
  <si>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</si>
  <si>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</si>
  <si>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</si>
  <si>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</si>
  <si>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</si>
  <si>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</si>
  <si>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</si>
  <si>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</si>
  <si>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</si>
  <si>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</si>
  <si>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</si>
  <si>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</si>
  <si>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</si>
  <si>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</si>
  <si>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</si>
  <si>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</si>
  <si>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</si>
  <si>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</si>
  <si>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</si>
  <si>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</si>
  <si>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</si>
  <si>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</si>
  <si>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</si>
  <si>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</si>
  <si>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</si>
  <si>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</si>
  <si>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</si>
  <si>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</si>
  <si>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</si>
  <si>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</si>
  <si>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</si>
  <si>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</si>
  <si>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</si>
  <si>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</si>
  <si>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</si>
  <si>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</si>
  <si>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</si>
  <si>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</si>
  <si>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</si>
  <si>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</si>
  <si>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</si>
  <si>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</si>
  <si>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</si>
  <si>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</si>
  <si>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</si>
  <si>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</si>
  <si>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</si>
  <si>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</si>
  <si>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</si>
  <si>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</si>
  <si>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</si>
  <si>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</si>
  <si>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</si>
  <si>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</si>
  <si>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</si>
  <si>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</si>
  <si>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</si>
  <si>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</si>
  <si>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</si>
  <si>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</si>
  <si>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</si>
  <si>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</si>
  <si>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</si>
  <si>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</si>
  <si>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</si>
  <si>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</si>
  <si>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</si>
  <si>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</si>
  <si>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</si>
  <si>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</si>
  <si>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</si>
  <si>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</si>
  <si>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</si>
  <si>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</si>
  <si>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</si>
  <si>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</si>
  <si>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</si>
  <si>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</si>
  <si>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</si>
  <si>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</si>
  <si>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</si>
  <si>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</si>
  <si>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</si>
  <si>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</si>
  <si>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</si>
  <si>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</si>
  <si>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</si>
  <si>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</si>
  <si>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</si>
  <si>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</si>
  <si>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</si>
  <si>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</si>
  <si>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</si>
  <si>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</si>
  <si>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</si>
  <si>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</si>
  <si>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</si>
  <si>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</si>
  <si>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</si>
  <si>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</si>
  <si>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</si>
  <si>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</si>
  <si>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</si>
  <si>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</si>
  <si>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</si>
  <si>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</si>
  <si>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</si>
  <si>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</si>
  <si>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</si>
  <si>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</si>
  <si>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</si>
  <si>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</si>
  <si>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</si>
  <si>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</si>
  <si>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</si>
  <si>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</si>
  <si>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</si>
  <si>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</si>
  <si>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</si>
  <si>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</si>
  <si>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</si>
  <si>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</si>
  <si>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</si>
  <si>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</si>
  <si>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</si>
  <si>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</si>
  <si>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</si>
  <si>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</si>
  <si>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</si>
  <si>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</si>
  <si>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</si>
  <si>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</si>
  <si>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</si>
  <si>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</si>
  <si>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</si>
  <si>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</si>
  <si>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</si>
  <si>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</si>
  <si>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</si>
  <si>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</si>
  <si>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</si>
  <si>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</si>
  <si>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</si>
  <si>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</si>
  <si>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</si>
  <si>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</si>
  <si>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</si>
  <si>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</si>
  <si>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</si>
  <si>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</si>
  <si>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</si>
  <si>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</si>
  <si>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</si>
  <si>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</si>
  <si>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</si>
  <si>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</si>
  <si>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</si>
  <si>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</si>
  <si>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</si>
  <si>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</si>
  <si>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</si>
  <si>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</si>
  <si>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</si>
  <si>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</si>
  <si>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</si>
  <si>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</si>
  <si>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</si>
  <si>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</si>
  <si>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</si>
  <si>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</si>
  <si>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</si>
  <si>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</si>
  <si>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</si>
  <si>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</si>
  <si>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</si>
  <si>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</si>
  <si>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</si>
  <si>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</si>
  <si>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</si>
  <si>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</si>
  <si>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</si>
  <si>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</si>
  <si>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</si>
  <si>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</si>
  <si>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</si>
  <si>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</si>
  <si>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</si>
  <si>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</si>
  <si>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</si>
  <si>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</si>
  <si>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</si>
  <si>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</si>
  <si>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</si>
  <si>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</si>
  <si>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</si>
  <si>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</si>
  <si>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</si>
  <si>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</si>
  <si>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</si>
  <si>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</si>
  <si>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</si>
  <si>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</si>
  <si>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</si>
  <si>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</si>
  <si>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</si>
  <si>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</si>
  <si>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</si>
  <si>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</si>
  <si>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</si>
  <si>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</si>
  <si>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</si>
  <si>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</si>
  <si>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</si>
  <si>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</si>
  <si>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</si>
  <si>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</si>
  <si>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</si>
  <si>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</si>
  <si>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</si>
  <si>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</si>
  <si>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</si>
  <si>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</si>
  <si>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</si>
  <si>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</si>
  <si>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</si>
  <si>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</si>
  <si>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</si>
  <si>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</si>
  <si>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</si>
  <si>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</si>
  <si>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</si>
  <si>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</si>
  <si>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</si>
  <si>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</si>
  <si>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</si>
  <si>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</si>
  <si>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</si>
  <si>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</si>
  <si>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</si>
  <si>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</si>
  <si>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</si>
  <si>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</si>
  <si>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</si>
  <si>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</si>
  <si>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</si>
  <si>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</si>
  <si>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</si>
  <si>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</si>
  <si>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</si>
  <si>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</si>
  <si>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</si>
  <si>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</si>
  <si>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</si>
  <si>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</si>
  <si>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</si>
  <si>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</si>
  <si>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</si>
  <si>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</si>
  <si>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</si>
  <si>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</si>
  <si>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</si>
  <si>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</si>
  <si>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</si>
  <si>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</si>
  <si>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</si>
  <si>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</si>
  <si>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</si>
  <si>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</si>
  <si>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</si>
  <si>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</si>
  <si>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</si>
  <si>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</si>
  <si>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</si>
  <si>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</si>
  <si>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</si>
  <si>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</si>
  <si>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</si>
  <si>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</si>
  <si>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</si>
  <si>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</si>
  <si>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</si>
  <si>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</si>
  <si>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</si>
  <si>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</si>
  <si>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</si>
  <si>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</si>
  <si>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</si>
  <si>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</si>
  <si>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</si>
  <si>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</si>
  <si>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</si>
  <si>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</si>
  <si>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</si>
  <si>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</si>
  <si>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</si>
  <si>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</si>
  <si>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</si>
  <si>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</si>
  <si>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</si>
  <si>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</si>
  <si>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</si>
  <si>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</si>
  <si>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</si>
  <si>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</si>
  <si>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</si>
  <si>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</si>
  <si>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</si>
  <si>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</si>
  <si>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</si>
  <si>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</si>
  <si>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</si>
  <si>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</si>
  <si>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</si>
  <si>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</si>
  <si>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</si>
  <si>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</si>
  <si>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</si>
  <si>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</si>
  <si>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</si>
  <si>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</si>
  <si>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</si>
  <si>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</si>
  <si>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</si>
  <si>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</si>
  <si>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</si>
  <si>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</si>
  <si>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</si>
  <si>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</si>
  <si>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</si>
  <si>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</si>
  <si>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</si>
  <si>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</si>
  <si>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</si>
  <si>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</si>
  <si>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</si>
  <si>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</si>
  <si>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</si>
  <si>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</si>
  <si>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</si>
  <si>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</si>
  <si>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</si>
  <si>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</si>
  <si>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</si>
  <si>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</si>
  <si>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</si>
  <si>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</si>
  <si>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</si>
  <si>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</si>
  <si>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</si>
  <si>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</si>
  <si>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</si>
  <si>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</si>
  <si>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</si>
  <si>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</si>
  <si>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</si>
  <si>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</si>
  <si>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</si>
  <si>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</si>
  <si>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</si>
  <si>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</si>
  <si>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</si>
  <si>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</si>
  <si>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</si>
  <si>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</si>
  <si>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</si>
  <si>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</si>
  <si>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</si>
  <si>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</si>
  <si>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</si>
  <si>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</si>
  <si>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</si>
  <si>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</si>
  <si>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</si>
  <si>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</si>
  <si>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</si>
  <si>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</si>
  <si>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</si>
  <si>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</si>
  <si>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</si>
  <si>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</si>
  <si>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</si>
  <si>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</si>
  <si>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</si>
  <si>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</si>
  <si>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</si>
  <si>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</si>
  <si>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</si>
  <si>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</si>
  <si>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</si>
  <si>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</si>
  <si>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</si>
  <si>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</si>
  <si>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</si>
  <si>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</si>
  <si>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</si>
  <si>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</si>
  <si>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</si>
  <si>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</si>
  <si>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</si>
  <si>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</si>
  <si>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</si>
  <si>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</si>
  <si>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</si>
  <si>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</si>
  <si>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</si>
  <si>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</si>
  <si>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</si>
  <si>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</si>
  <si>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</si>
  <si>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</si>
  <si>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</si>
  <si>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</si>
  <si>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</si>
  <si>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</si>
  <si>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</si>
  <si>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</si>
  <si>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</si>
  <si>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</si>
  <si>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</si>
  <si>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</si>
  <si>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</si>
  <si>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</si>
  <si>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</si>
  <si>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</si>
  <si>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</si>
  <si>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</si>
  <si>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</si>
  <si>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</si>
  <si>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</si>
  <si>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</si>
  <si>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</si>
  <si>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</si>
  <si>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</si>
  <si>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</si>
  <si>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</si>
  <si>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</si>
  <si>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</si>
  <si>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</si>
  <si>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</si>
  <si>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</si>
  <si>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</si>
  <si>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</si>
  <si>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</si>
  <si>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</si>
  <si>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</si>
  <si>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</si>
  <si>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</si>
  <si>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</si>
  <si>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</si>
  <si>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</si>
  <si>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</si>
  <si>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</si>
  <si>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</si>
  <si>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</si>
  <si>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</si>
  <si>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</si>
  <si>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</si>
  <si>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</si>
  <si>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</si>
  <si>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</si>
  <si>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</si>
  <si>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</si>
  <si>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</si>
  <si>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</si>
  <si>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</si>
  <si>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</si>
  <si>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</si>
  <si>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</si>
  <si>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</si>
  <si>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</si>
  <si>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</si>
  <si>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</si>
  <si>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</si>
  <si>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</si>
  <si>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</si>
  <si>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</si>
  <si>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</si>
  <si>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</si>
  <si>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</si>
  <si>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</si>
  <si>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</si>
  <si>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</si>
  <si>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</si>
  <si>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</si>
  <si>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</si>
  <si>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</si>
  <si>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</si>
  <si>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</si>
  <si>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</si>
  <si>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</si>
  <si>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</si>
  <si>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</si>
  <si>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</si>
  <si>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</si>
  <si>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</si>
  <si>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</si>
  <si>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</si>
  <si>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</si>
  <si>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</si>
  <si>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</si>
  <si>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</si>
  <si>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</si>
  <si>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</si>
  <si>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</si>
  <si>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</si>
  <si>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</si>
  <si>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</si>
  <si>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</si>
  <si>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</si>
  <si>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</si>
  <si>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</si>
  <si>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</si>
  <si>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</si>
  <si>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</si>
  <si>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</si>
  <si>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</si>
  <si>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</si>
  <si>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</si>
  <si>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</si>
  <si>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</si>
  <si>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</si>
  <si>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</si>
  <si>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</si>
  <si>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</si>
  <si>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</si>
  <si>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</si>
  <si>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</si>
  <si>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</si>
  <si>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</si>
  <si>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</si>
  <si>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</si>
  <si>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</si>
  <si>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</si>
  <si>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</si>
  <si>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</si>
  <si>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</si>
  <si>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</si>
  <si>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</si>
  <si>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</si>
  <si>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</si>
  <si>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</si>
  <si>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</si>
  <si>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</si>
  <si>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</si>
  <si>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</si>
  <si>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</si>
  <si>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</si>
  <si>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</si>
  <si>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</si>
  <si>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</si>
  <si>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</si>
  <si>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</si>
  <si>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</si>
  <si>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</si>
  <si>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</si>
  <si>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</si>
  <si>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</si>
  <si>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</si>
  <si>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</si>
  <si>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</si>
  <si>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</si>
  <si>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</si>
  <si>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</si>
  <si>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</si>
  <si>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</si>
  <si>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</si>
  <si>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</si>
  <si>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</si>
  <si>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</si>
  <si>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</si>
  <si>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</si>
  <si>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</si>
  <si>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</si>
  <si>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</si>
  <si>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</si>
  <si>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</si>
  <si>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</si>
  <si>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</si>
  <si>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</si>
  <si>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</si>
  <si>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</si>
  <si>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</si>
  <si>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</si>
  <si>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</si>
  <si>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</si>
  <si>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</si>
  <si>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</si>
  <si>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</si>
  <si>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</si>
  <si>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</si>
  <si>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</si>
  <si>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</si>
  <si>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</si>
  <si>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</si>
  <si>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</si>
  <si>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</si>
  <si>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</si>
  <si>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</si>
  <si>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</si>
  <si>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</si>
  <si>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</si>
  <si>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</si>
  <si>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</si>
  <si>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</si>
  <si>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</si>
  <si>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</si>
  <si>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</si>
  <si>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</si>
  <si>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</si>
  <si>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</si>
  <si>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</si>
  <si>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</si>
  <si>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</si>
  <si>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</si>
  <si>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</si>
  <si>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</si>
  <si>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</si>
  <si>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</si>
  <si>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</si>
  <si>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</si>
  <si>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</si>
  <si>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</si>
  <si>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</si>
  <si>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</si>
  <si>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</si>
  <si>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</si>
  <si>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</si>
  <si>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</si>
  <si>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</si>
  <si>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</si>
  <si>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</si>
  <si>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</si>
  <si>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</si>
  <si>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</si>
  <si>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</si>
  <si>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</si>
  <si>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</si>
  <si>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</si>
  <si>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</si>
  <si>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</si>
  <si>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</si>
  <si>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</si>
  <si>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</si>
  <si>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</si>
  <si>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</si>
  <si>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</si>
  <si>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</si>
  <si>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</si>
  <si>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</si>
  <si>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</si>
  <si>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</si>
  <si>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</si>
  <si>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</si>
  <si>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</si>
  <si>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</si>
  <si>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</si>
  <si>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</si>
  <si>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</si>
  <si>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</si>
  <si>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</si>
  <si>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</si>
  <si>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</si>
  <si>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</si>
  <si>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</si>
  <si>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</si>
  <si>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</si>
  <si>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</si>
  <si>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</si>
  <si>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</si>
  <si>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</si>
  <si>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</si>
  <si>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</si>
  <si>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</si>
  <si>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</si>
  <si>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</si>
  <si>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</si>
  <si>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</si>
  <si>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</si>
  <si>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</si>
  <si>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</si>
  <si>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</si>
  <si>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</si>
  <si>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</si>
  <si>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</si>
  <si>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</si>
  <si>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</si>
  <si>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</si>
  <si>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</si>
  <si>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</si>
  <si>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</si>
  <si>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</si>
  <si>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</si>
  <si>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</si>
  <si>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</si>
  <si>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</si>
  <si>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</si>
  <si>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</si>
  <si>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</si>
  <si>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</si>
  <si>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</si>
  <si>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</si>
  <si>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</si>
  <si>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</si>
  <si>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</si>
  <si>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</si>
  <si>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</si>
  <si>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</si>
  <si>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</si>
  <si>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</si>
  <si>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</si>
  <si>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</si>
  <si>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</si>
  <si>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</si>
  <si>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</si>
  <si>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</si>
  <si>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</si>
  <si>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</si>
  <si>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</si>
  <si>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</si>
  <si>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</si>
  <si>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</si>
  <si>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</si>
  <si>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</si>
  <si>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</si>
  <si>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</si>
  <si>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</si>
  <si>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</si>
  <si>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</si>
  <si>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</si>
  <si>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</si>
  <si>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</si>
  <si>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</si>
  <si>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</si>
  <si>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</si>
  <si>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</si>
  <si>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</si>
  <si>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</si>
  <si>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</si>
  <si>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</si>
  <si>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</si>
  <si>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</si>
  <si>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</si>
  <si>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</si>
  <si>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</si>
  <si>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</si>
  <si>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</si>
  <si>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</si>
  <si>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</si>
  <si>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</si>
  <si>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</si>
  <si>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</si>
  <si>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</si>
  <si>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</si>
  <si>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</si>
  <si>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</si>
  <si>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</si>
  <si>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</si>
  <si>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</si>
  <si>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</si>
  <si>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</si>
  <si>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</si>
  <si>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</si>
  <si>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</si>
  <si>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</si>
  <si>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</si>
  <si>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</si>
  <si>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</si>
  <si>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</si>
  <si>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</si>
  <si>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</si>
  <si>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</si>
  <si>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</si>
  <si>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</si>
  <si>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</si>
  <si>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</si>
  <si>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</si>
  <si>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</si>
  <si>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</si>
  <si>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</si>
  <si>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</si>
  <si>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</si>
  <si>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</si>
  <si>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</si>
  <si>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</si>
  <si>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</si>
  <si>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</si>
  <si>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</si>
  <si>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</si>
  <si>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</si>
  <si>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</si>
  <si>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</si>
  <si>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</si>
  <si>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</si>
  <si>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</si>
  <si>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</si>
  <si>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</si>
  <si>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</si>
  <si>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</si>
  <si>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</si>
  <si>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</si>
  <si>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</si>
  <si>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</si>
  <si>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</si>
  <si>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</si>
  <si>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</si>
  <si>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</si>
  <si>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</si>
  <si>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</si>
  <si>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</si>
  <si>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</si>
  <si>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</si>
  <si>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</si>
  <si>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</si>
  <si>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</si>
  <si>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</si>
  <si>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</si>
  <si>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</si>
  <si>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</si>
  <si>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</si>
  <si>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</si>
  <si>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</si>
  <si>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</si>
  <si>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</si>
  <si>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</si>
  <si>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</si>
  <si>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</si>
  <si>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</si>
  <si>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</si>
  <si>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</si>
  <si>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</si>
  <si>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</si>
  <si>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</si>
  <si>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</si>
  <si>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</si>
  <si>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</si>
  <si>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</si>
  <si>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</si>
  <si>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</si>
  <si>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</si>
  <si>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</si>
  <si>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</si>
  <si>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</si>
  <si>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</si>
  <si>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</si>
  <si>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</si>
  <si>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</si>
  <si>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</si>
  <si>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</si>
  <si>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</si>
  <si>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</si>
  <si>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</si>
  <si>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</si>
  <si>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</si>
  <si>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</si>
  <si>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</si>
  <si>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</si>
  <si>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</si>
  <si>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</si>
  <si>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</si>
  <si>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</si>
  <si>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</si>
  <si>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</si>
  <si>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</si>
  <si>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</si>
  <si>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</si>
  <si>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</si>
  <si>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</si>
  <si>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</si>
  <si>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</si>
  <si>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</si>
  <si>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</si>
  <si>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</si>
  <si>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</si>
  <si>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</si>
  <si>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</si>
  <si>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</si>
  <si>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</si>
  <si>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</si>
  <si>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</si>
  <si>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</si>
  <si>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</si>
  <si>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</si>
  <si>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</si>
  <si>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</si>
  <si>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</si>
  <si>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</si>
  <si>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</si>
  <si>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</si>
  <si>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</si>
  <si>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</si>
  <si>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</si>
  <si>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</si>
  <si>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</si>
  <si>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</si>
  <si>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</si>
  <si>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</si>
  <si>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</si>
  <si>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</si>
  <si>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</si>
  <si>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</si>
  <si>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</si>
  <si>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</si>
  <si>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</si>
  <si>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</si>
  <si>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</si>
  <si>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</si>
  <si>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</si>
  <si>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</si>
  <si>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</si>
  <si>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</si>
  <si>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</si>
  <si>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</si>
  <si>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</si>
  <si>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</si>
  <si>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</si>
  <si>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</si>
  <si>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</si>
  <si>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</si>
  <si>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</si>
  <si>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</si>
  <si>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</si>
  <si>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</si>
  <si>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</si>
  <si>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</si>
  <si>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</si>
  <si>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</si>
  <si>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</si>
  <si>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</si>
  <si>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</si>
  <si>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</si>
  <si>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</si>
  <si>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</si>
  <si>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</si>
  <si>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</si>
  <si>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</si>
  <si>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</si>
  <si>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</si>
  <si>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</si>
  <si>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</si>
  <si>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</si>
  <si>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</si>
  <si>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</si>
  <si>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</si>
  <si>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</si>
  <si>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</si>
  <si>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</si>
  <si>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</si>
  <si>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</si>
  <si>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</si>
  <si>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</si>
  <si>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</si>
  <si>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</si>
  <si>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</si>
  <si>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</si>
  <si>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</si>
  <si>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</si>
  <si>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</si>
  <si>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</si>
  <si>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</si>
  <si>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</si>
  <si>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</si>
  <si>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</si>
  <si>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</si>
  <si>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</si>
  <si>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</si>
  <si>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</si>
  <si>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</si>
  <si>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</si>
  <si>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</si>
  <si>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</si>
  <si>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</si>
  <si>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</si>
  <si>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</si>
  <si>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</si>
  <si>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</si>
  <si>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</si>
  <si>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</si>
  <si>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</si>
  <si>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</si>
  <si>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</si>
  <si>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</si>
  <si>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</si>
  <si>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</si>
  <si>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</si>
  <si>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</si>
  <si>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</si>
  <si>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</si>
  <si>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</si>
  <si>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</si>
  <si>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</si>
  <si>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</si>
  <si>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</si>
  <si>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</si>
  <si>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</si>
  <si>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</si>
  <si>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</si>
  <si>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</si>
  <si>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</si>
  <si>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</si>
  <si>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</si>
  <si>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</si>
  <si>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</si>
  <si>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</si>
  <si>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</si>
  <si>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</si>
  <si>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</si>
  <si>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</si>
  <si>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</si>
  <si>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</si>
  <si>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</si>
  <si>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</si>
  <si>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</si>
  <si>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</si>
  <si>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</si>
  <si>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</si>
  <si>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</si>
  <si>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</si>
  <si>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</si>
  <si>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</si>
  <si>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</si>
  <si>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</si>
  <si>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</si>
  <si>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</si>
  <si>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</si>
  <si>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</si>
  <si>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</si>
  <si>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</si>
  <si>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</si>
  <si>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</si>
  <si>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</si>
  <si>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</si>
  <si>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</si>
  <si>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</si>
  <si>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</si>
  <si>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</si>
  <si>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</si>
  <si>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</si>
  <si>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</si>
  <si>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</si>
  <si>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</si>
  <si>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</si>
  <si>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</si>
  <si>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</si>
  <si>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</si>
  <si>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</si>
  <si>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</si>
  <si>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</si>
  <si>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</si>
  <si>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</si>
  <si>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</si>
  <si>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</si>
  <si>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</si>
  <si>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</si>
  <si>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</si>
  <si>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</si>
  <si>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</si>
  <si>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</si>
  <si>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</si>
  <si>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</si>
  <si>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</si>
  <si>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</si>
  <si>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</si>
  <si>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</si>
  <si>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</si>
  <si>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</si>
  <si>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</si>
  <si>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</si>
  <si>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</si>
  <si>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</si>
  <si>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</si>
  <si>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</si>
  <si>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</si>
  <si>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</si>
  <si>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</si>
  <si>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</si>
  <si>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</si>
  <si>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</si>
  <si>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</si>
  <si>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</si>
  <si>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</si>
  <si>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</si>
  <si>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</si>
  <si>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</si>
  <si>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</si>
  <si>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</si>
  <si>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</si>
  <si>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</si>
  <si>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</si>
  <si>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</si>
  <si>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</si>
  <si>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</si>
  <si>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</si>
  <si>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</si>
  <si>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</si>
  <si>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</si>
  <si>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</si>
  <si>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</si>
  <si>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</si>
  <si>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</si>
  <si>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</si>
  <si>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</si>
  <si>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</si>
  <si>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</si>
  <si>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</si>
  <si>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</si>
  <si>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</si>
  <si>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</si>
  <si>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</si>
  <si>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</si>
  <si>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</si>
  <si>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</si>
  <si>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</si>
  <si>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</si>
  <si>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</si>
  <si>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</si>
  <si>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</si>
  <si>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</si>
  <si>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</si>
  <si>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</si>
  <si>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</si>
  <si>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</si>
  <si>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</si>
  <si>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</si>
  <si>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</si>
  <si>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</si>
  <si>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</si>
  <si>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</si>
  <si>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</si>
  <si>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</si>
  <si>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</si>
  <si>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</si>
  <si>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</si>
  <si>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</si>
  <si>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</si>
  <si>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</si>
  <si>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</si>
  <si>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</si>
  <si>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</si>
  <si>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</si>
  <si>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</si>
  <si>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</si>
  <si>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</si>
  <si>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</si>
  <si>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</si>
  <si>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</si>
  <si>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</si>
  <si>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</si>
  <si>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</si>
  <si>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</si>
  <si>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</si>
  <si>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</si>
  <si>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</si>
  <si>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</si>
  <si>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</si>
  <si>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</si>
  <si>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</si>
  <si>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</si>
  <si>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</si>
  <si>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</si>
  <si>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</si>
  <si>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</si>
  <si>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</si>
  <si>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</si>
  <si>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</si>
  <si>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</si>
  <si>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</si>
  <si>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</si>
  <si>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</si>
  <si>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</si>
  <si>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</si>
  <si>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</si>
  <si>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</si>
  <si>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</si>
  <si>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</si>
  <si>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</si>
  <si>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</si>
  <si>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</si>
  <si>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</si>
  <si>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</si>
  <si>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</si>
  <si>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</si>
  <si>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</si>
  <si>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</si>
  <si>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</si>
  <si>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</si>
  <si>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</si>
  <si>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</si>
  <si>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</si>
  <si>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</si>
  <si>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</si>
  <si>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</si>
  <si>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</si>
  <si>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</si>
  <si>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</si>
  <si>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</si>
  <si>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</si>
  <si>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</si>
  <si>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</si>
  <si>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</si>
  <si>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</si>
  <si>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</si>
  <si>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</si>
  <si>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</si>
  <si>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</si>
  <si>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</si>
  <si>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</si>
  <si>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</si>
  <si>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</si>
  <si>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</si>
  <si>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</si>
  <si>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</si>
  <si>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</si>
  <si>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</si>
  <si>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</si>
  <si>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</si>
  <si>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</si>
  <si>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</si>
  <si>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</si>
  <si>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</si>
  <si>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</si>
  <si>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</si>
  <si>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</si>
  <si>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</si>
  <si>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</si>
  <si>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</si>
  <si>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</si>
  <si>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</si>
  <si>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</si>
  <si>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</si>
  <si>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</si>
  <si>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</si>
  <si>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</si>
  <si>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</si>
  <si>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</si>
  <si>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</si>
  <si>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</si>
  <si>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</si>
  <si>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</si>
  <si>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</si>
  <si>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</si>
  <si>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</si>
  <si>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</si>
  <si>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</si>
  <si>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</si>
  <si>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</si>
  <si>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</si>
  <si>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</si>
  <si>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</si>
  <si>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</si>
  <si>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</si>
  <si>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</si>
  <si>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</si>
  <si>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</si>
  <si>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</si>
  <si>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</si>
  <si>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</si>
  <si>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</si>
  <si>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</si>
  <si>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</si>
  <si>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</si>
  <si>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</si>
  <si>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</si>
  <si>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</si>
  <si>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</si>
  <si>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</si>
  <si>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</si>
  <si>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</si>
  <si>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</si>
  <si>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</si>
  <si>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</si>
  <si>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</si>
  <si>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</si>
  <si>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</si>
  <si>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</si>
  <si>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</si>
  <si>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</si>
  <si>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</si>
  <si>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</si>
  <si>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</si>
  <si>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</si>
  <si>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</si>
  <si>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</si>
  <si>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</si>
  <si>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</si>
  <si>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</si>
  <si>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</si>
  <si>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</si>
  <si>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</si>
  <si>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</si>
  <si>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</si>
  <si>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</si>
  <si>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</si>
  <si>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</si>
  <si>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</si>
  <si>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</si>
  <si>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</si>
  <si>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</si>
  <si>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</si>
  <si>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</si>
  <si>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</si>
  <si>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</si>
  <si>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</si>
  <si>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</si>
  <si>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</si>
  <si>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</si>
  <si>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</si>
  <si>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</si>
  <si>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</si>
  <si>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</si>
  <si>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</si>
  <si>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</si>
  <si>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</si>
  <si>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</si>
  <si>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</si>
  <si>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</si>
  <si>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</si>
  <si>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</si>
  <si>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</si>
  <si>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</si>
  <si>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</si>
  <si>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</si>
  <si>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</si>
  <si>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</si>
  <si>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</si>
  <si>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</si>
  <si>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</si>
  <si>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</si>
  <si>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</si>
  <si>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</si>
  <si>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</si>
  <si>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</si>
  <si>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</si>
  <si>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</si>
  <si>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</si>
  <si>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</si>
  <si>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</si>
  <si>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</si>
  <si>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</si>
  <si>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</si>
  <si>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</si>
  <si>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</si>
  <si>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</si>
  <si>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</si>
  <si>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</si>
  <si>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</si>
  <si>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</si>
  <si>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</si>
  <si>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</si>
  <si>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</si>
  <si>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</si>
  <si>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</si>
  <si>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</si>
  <si>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</si>
  <si>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</si>
  <si>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</si>
  <si>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</si>
  <si>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</si>
  <si>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</si>
  <si>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</si>
  <si>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</si>
  <si>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</si>
  <si>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</si>
  <si>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</si>
  <si>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</si>
  <si>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</si>
  <si>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</si>
  <si>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</si>
  <si>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</si>
  <si>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</si>
  <si>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</si>
  <si>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</si>
  <si>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</si>
  <si>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</si>
  <si>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</si>
  <si>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</si>
  <si>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</si>
  <si>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</si>
  <si>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</si>
  <si>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</si>
  <si>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</si>
  <si>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</si>
  <si>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</si>
  <si>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</si>
  <si>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</si>
  <si>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</si>
  <si>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</si>
  <si>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</si>
  <si>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</si>
  <si>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</si>
  <si>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</si>
  <si>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</si>
  <si>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</si>
  <si>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</si>
  <si>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</si>
  <si>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</si>
  <si>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</si>
  <si>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</si>
  <si>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</si>
  <si>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</si>
  <si>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</si>
  <si>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</si>
  <si>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</si>
  <si>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</si>
  <si>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</si>
  <si>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</si>
  <si>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</si>
  <si>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</si>
  <si>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</si>
  <si>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</si>
  <si>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</si>
  <si>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</si>
  <si>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</si>
  <si>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</si>
  <si>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</si>
  <si>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</si>
  <si>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</si>
  <si>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</si>
  <si>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</si>
  <si>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</si>
  <si>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</si>
  <si>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</si>
  <si>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</si>
  <si>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</si>
  <si>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</si>
  <si>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</si>
  <si>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</si>
  <si>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</si>
  <si>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</si>
  <si>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</si>
  <si>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</si>
  <si>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</si>
  <si>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</si>
  <si>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</si>
  <si>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</si>
  <si>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</si>
  <si>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</si>
  <si>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</si>
  <si>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</si>
  <si>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</si>
  <si>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</si>
  <si>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</si>
  <si>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</si>
  <si>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</si>
  <si>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</si>
  <si>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</si>
  <si>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</si>
  <si>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</si>
  <si>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</si>
  <si>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</si>
  <si>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</si>
  <si>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</si>
  <si>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</si>
  <si>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</si>
  <si>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</si>
  <si>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</si>
  <si>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</si>
  <si>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</si>
  <si>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</si>
  <si>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</si>
  <si>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</si>
  <si>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</si>
  <si>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</si>
  <si>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</si>
  <si>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</si>
  <si>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</si>
  <si>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</si>
  <si>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</si>
  <si>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</si>
  <si>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</si>
  <si>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</si>
  <si>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</si>
  <si>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</si>
  <si>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</si>
  <si>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</si>
  <si>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</si>
  <si>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</si>
  <si>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</si>
  <si>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</si>
  <si>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</si>
  <si>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</si>
  <si>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</si>
  <si>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</si>
  <si>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</si>
  <si>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</si>
  <si>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</si>
  <si>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</si>
  <si>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</si>
  <si>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</si>
  <si>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</si>
  <si>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</si>
  <si>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</si>
  <si>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</si>
  <si>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</si>
  <si>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</si>
  <si>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</si>
  <si>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</si>
  <si>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</si>
  <si>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</si>
  <si>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</si>
  <si>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</si>
  <si>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</si>
  <si>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</si>
  <si>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</si>
  <si>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</si>
  <si>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</si>
  <si>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</si>
  <si>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</si>
  <si>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</si>
  <si>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</si>
  <si>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</si>
  <si>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</si>
  <si>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</si>
  <si>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</si>
  <si>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</si>
  <si>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</si>
  <si>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</si>
  <si>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</si>
  <si>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</si>
  <si>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</si>
  <si>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</si>
  <si>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</si>
  <si>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</si>
  <si>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</si>
  <si>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</si>
  <si>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</si>
  <si>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</si>
  <si>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</si>
  <si>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</si>
  <si>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</si>
  <si>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</si>
  <si>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</si>
  <si>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</si>
  <si>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</si>
  <si>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</si>
  <si>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</si>
  <si>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</si>
  <si>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</si>
  <si>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</si>
  <si>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</si>
  <si>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</si>
  <si>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</si>
  <si>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</si>
  <si>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</si>
  <si>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</si>
  <si>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</si>
  <si>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</si>
  <si>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</si>
  <si>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</si>
  <si>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</si>
  <si>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</si>
  <si>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</si>
  <si>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</si>
  <si>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</si>
  <si>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</si>
  <si>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</si>
  <si>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</si>
  <si>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</si>
  <si>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</si>
  <si>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</si>
  <si>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</si>
  <si>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</si>
  <si>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</si>
  <si>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</si>
  <si>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</si>
  <si>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</si>
  <si>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</si>
  <si>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</si>
  <si>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</si>
  <si>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</si>
  <si>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</si>
  <si>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</si>
  <si>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</si>
  <si>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</si>
  <si>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</si>
  <si>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</si>
  <si>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</si>
  <si>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</si>
  <si>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</si>
  <si>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</si>
  <si>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</si>
  <si>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</si>
  <si>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</si>
  <si>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</si>
  <si>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</si>
  <si>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</si>
  <si>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</si>
  <si>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</si>
  <si>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</si>
  <si>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</si>
  <si>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</si>
  <si>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</si>
  <si>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</si>
  <si>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</si>
  <si>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</si>
  <si>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</si>
  <si>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</si>
  <si>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</si>
  <si>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</si>
  <si>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</si>
  <si>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</si>
  <si>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</si>
  <si>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</si>
  <si>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</si>
  <si>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</si>
  <si>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</si>
  <si>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</si>
  <si>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</si>
  <si>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</si>
  <si>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</si>
  <si>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</si>
  <si>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</si>
  <si>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</si>
  <si>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</si>
  <si>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</si>
  <si>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</si>
  <si>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</si>
  <si>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</si>
  <si>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</si>
  <si>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</si>
  <si>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</si>
  <si>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</si>
  <si>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</si>
  <si>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</si>
  <si>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</si>
  <si>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</si>
  <si>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</si>
  <si>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</si>
  <si>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</si>
  <si>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</si>
  <si>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</si>
  <si>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</si>
  <si>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</si>
  <si>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</si>
  <si>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</si>
  <si>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</si>
  <si>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</si>
  <si>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</si>
  <si>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</si>
  <si>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</si>
  <si>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</si>
  <si>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</si>
  <si>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</si>
  <si>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</si>
  <si>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</si>
  <si>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</si>
  <si>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</si>
  <si>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</si>
  <si>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</si>
  <si>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</si>
  <si>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</si>
  <si>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</si>
  <si>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</si>
  <si>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</si>
  <si>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</si>
  <si>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</si>
  <si>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</si>
  <si>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</si>
  <si>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</si>
  <si>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</si>
  <si>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</si>
  <si>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</si>
  <si>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</si>
  <si>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</si>
  <si>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</si>
  <si>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</si>
  <si>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</si>
  <si>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</si>
  <si>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</si>
  <si>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</si>
  <si>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</si>
  <si>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</si>
  <si>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</si>
  <si>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</si>
  <si>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</si>
  <si>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</si>
  <si>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</si>
  <si>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</si>
  <si>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</si>
  <si>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</si>
  <si>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</si>
  <si>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</si>
  <si>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</si>
  <si>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</si>
  <si>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</si>
  <si>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</si>
  <si>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</si>
  <si>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</si>
  <si>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</si>
  <si>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</si>
  <si>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</si>
  <si>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</si>
  <si>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</si>
  <si>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</si>
  <si>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</si>
  <si>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</si>
  <si>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</si>
  <si>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</si>
  <si>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</si>
  <si>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</si>
  <si>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</si>
  <si>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</si>
  <si>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</si>
  <si>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</si>
  <si>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</si>
  <si>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</si>
  <si>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</si>
  <si>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</si>
  <si>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</si>
  <si>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</si>
  <si>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</si>
  <si>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</si>
  <si>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</si>
  <si>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</si>
  <si>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</si>
  <si>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</si>
  <si>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</si>
  <si>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</si>
  <si>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</si>
  <si>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</si>
  <si>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</si>
  <si>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</si>
  <si>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</si>
  <si>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</si>
  <si>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</si>
  <si>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</si>
  <si>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</si>
  <si>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</si>
  <si>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</si>
  <si>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</si>
  <si>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</si>
  <si>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</si>
  <si>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</si>
  <si>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</si>
  <si>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</si>
  <si>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</si>
  <si>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</si>
  <si>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</si>
  <si>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</si>
  <si>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</si>
  <si>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</si>
  <si>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</si>
  <si>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</si>
  <si>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</si>
  <si>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</si>
  <si>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</si>
  <si>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</si>
  <si>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</si>
  <si>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</si>
  <si>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</si>
  <si>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</si>
  <si>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</si>
  <si>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</si>
  <si>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</si>
  <si>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</si>
  <si>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</si>
  <si>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</si>
  <si>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</si>
  <si>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</si>
  <si>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</si>
  <si>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</si>
  <si>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</si>
  <si>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</si>
  <si>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</si>
  <si>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</si>
  <si>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</si>
  <si>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</si>
  <si>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</si>
  <si>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</si>
  <si>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</si>
  <si>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</si>
  <si>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</si>
  <si>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</si>
  <si>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</si>
  <si>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</si>
  <si>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</si>
  <si>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</si>
  <si>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</si>
  <si>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</si>
  <si>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</si>
  <si>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</si>
  <si>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</si>
  <si>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</si>
  <si>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</si>
  <si>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</si>
  <si>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</si>
  <si>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</si>
  <si>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</si>
  <si>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</si>
  <si>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</si>
  <si>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</si>
  <si>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</si>
  <si>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</si>
  <si>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</si>
  <si>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</si>
  <si>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</si>
  <si>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</si>
  <si>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</si>
  <si>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</si>
  <si>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</si>
  <si>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</si>
  <si>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</si>
  <si>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</si>
  <si>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</si>
  <si>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</si>
  <si>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</si>
  <si>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</si>
  <si>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</si>
  <si>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</si>
  <si>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</si>
  <si>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</si>
  <si>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</si>
  <si>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</si>
  <si>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</si>
  <si>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</si>
  <si>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</si>
  <si>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</si>
  <si>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</si>
  <si>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</si>
  <si>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</si>
  <si>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</si>
  <si>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</si>
  <si>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</si>
  <si>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</si>
  <si>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</si>
  <si>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</si>
  <si>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</si>
  <si>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</si>
  <si>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</si>
  <si>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</si>
  <si>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</si>
  <si>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</si>
  <si>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</si>
  <si>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</si>
  <si>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</si>
  <si>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</si>
  <si>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</si>
  <si>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</si>
  <si>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</si>
  <si>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</si>
  <si>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</si>
  <si>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</si>
  <si>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</si>
  <si>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</si>
  <si>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</si>
  <si>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</si>
  <si>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</si>
  <si>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</si>
  <si>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</si>
  <si>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</si>
  <si>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</si>
  <si>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</si>
  <si>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</si>
  <si>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</si>
  <si>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</si>
  <si>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</si>
  <si>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</si>
  <si>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</si>
  <si>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</si>
  <si>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</si>
  <si>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</si>
  <si>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</si>
  <si>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</si>
  <si>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</si>
  <si>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</si>
  <si>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</si>
  <si>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</si>
  <si>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</si>
  <si>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</si>
  <si>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</si>
  <si>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</si>
  <si>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</si>
  <si>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</si>
  <si>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</si>
  <si>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</si>
  <si>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</si>
  <si>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</si>
  <si>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</si>
  <si>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</si>
  <si>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</si>
  <si>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</si>
  <si>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</si>
  <si>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</si>
  <si>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</si>
  <si>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</si>
  <si>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</si>
  <si>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</si>
  <si>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</si>
  <si>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</si>
  <si>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</si>
  <si>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</si>
  <si>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</si>
  <si>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</si>
  <si>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</si>
  <si>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</si>
  <si>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</si>
  <si>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</si>
  <si>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</si>
  <si>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</si>
  <si>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</si>
  <si>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</si>
  <si>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</si>
  <si>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</si>
  <si>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</si>
  <si>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</si>
  <si>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</si>
  <si>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</si>
  <si>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</si>
  <si>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</si>
  <si>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</si>
  <si>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</si>
  <si>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</si>
  <si>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</si>
  <si>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</si>
  <si>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</si>
  <si>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</si>
  <si>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</si>
  <si>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</si>
  <si>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</si>
  <si>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</si>
  <si>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</si>
  <si>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</si>
  <si>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</si>
  <si>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</si>
  <si>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</si>
  <si>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</si>
  <si>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</si>
  <si>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</si>
  <si>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</si>
  <si>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</si>
  <si>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</si>
  <si>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</si>
  <si>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</si>
  <si>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</si>
  <si>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</si>
  <si>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</si>
  <si>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</si>
  <si>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</si>
  <si>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</si>
  <si>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</si>
  <si>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</si>
  <si>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</si>
  <si>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</si>
  <si>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</si>
  <si>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</si>
  <si>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</si>
  <si>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</si>
  <si>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</si>
  <si>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</si>
  <si>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</si>
  <si>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</si>
  <si>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</si>
  <si>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</si>
  <si>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</si>
  <si>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</si>
  <si>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</si>
  <si>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</si>
  <si>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</si>
  <si>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</si>
  <si>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</si>
  <si>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</si>
  <si>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</si>
  <si>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</si>
  <si>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</si>
  <si>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</si>
  <si>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</si>
  <si>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</si>
  <si>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</si>
  <si>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</si>
  <si>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</si>
  <si>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</si>
  <si>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</si>
  <si>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</si>
  <si>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</si>
  <si>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</si>
  <si>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</si>
  <si>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</si>
  <si>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</si>
  <si>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</si>
  <si>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</si>
  <si>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</si>
  <si>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</si>
  <si>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</si>
  <si>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</si>
  <si>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</si>
  <si>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</si>
  <si>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</si>
  <si>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</si>
  <si>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</si>
  <si>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</si>
  <si>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</si>
  <si>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</si>
  <si>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</si>
  <si>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</si>
  <si>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</si>
  <si>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</si>
  <si>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</si>
  <si>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</si>
  <si>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</si>
  <si>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</si>
  <si>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</si>
  <si>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</si>
  <si>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</si>
  <si>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</si>
  <si>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</si>
  <si>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</si>
  <si>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</si>
  <si>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</si>
  <si>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</si>
  <si>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</si>
  <si>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</si>
  <si>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</si>
  <si>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</si>
  <si>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</si>
  <si>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</si>
  <si>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</si>
  <si>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</si>
  <si>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</si>
  <si>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</si>
  <si>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</si>
  <si>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</si>
  <si>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</si>
  <si>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</si>
  <si>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</si>
  <si>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</si>
  <si>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</si>
  <si>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</si>
  <si>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</si>
  <si>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</si>
  <si>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</si>
  <si>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</si>
  <si>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</si>
  <si>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</si>
  <si>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</si>
  <si>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</si>
  <si>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</si>
  <si>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</si>
  <si>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</si>
  <si>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</si>
  <si>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</si>
  <si>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</si>
  <si>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</si>
  <si>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</si>
  <si>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</si>
  <si>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</si>
  <si>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</si>
  <si>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</si>
  <si>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</si>
  <si>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</si>
  <si>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</si>
  <si>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</si>
  <si>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</si>
  <si>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</si>
  <si>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</si>
  <si>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</si>
  <si>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</si>
  <si>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</si>
  <si>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</si>
  <si>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</si>
  <si>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</si>
  <si>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</si>
  <si>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</si>
  <si>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</si>
  <si>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</si>
  <si>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</si>
  <si>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</si>
  <si>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</si>
  <si>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</si>
  <si>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</si>
  <si>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</si>
  <si>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</si>
  <si>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</si>
  <si>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</si>
  <si>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</si>
  <si>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</si>
  <si>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</si>
  <si>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</si>
  <si>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</si>
  <si>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</si>
  <si>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</si>
  <si>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</si>
  <si>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</si>
  <si>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</si>
  <si>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</si>
  <si>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</si>
  <si>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</si>
  <si>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</si>
  <si>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</si>
  <si>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</si>
  <si>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</si>
  <si>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</si>
  <si>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</si>
  <si>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</si>
  <si>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</si>
  <si>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</si>
  <si>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</si>
  <si>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</si>
  <si>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</si>
  <si>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</si>
  <si>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</si>
  <si>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</si>
  <si>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</si>
  <si>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</si>
  <si>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</si>
  <si>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</si>
  <si>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</si>
  <si>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</si>
  <si>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</si>
  <si>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</si>
  <si>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</si>
  <si>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</si>
  <si>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</si>
  <si>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</si>
  <si>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</si>
  <si>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</si>
  <si>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</si>
  <si>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</si>
  <si>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</si>
  <si>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</si>
  <si>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</si>
  <si>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</si>
  <si>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</si>
  <si>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</si>
  <si>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</si>
  <si>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</si>
  <si>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</si>
  <si>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</si>
  <si>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</si>
  <si>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</si>
  <si>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</si>
  <si>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</si>
  <si>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</si>
  <si>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</si>
  <si>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</si>
  <si>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</si>
  <si>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</si>
  <si>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</si>
  <si>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</si>
  <si>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</si>
  <si>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</si>
  <si>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</si>
  <si>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</si>
  <si>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</si>
  <si>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</si>
  <si>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</si>
  <si>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</si>
  <si>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</si>
  <si>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</si>
  <si>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</si>
  <si>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</si>
  <si>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</si>
  <si>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</si>
  <si>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</si>
  <si>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</si>
  <si>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</si>
  <si>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</si>
  <si>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</si>
  <si>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</si>
  <si>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</si>
  <si>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</si>
  <si>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</si>
  <si>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</si>
  <si>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</si>
  <si>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</si>
  <si>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</si>
  <si>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</si>
  <si>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</si>
  <si>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</si>
  <si>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</si>
  <si>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</si>
  <si>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</si>
  <si>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</si>
  <si>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</si>
  <si>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</si>
  <si>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</si>
  <si>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</si>
  <si>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</si>
  <si>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</si>
  <si>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</si>
  <si>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</si>
  <si>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</si>
  <si>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</si>
  <si>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</si>
  <si>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</si>
  <si>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</si>
  <si>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</si>
  <si>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</si>
  <si>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</si>
  <si>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</si>
  <si>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</si>
  <si>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</si>
  <si>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</si>
  <si>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</si>
  <si>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</si>
  <si>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</si>
  <si>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</si>
  <si>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</si>
  <si>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</si>
  <si>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</si>
  <si>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</si>
  <si>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</si>
  <si>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</si>
  <si>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</si>
  <si>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</si>
  <si>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</si>
  <si>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</si>
  <si>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</si>
  <si>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</si>
  <si>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</si>
  <si>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</si>
  <si>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</si>
  <si>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</si>
  <si>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</si>
  <si>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</si>
  <si>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</si>
  <si>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</si>
  <si>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</si>
  <si>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</si>
  <si>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</si>
  <si>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</si>
  <si>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</si>
  <si>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</si>
  <si>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</si>
  <si>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</si>
  <si>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</si>
  <si>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</si>
  <si>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</si>
  <si>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</si>
  <si>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</si>
  <si>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</si>
  <si>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</si>
  <si>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</si>
  <si>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</si>
  <si>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</si>
  <si>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</si>
  <si>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</si>
  <si>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</si>
  <si>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</si>
  <si>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</si>
  <si>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</si>
  <si>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</si>
  <si>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</si>
  <si>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</si>
  <si>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</si>
  <si>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</si>
  <si>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</si>
  <si>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</si>
  <si>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</si>
  <si>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</si>
  <si>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</si>
  <si>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</si>
  <si>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</si>
  <si>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</si>
  <si>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</si>
  <si>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</si>
  <si>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</si>
  <si>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</si>
  <si>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</si>
  <si>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</si>
  <si>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</si>
  <si>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</si>
  <si>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</si>
  <si>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</si>
  <si>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</si>
  <si>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</si>
  <si>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</si>
  <si>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</si>
  <si>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</si>
  <si>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</si>
  <si>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</si>
  <si>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</si>
  <si>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</si>
  <si>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</si>
  <si>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</si>
  <si>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</si>
  <si>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</si>
  <si>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</si>
  <si>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</si>
  <si>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</si>
  <si>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</si>
  <si>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</si>
  <si>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</si>
  <si>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</si>
  <si>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</si>
  <si>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</si>
  <si>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</si>
  <si>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</si>
  <si>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</si>
  <si>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</si>
  <si>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</si>
  <si>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</si>
  <si>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</si>
  <si>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</si>
  <si>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</si>
  <si>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</si>
  <si>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</si>
  <si>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</si>
  <si>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</si>
  <si>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</si>
  <si>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</si>
  <si>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</si>
  <si>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</si>
  <si>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</si>
  <si>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</si>
  <si>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</si>
  <si>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</si>
  <si>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</si>
  <si>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</si>
  <si>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</si>
  <si>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</si>
  <si>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</si>
  <si>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</si>
  <si>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</si>
  <si>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</si>
  <si>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</si>
  <si>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</si>
  <si>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</si>
  <si>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</si>
  <si>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</si>
  <si>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</si>
  <si>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</si>
  <si>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</si>
  <si>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</si>
  <si>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</si>
  <si>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</si>
  <si>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</si>
  <si>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</si>
  <si>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</si>
  <si>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</si>
  <si>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</si>
  <si>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</si>
  <si>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</si>
  <si>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</si>
  <si>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</si>
  <si>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</si>
  <si>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</si>
  <si>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</si>
  <si>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</si>
  <si>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</si>
  <si>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</si>
  <si>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</si>
  <si>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</si>
  <si>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</si>
  <si>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</si>
  <si>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</si>
  <si>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</si>
  <si>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</si>
  <si>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</si>
  <si>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</si>
  <si>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</si>
  <si>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</si>
  <si>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</si>
  <si>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</si>
  <si>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</si>
  <si>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</si>
  <si>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</si>
  <si>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</si>
  <si>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</si>
  <si>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</si>
  <si>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</si>
  <si>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</si>
  <si>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</si>
  <si>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</si>
  <si>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</si>
  <si>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</si>
  <si>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</si>
  <si>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</si>
  <si>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</si>
  <si>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</si>
  <si>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</si>
  <si>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</si>
  <si>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</si>
  <si>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</si>
  <si>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</si>
  <si>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</si>
  <si>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</si>
  <si>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</si>
  <si>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</si>
  <si>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</si>
  <si>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</si>
  <si>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</si>
  <si>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</si>
  <si>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</si>
  <si>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</si>
  <si>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</si>
  <si>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</si>
  <si>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</si>
  <si>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</si>
  <si>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</si>
  <si>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</si>
  <si>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</si>
  <si>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</si>
  <si>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</si>
  <si>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</si>
  <si>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</si>
  <si>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</si>
  <si>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</si>
  <si>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</si>
  <si>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</si>
  <si>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</si>
  <si>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</si>
  <si>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</si>
  <si>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</si>
  <si>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</si>
  <si>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</si>
  <si>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</si>
  <si>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</si>
  <si>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</si>
  <si>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</si>
  <si>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</si>
  <si>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</si>
  <si>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</si>
  <si>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</si>
  <si>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</si>
  <si>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</si>
  <si>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</si>
  <si>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</si>
  <si>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</si>
  <si>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</si>
  <si>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</si>
  <si>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</si>
  <si>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</si>
  <si>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</si>
  <si>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</si>
  <si>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</si>
  <si>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</si>
  <si>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</si>
  <si>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</si>
  <si>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</si>
  <si>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</si>
  <si>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</si>
  <si>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</si>
  <si>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</si>
  <si>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</si>
  <si>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</si>
  <si>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</si>
  <si>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</si>
  <si>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</si>
  <si>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</si>
  <si>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</si>
  <si>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</si>
  <si>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</si>
  <si>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</si>
  <si>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</si>
  <si>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</si>
  <si>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</si>
  <si>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</si>
  <si>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</si>
  <si>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</si>
  <si>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</si>
  <si>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</si>
  <si>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</si>
  <si>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</si>
  <si>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</si>
  <si>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</si>
  <si>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</si>
  <si>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</si>
  <si>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</si>
  <si>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</si>
  <si>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</si>
  <si>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</si>
  <si>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</si>
  <si>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</si>
  <si>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</si>
  <si>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</si>
  <si>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</si>
  <si>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</si>
  <si>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</si>
  <si>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</si>
  <si>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</si>
  <si>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</si>
  <si>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</si>
  <si>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</si>
  <si>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</si>
  <si>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</si>
  <si>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</si>
  <si>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</si>
  <si>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</si>
  <si>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</si>
  <si>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</si>
  <si>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</si>
  <si>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</si>
  <si>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</si>
  <si>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</si>
  <si>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</si>
  <si>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</si>
  <si>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</si>
  <si>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</si>
  <si>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</si>
  <si>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</si>
  <si>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</si>
  <si>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</si>
  <si>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</si>
  <si>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</si>
  <si>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</si>
  <si>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</si>
  <si>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</si>
  <si>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</si>
  <si>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</si>
  <si>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</si>
  <si>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</si>
  <si>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</si>
  <si>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</si>
  <si>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</si>
  <si>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</si>
  <si>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</si>
  <si>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</si>
  <si>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</si>
  <si>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</si>
  <si>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</si>
  <si>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</si>
  <si>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</si>
  <si>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</si>
  <si>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</si>
  <si>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</si>
  <si>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</si>
  <si>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</si>
  <si>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</si>
  <si>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</si>
  <si>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</si>
  <si>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</si>
  <si>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</si>
  <si>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</si>
  <si>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</si>
  <si>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</si>
  <si>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</si>
  <si>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</si>
  <si>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</si>
  <si>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</si>
  <si>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</si>
  <si>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</si>
  <si>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</si>
  <si>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</si>
  <si>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</si>
  <si>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</si>
  <si>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</si>
  <si>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</si>
  <si>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</si>
  <si>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</si>
  <si>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</si>
  <si>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</si>
  <si>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</si>
  <si>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</si>
  <si>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</si>
  <si>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</si>
  <si>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</si>
  <si>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</si>
  <si>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</si>
  <si>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</si>
  <si>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</si>
  <si>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</si>
  <si>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</si>
  <si>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</si>
  <si>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</si>
  <si>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</si>
  <si>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</si>
  <si>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</si>
  <si>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</si>
  <si>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</si>
  <si>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</si>
  <si>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</si>
  <si>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</si>
  <si>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</si>
  <si>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</si>
  <si>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</si>
  <si>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</si>
  <si>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</si>
  <si>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</si>
  <si>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</si>
  <si>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</si>
  <si>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</si>
  <si>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</si>
  <si>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</si>
  <si>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</si>
  <si>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</si>
  <si>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</si>
  <si>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</si>
  <si>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</si>
  <si>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</si>
  <si>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</si>
  <si>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</si>
  <si>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</si>
  <si>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</si>
  <si>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</si>
  <si>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</si>
  <si>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</si>
  <si>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</si>
  <si>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</si>
  <si>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</si>
  <si>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</si>
  <si>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</si>
  <si>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</si>
  <si>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</si>
  <si>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</si>
  <si>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</si>
  <si>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</si>
  <si>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</si>
  <si>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</si>
  <si>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</si>
  <si>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</si>
  <si>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</si>
  <si>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</si>
  <si>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</si>
  <si>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</si>
  <si>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</si>
  <si>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</si>
  <si>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</si>
  <si>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</si>
  <si>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</si>
  <si>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</si>
  <si>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</si>
  <si>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</si>
  <si>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</si>
  <si>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</si>
  <si>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</si>
  <si>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</si>
  <si>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</si>
  <si>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</si>
  <si>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</si>
  <si>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</si>
  <si>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</si>
  <si>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</si>
  <si>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</si>
  <si>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</si>
  <si>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</si>
  <si>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</si>
  <si>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</si>
  <si>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</si>
  <si>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</si>
  <si>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</si>
  <si>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</si>
  <si>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</si>
  <si>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</si>
  <si>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</si>
  <si>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</si>
  <si>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</si>
  <si>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</si>
  <si>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</si>
  <si>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</si>
  <si>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</si>
  <si>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</si>
  <si>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</si>
  <si>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</si>
  <si>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</si>
  <si>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</si>
  <si>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</si>
  <si>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</si>
  <si>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</si>
  <si>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</si>
  <si>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</si>
  <si>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</si>
  <si>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</si>
  <si>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</si>
  <si>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</si>
  <si>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</si>
  <si>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</si>
  <si>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</si>
  <si>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</si>
  <si>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</si>
  <si>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</si>
  <si>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</si>
  <si>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</si>
  <si>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</si>
  <si>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</si>
  <si>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</si>
  <si>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</si>
  <si>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</si>
  <si>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</si>
  <si>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</si>
  <si>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</si>
  <si>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</si>
  <si>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</si>
  <si>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</si>
  <si>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</si>
  <si>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</si>
  <si>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</si>
  <si>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</si>
  <si>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</si>
  <si>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</si>
  <si>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</si>
  <si>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</si>
  <si>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</si>
  <si>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</si>
  <si>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</si>
  <si>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</si>
  <si>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</si>
  <si>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</si>
  <si>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</si>
  <si>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</si>
  <si>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</si>
  <si>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</si>
  <si>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</si>
  <si>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</si>
  <si>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</si>
  <si>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</si>
  <si>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</si>
  <si>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</si>
  <si>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</si>
  <si>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</si>
  <si>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</si>
  <si>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</si>
  <si>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</si>
  <si>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</si>
  <si>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</si>
  <si>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</si>
  <si>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</si>
  <si>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</si>
  <si>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</si>
  <si>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</si>
  <si>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</si>
  <si>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</si>
  <si>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</si>
  <si>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</si>
  <si>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</si>
  <si>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</si>
  <si>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</si>
  <si>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</si>
  <si>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</si>
  <si>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</si>
  <si>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</si>
  <si>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</si>
  <si>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</si>
  <si>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</si>
  <si>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</si>
  <si>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</si>
  <si>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</si>
  <si>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</si>
  <si>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</si>
  <si>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</si>
  <si>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</si>
  <si>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</si>
  <si>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</si>
  <si>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</si>
  <si>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</si>
  <si>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</si>
  <si>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</si>
  <si>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</si>
  <si>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</si>
  <si>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</si>
  <si>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</si>
  <si>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</si>
  <si>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</si>
  <si>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</si>
  <si>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</si>
  <si>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</si>
  <si>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</si>
  <si>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</si>
  <si>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</si>
  <si>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</si>
  <si>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</si>
  <si>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</si>
  <si>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</si>
  <si>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</si>
  <si>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</si>
  <si>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</si>
  <si>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</si>
  <si>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</si>
  <si>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</si>
  <si>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</si>
  <si>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</si>
  <si>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</si>
  <si>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</si>
  <si>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</si>
  <si>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</si>
  <si>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</si>
  <si>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</si>
  <si>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</si>
  <si>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</si>
  <si>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</si>
  <si>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</si>
  <si>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</si>
  <si>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</si>
  <si>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</si>
  <si>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</si>
  <si>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</si>
  <si>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</si>
  <si>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</si>
  <si>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</si>
  <si>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</si>
  <si>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</si>
  <si>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</si>
  <si>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</si>
  <si>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</si>
  <si>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</si>
  <si>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</si>
  <si>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</si>
  <si>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</si>
  <si>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</si>
  <si>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</si>
  <si>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</si>
  <si>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</si>
  <si>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</si>
  <si>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</si>
  <si>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</si>
  <si>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</si>
  <si>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</si>
  <si>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</si>
  <si>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</si>
  <si>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</si>
  <si>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</si>
  <si>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</si>
  <si>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</si>
  <si>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</si>
  <si>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</si>
  <si>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</si>
  <si>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</si>
  <si>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</si>
  <si>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</si>
  <si>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</si>
  <si>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</si>
  <si>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</si>
  <si>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</si>
  <si>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</si>
  <si>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</si>
  <si>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</si>
  <si>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</si>
  <si>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</si>
  <si>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</si>
  <si>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</si>
  <si>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</si>
  <si>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</si>
  <si>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</si>
  <si>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</si>
  <si>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</si>
  <si>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</si>
  <si>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</si>
  <si>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</si>
  <si>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</si>
  <si>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</si>
  <si>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</si>
  <si>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</si>
  <si>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</si>
  <si>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</si>
  <si>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</si>
  <si>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</si>
  <si>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</si>
  <si>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</si>
  <si>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</si>
  <si>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</si>
  <si>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</si>
  <si>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</si>
  <si>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</si>
  <si>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</si>
  <si>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</si>
  <si>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</si>
  <si>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</si>
  <si>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</si>
  <si>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</si>
  <si>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</si>
  <si>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</si>
  <si>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</si>
  <si>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</si>
  <si>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</si>
  <si>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</si>
  <si>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</si>
  <si>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</si>
  <si>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</si>
  <si>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</si>
  <si>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</si>
  <si>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</si>
  <si>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</si>
  <si>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</si>
  <si>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</si>
  <si>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</si>
  <si>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</si>
  <si>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</si>
  <si>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</si>
  <si>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</si>
  <si>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</si>
  <si>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</si>
  <si>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</si>
  <si>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</si>
  <si>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</si>
  <si>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</si>
  <si>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</si>
  <si>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</si>
  <si>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</si>
  <si>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</si>
  <si>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</si>
  <si>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</si>
  <si>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</si>
  <si>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</si>
  <si>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</si>
  <si>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</si>
  <si>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</si>
  <si>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</si>
  <si>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</si>
  <si>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</si>
  <si>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</si>
  <si>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</si>
  <si>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</si>
  <si>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</si>
  <si>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</si>
  <si>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</si>
  <si>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</si>
  <si>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</si>
  <si>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</si>
  <si>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</si>
  <si>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</si>
  <si>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</si>
  <si>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</si>
  <si>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</si>
  <si>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</si>
  <si>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</si>
  <si>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</si>
  <si>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</si>
  <si>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</si>
  <si>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</si>
  <si>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</si>
  <si>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</si>
  <si>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</si>
  <si>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</si>
  <si>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</si>
  <si>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</si>
  <si>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</si>
  <si>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</si>
  <si>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</si>
  <si>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</si>
  <si>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</si>
  <si>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</si>
  <si>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</si>
  <si>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</si>
  <si>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</si>
  <si>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</si>
  <si>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</si>
  <si>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</si>
  <si>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</si>
  <si>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</si>
  <si>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</si>
  <si>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</si>
  <si>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</si>
  <si>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</si>
  <si>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</si>
  <si>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</si>
  <si>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</si>
  <si>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</si>
  <si>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</si>
  <si>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</si>
  <si>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</si>
  <si>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</si>
  <si>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</si>
  <si>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</si>
  <si>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</si>
  <si>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</si>
  <si>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</si>
  <si>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</si>
  <si>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</si>
  <si>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</si>
  <si>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</si>
  <si>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</si>
  <si>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</si>
  <si>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</si>
  <si>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</si>
  <si>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</si>
  <si>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</si>
  <si>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</si>
  <si>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</si>
  <si>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</si>
  <si>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</si>
  <si>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</si>
  <si>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</si>
  <si>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</si>
  <si>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</si>
  <si>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</si>
  <si>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</si>
  <si>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</si>
  <si>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</si>
  <si>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</si>
  <si>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</si>
  <si>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</si>
  <si>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</si>
  <si>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</si>
  <si>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</si>
  <si>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</si>
  <si>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</si>
  <si>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</si>
  <si>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</si>
  <si>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</si>
  <si>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</si>
  <si>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</si>
  <si>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</si>
  <si>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</si>
  <si>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</si>
  <si>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</si>
  <si>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</si>
  <si>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</si>
  <si>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</si>
  <si>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</si>
  <si>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</si>
  <si>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</si>
  <si>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</si>
  <si>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</si>
  <si>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</si>
  <si>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</si>
  <si>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</si>
  <si>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</si>
  <si>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</si>
  <si>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</si>
  <si>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</si>
  <si>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</si>
  <si>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</si>
  <si>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</si>
  <si>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</si>
  <si>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</si>
  <si>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</si>
  <si>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</si>
  <si>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</si>
  <si>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</si>
  <si>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</si>
  <si>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</si>
  <si>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</si>
  <si>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</si>
  <si>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</si>
  <si>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</si>
  <si>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</si>
  <si>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</si>
  <si>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</si>
  <si>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</si>
  <si>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</si>
  <si>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</si>
  <si>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</si>
  <si>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</si>
  <si>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</si>
  <si>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</si>
  <si>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</si>
  <si>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</si>
  <si>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</si>
  <si>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</si>
  <si>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</si>
  <si>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</si>
  <si>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</si>
  <si>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</si>
  <si>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</si>
  <si>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</si>
  <si>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</si>
  <si>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</si>
  <si>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</si>
  <si>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</si>
  <si>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</si>
  <si>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</si>
  <si>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</si>
  <si>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</si>
  <si>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</si>
  <si>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</si>
  <si>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</si>
  <si>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</si>
  <si>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</si>
  <si>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</si>
  <si>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</si>
  <si>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</si>
  <si>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</si>
  <si>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</si>
  <si>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</si>
  <si>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</si>
  <si>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</si>
  <si>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</si>
  <si>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</si>
  <si>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</si>
  <si>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</si>
  <si>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</si>
  <si>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</si>
  <si>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</si>
  <si>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</si>
  <si>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</si>
  <si>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</si>
  <si>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</si>
  <si>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</si>
  <si>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</si>
  <si>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</si>
  <si>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</si>
  <si>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</si>
  <si>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</si>
  <si>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</si>
  <si>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</si>
  <si>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</si>
  <si>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</si>
  <si>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</si>
  <si>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</si>
  <si>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</si>
  <si>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</si>
  <si>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</si>
  <si>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</si>
  <si>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</si>
  <si>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</si>
  <si>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</si>
  <si>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</si>
  <si>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</si>
  <si>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</si>
  <si>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</si>
  <si>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</si>
  <si>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</si>
  <si>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</si>
  <si>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</si>
  <si>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</si>
  <si>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</si>
  <si>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</si>
  <si>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</si>
  <si>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</si>
  <si>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</si>
  <si>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</si>
  <si>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</si>
  <si>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</si>
  <si>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</si>
  <si>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</si>
  <si>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</si>
  <si>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</si>
  <si>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</si>
  <si>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</si>
  <si>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</si>
  <si>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</si>
  <si>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</si>
  <si>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</si>
  <si>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</si>
  <si>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</si>
  <si>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</si>
  <si>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</si>
  <si>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</si>
  <si>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</si>
  <si>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</si>
  <si>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</si>
  <si>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</si>
  <si>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</si>
  <si>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</si>
  <si>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</si>
  <si>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</si>
  <si>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</si>
  <si>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</si>
  <si>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</si>
  <si>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</si>
  <si>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</si>
  <si>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</si>
  <si>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</si>
  <si>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</si>
  <si>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</si>
  <si>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</si>
  <si>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</si>
  <si>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</si>
  <si>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</si>
  <si>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</si>
  <si>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</si>
  <si>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</si>
  <si>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</si>
  <si>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</si>
  <si>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</si>
  <si>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</si>
  <si>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</si>
  <si>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</si>
  <si>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</si>
  <si>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</si>
  <si>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</si>
  <si>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</si>
  <si>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</si>
  <si>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</si>
  <si>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</si>
  <si>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</si>
  <si>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</si>
  <si>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</si>
  <si>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</si>
  <si>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</si>
  <si>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</si>
  <si>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</si>
  <si>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</si>
  <si>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</si>
  <si>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</si>
  <si>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</si>
  <si>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</si>
  <si>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</si>
  <si>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</si>
  <si>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</si>
  <si>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</si>
  <si>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</si>
  <si>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</si>
  <si>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</si>
  <si>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</si>
  <si>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</si>
  <si>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</si>
  <si>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</si>
  <si>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</si>
  <si>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</si>
  <si>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</si>
  <si>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</si>
  <si>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</si>
  <si>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</si>
  <si>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</si>
  <si>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</si>
  <si>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</si>
  <si>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</si>
  <si>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</si>
  <si>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</si>
  <si>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</si>
  <si>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</si>
  <si>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</si>
  <si>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</si>
  <si>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</si>
  <si>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</si>
  <si>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</si>
  <si>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</si>
  <si>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</si>
  <si>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</si>
  <si>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</si>
  <si>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</si>
  <si>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</si>
  <si>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</si>
  <si>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</si>
  <si>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</si>
  <si>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</si>
  <si>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</si>
  <si>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</si>
  <si>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</si>
  <si>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</si>
  <si>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</si>
  <si>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</si>
  <si>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</si>
  <si>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</si>
  <si>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</si>
  <si>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</si>
  <si>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</si>
  <si>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</si>
  <si>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</si>
  <si>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</si>
  <si>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</si>
  <si>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</si>
  <si>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</si>
  <si>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</si>
  <si>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</si>
  <si>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</si>
  <si>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</si>
  <si>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</si>
  <si>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</si>
  <si>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</si>
  <si>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</si>
  <si>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</si>
  <si>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</si>
  <si>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</si>
  <si>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</si>
  <si>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</si>
  <si>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</si>
  <si>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</si>
  <si>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</si>
  <si>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</si>
  <si>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</si>
  <si>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</si>
  <si>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</si>
  <si>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</si>
  <si>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</si>
  <si>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</si>
  <si>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</si>
  <si>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</si>
  <si>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</si>
  <si>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</si>
  <si>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</si>
  <si>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</si>
  <si>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</si>
  <si>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</si>
  <si>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</si>
  <si>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</si>
  <si>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</si>
  <si>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</si>
  <si>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</si>
  <si>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</si>
  <si>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</si>
  <si>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</si>
  <si>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</si>
  <si>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</si>
  <si>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</si>
  <si>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</si>
  <si>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</si>
  <si>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</si>
  <si>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</si>
  <si>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</si>
  <si>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</si>
  <si>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</si>
  <si>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</si>
  <si>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</si>
  <si>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</si>
  <si>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</si>
  <si>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</si>
  <si>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</si>
  <si>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</si>
  <si>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</si>
  <si>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</si>
  <si>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</si>
  <si>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</si>
  <si>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</si>
  <si>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</si>
  <si>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</si>
  <si>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</si>
  <si>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</si>
  <si>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</si>
  <si>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</si>
  <si>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</si>
  <si>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</si>
  <si>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</si>
  <si>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</si>
  <si>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</si>
  <si>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</si>
  <si>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</si>
  <si>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</si>
  <si>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</si>
  <si>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</si>
  <si>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</si>
  <si>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</si>
  <si>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</si>
  <si>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</si>
  <si>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</si>
  <si>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</si>
  <si>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</si>
  <si>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</si>
  <si>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</si>
  <si>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</si>
  <si>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</si>
  <si>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</si>
  <si>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</si>
  <si>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</si>
  <si>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</si>
  <si>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</si>
  <si>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</si>
  <si>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</si>
  <si>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</si>
  <si>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</si>
  <si>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</si>
  <si>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</si>
  <si>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</si>
  <si>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</si>
  <si>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</si>
  <si>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</si>
  <si>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</si>
  <si>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</si>
  <si>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</si>
  <si>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</si>
  <si>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</si>
  <si>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</si>
  <si>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</si>
  <si>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</si>
  <si>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</si>
  <si>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</si>
  <si>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</si>
  <si>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</si>
  <si>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</si>
  <si>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</si>
  <si>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</si>
  <si>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</si>
  <si>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</si>
  <si>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</si>
  <si>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</si>
  <si>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</si>
  <si>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</si>
  <si>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</si>
  <si>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</si>
  <si>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</si>
  <si>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</si>
  <si>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</si>
  <si>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</si>
  <si>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</si>
  <si>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</si>
  <si>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</si>
  <si>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</si>
  <si>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</si>
  <si>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</si>
  <si>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</si>
  <si>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</si>
  <si>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</si>
  <si>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</si>
  <si>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</si>
  <si>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</si>
  <si>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</si>
  <si>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</si>
  <si>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</si>
  <si>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</si>
  <si>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</si>
  <si>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</si>
  <si>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</si>
  <si>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</si>
  <si>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</si>
  <si>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</si>
  <si>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</si>
  <si>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</si>
  <si>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</si>
  <si>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</si>
  <si>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</si>
  <si>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</si>
  <si>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</si>
  <si>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</si>
  <si>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</si>
  <si>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</si>
  <si>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</si>
  <si>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</si>
  <si>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</si>
  <si>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</si>
  <si>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</si>
  <si>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</si>
  <si>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</si>
  <si>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</si>
  <si>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</si>
  <si>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</si>
  <si>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</si>
  <si>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</si>
  <si>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</si>
  <si>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</si>
  <si>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</si>
  <si>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</si>
  <si>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</si>
  <si>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</si>
  <si>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</si>
  <si>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</si>
  <si>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</si>
  <si>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</si>
  <si>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</si>
  <si>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</si>
  <si>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</si>
  <si>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</si>
  <si>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</si>
  <si>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</si>
  <si>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</si>
  <si>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</si>
  <si>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</si>
  <si>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</si>
  <si>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</si>
  <si>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</si>
  <si>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</si>
  <si>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</si>
  <si>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</si>
  <si>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</si>
  <si>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</si>
  <si>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</si>
  <si>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</si>
  <si>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</si>
  <si>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</si>
  <si>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</si>
  <si>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</si>
  <si>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</si>
  <si>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</si>
  <si>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</si>
  <si>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</si>
  <si>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</si>
  <si>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</si>
  <si>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</si>
  <si>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</si>
  <si>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</si>
  <si>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</si>
  <si>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</si>
  <si>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</si>
  <si>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</si>
  <si>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</si>
  <si>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</si>
  <si>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</si>
  <si>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</si>
  <si>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</si>
  <si>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</si>
  <si>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</si>
  <si>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</si>
  <si>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</si>
  <si>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</si>
  <si>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</si>
  <si>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</si>
  <si>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</si>
  <si>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</si>
  <si>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</si>
  <si>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</si>
  <si>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</si>
  <si>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</si>
  <si>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</si>
  <si>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</si>
  <si>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</si>
  <si>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</si>
  <si>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</si>
  <si>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</si>
  <si>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</si>
  <si>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</si>
  <si>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</si>
  <si>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</si>
  <si>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</si>
  <si>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</si>
  <si>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</si>
  <si>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</si>
  <si>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</si>
  <si>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</si>
  <si>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</si>
  <si>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</si>
  <si>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</si>
  <si>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</si>
  <si>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</si>
  <si>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</si>
  <si>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</si>
  <si>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</si>
  <si>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</si>
  <si>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</si>
  <si>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</si>
  <si>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</si>
  <si>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</si>
  <si>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</si>
  <si>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</si>
  <si>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</si>
  <si>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</si>
  <si>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</si>
  <si>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</si>
  <si>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</si>
  <si>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</si>
  <si>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</si>
  <si>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</si>
  <si>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</si>
  <si>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</si>
  <si>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</si>
  <si>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</si>
  <si>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</si>
  <si>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</si>
  <si>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</si>
  <si>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</si>
  <si>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</si>
  <si>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</si>
  <si>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</si>
  <si>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</si>
  <si>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</si>
  <si>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</si>
  <si>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</si>
  <si>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</si>
  <si>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</si>
  <si>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</si>
  <si>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</si>
  <si>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</si>
  <si>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</si>
  <si>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</si>
  <si>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</si>
  <si>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</si>
  <si>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</si>
  <si>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</si>
  <si>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</si>
  <si>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</si>
  <si>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</si>
  <si>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</si>
  <si>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</si>
  <si>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</si>
  <si>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</si>
  <si>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</si>
  <si>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</si>
  <si>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</si>
  <si>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</si>
  <si>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</si>
  <si>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</si>
  <si>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</si>
  <si>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</si>
  <si>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</si>
  <si>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</si>
  <si>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</si>
  <si>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</si>
  <si>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</si>
  <si>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</si>
  <si>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</si>
  <si>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</si>
  <si>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</si>
  <si>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</si>
  <si>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</si>
  <si>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</si>
  <si>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</si>
  <si>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</si>
  <si>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</si>
  <si>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</si>
  <si>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</si>
  <si>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</si>
  <si>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</si>
  <si>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</si>
  <si>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</si>
  <si>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</si>
  <si>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</si>
  <si>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</si>
  <si>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</si>
  <si>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</si>
  <si>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</si>
  <si>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</si>
  <si>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</si>
  <si>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</si>
  <si>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</si>
  <si>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</si>
  <si>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</si>
  <si>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</si>
  <si>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</si>
  <si>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</si>
  <si>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</si>
  <si>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</si>
  <si>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</si>
  <si>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</si>
  <si>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</si>
  <si>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</si>
  <si>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</si>
  <si>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</si>
  <si>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</si>
  <si>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</si>
  <si>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</si>
  <si>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</si>
  <si>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</si>
  <si>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</si>
  <si>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</si>
  <si>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</si>
  <si>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</si>
  <si>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</si>
  <si>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</si>
  <si>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</si>
  <si>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</si>
  <si>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</si>
  <si>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</si>
  <si>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</si>
  <si>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</si>
  <si>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</si>
  <si>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</si>
  <si>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</si>
  <si>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</si>
  <si>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</si>
  <si>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</si>
  <si>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</si>
  <si>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</si>
  <si>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</si>
  <si>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</si>
  <si>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</si>
  <si>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</si>
  <si>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</si>
  <si>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</si>
  <si>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</si>
  <si>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</si>
  <si>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</si>
  <si>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</si>
  <si>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</si>
  <si>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</si>
  <si>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</si>
  <si>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</si>
  <si>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</si>
  <si>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</si>
  <si>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</si>
  <si>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</si>
  <si>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</si>
  <si>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</si>
  <si>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</si>
  <si>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</si>
  <si>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</si>
  <si>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</si>
  <si>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</si>
  <si>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</si>
  <si>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</si>
  <si>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</si>
  <si>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</si>
  <si>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</si>
  <si>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</si>
  <si>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</si>
  <si>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</si>
  <si>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</si>
  <si>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</si>
  <si>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</si>
  <si>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</si>
  <si>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</si>
  <si>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</si>
  <si>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</si>
  <si>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</si>
  <si>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</si>
  <si>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</si>
  <si>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</si>
  <si>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</si>
  <si>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</si>
  <si>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</si>
  <si>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</si>
  <si>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</si>
  <si>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</si>
  <si>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</si>
  <si>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</si>
  <si>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</si>
  <si>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</si>
  <si>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</si>
  <si>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</si>
  <si>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</si>
  <si>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</si>
  <si>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</si>
  <si>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</si>
  <si>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</si>
  <si>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</si>
  <si>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</si>
  <si>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</si>
  <si>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</si>
  <si>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</si>
  <si>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</si>
  <si>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</si>
  <si>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</si>
  <si>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</si>
  <si>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</si>
  <si>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</si>
  <si>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</si>
  <si>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</si>
  <si>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</si>
  <si>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</si>
  <si>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</si>
  <si>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</si>
  <si>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</si>
  <si>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</si>
  <si>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</si>
  <si>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</si>
  <si>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</si>
  <si>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</si>
  <si>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</si>
  <si>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</si>
  <si>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</si>
  <si>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</si>
  <si>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</si>
  <si>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</si>
  <si>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</si>
  <si>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</si>
  <si>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</si>
  <si>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</si>
  <si>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</si>
  <si>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</si>
  <si>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</si>
  <si>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</si>
  <si>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</si>
  <si>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</si>
  <si>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</si>
  <si>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</si>
  <si>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</si>
  <si>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</si>
  <si>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</si>
  <si>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</si>
  <si>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</si>
  <si>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</si>
  <si>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</si>
  <si>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</si>
  <si>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</si>
  <si>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</si>
  <si>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</si>
  <si>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</si>
  <si>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</si>
  <si>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</si>
  <si>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</si>
  <si>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</si>
  <si>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</si>
  <si>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</si>
  <si>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</si>
  <si>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</si>
  <si>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</si>
  <si>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</si>
  <si>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</si>
  <si>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</si>
  <si>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</si>
  <si>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</si>
  <si>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</si>
  <si>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</si>
  <si>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</si>
  <si>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</si>
  <si>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</si>
  <si>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</si>
  <si>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</si>
  <si>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</si>
  <si>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</si>
  <si>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</si>
  <si>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</si>
  <si>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</si>
  <si>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</si>
  <si>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</si>
  <si>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</si>
  <si>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</si>
  <si>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</si>
  <si>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</si>
  <si>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</si>
  <si>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</si>
  <si>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</si>
  <si>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</si>
  <si>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</si>
  <si>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</si>
  <si>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</si>
  <si>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</si>
  <si>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</si>
  <si>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</si>
  <si>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</si>
  <si>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</si>
  <si>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</si>
  <si>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</si>
  <si>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</si>
  <si>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</si>
  <si>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</si>
  <si>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</si>
  <si>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</si>
  <si>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</si>
  <si>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</si>
  <si>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</si>
  <si>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</si>
  <si>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</si>
  <si>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</si>
  <si>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</si>
  <si>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</si>
  <si>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</si>
  <si>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</si>
  <si>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</si>
  <si>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</si>
  <si>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</si>
  <si>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</si>
  <si>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</si>
  <si>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</si>
  <si>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</si>
  <si>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</si>
  <si>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</si>
  <si>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</si>
  <si>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</si>
  <si>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</si>
  <si>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</si>
  <si>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</si>
  <si>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</si>
  <si>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</si>
  <si>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</si>
  <si>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</si>
  <si>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</si>
  <si>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</si>
  <si>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</si>
  <si>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</si>
  <si>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</si>
  <si>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</si>
  <si>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</si>
  <si>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</si>
  <si>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</si>
  <si>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</si>
  <si>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</si>
  <si>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</si>
  <si>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</si>
  <si>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</si>
  <si>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</si>
  <si>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</si>
  <si>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</si>
  <si>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</si>
  <si>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</si>
  <si>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</si>
  <si>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</si>
  <si>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</si>
  <si>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</si>
  <si>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</si>
  <si>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</si>
  <si>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</si>
  <si>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</si>
  <si>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</si>
  <si>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</si>
  <si>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</si>
  <si>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</si>
  <si>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</si>
  <si>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</si>
  <si>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</si>
  <si>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</si>
  <si>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</si>
  <si>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</si>
  <si>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</si>
  <si>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</si>
  <si>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</si>
  <si>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</si>
  <si>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</si>
  <si>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</si>
  <si>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</si>
  <si>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</si>
  <si>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</si>
  <si>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</si>
  <si>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</si>
  <si>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</si>
  <si>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</si>
  <si>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</si>
  <si>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</si>
  <si>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</si>
  <si>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</si>
  <si>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</si>
  <si>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</si>
  <si>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</si>
  <si>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</si>
  <si>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</si>
  <si>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</si>
  <si>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</si>
  <si>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</si>
  <si>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</si>
  <si>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</si>
  <si>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</si>
  <si>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</si>
  <si>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</si>
  <si>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</si>
  <si>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</si>
  <si>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</si>
  <si>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</si>
  <si>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</si>
  <si>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</si>
  <si>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</si>
  <si>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</si>
  <si>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</si>
  <si>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</si>
  <si>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</si>
  <si>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</si>
  <si>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</si>
  <si>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</si>
  <si>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</si>
  <si>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</si>
  <si>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</si>
  <si>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</si>
  <si>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</si>
  <si>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</si>
  <si>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</si>
  <si>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</si>
  <si>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</si>
  <si>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</si>
  <si>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</si>
  <si>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</si>
  <si>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</si>
  <si>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</si>
  <si>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</si>
  <si>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</si>
  <si>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</si>
  <si>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</si>
  <si>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</si>
  <si>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</si>
  <si>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</si>
  <si>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</si>
  <si>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</si>
  <si>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</si>
  <si>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</si>
  <si>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</si>
  <si>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</si>
  <si>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</si>
  <si>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</si>
  <si>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</si>
  <si>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</si>
  <si>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</si>
  <si>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</si>
  <si>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</si>
  <si>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</si>
  <si>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</si>
  <si>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</si>
  <si>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</si>
  <si>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</si>
  <si>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</si>
  <si>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</si>
  <si>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</si>
  <si>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</si>
  <si>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</si>
  <si>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</si>
  <si>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</si>
  <si>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</si>
  <si>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</si>
  <si>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</si>
  <si>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</si>
  <si>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</si>
  <si>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</si>
  <si>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</si>
  <si>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</si>
  <si>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</si>
  <si>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</si>
  <si>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</si>
  <si>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</si>
  <si>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</si>
  <si>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</si>
  <si>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</si>
  <si>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</si>
  <si>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</si>
  <si>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</si>
  <si>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</si>
  <si>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</si>
  <si>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</si>
  <si>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</si>
  <si>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</si>
  <si>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</si>
  <si>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</si>
  <si>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</si>
  <si>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</si>
  <si>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</si>
  <si>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</si>
  <si>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</si>
  <si>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</si>
  <si>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</si>
  <si>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</si>
  <si>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</si>
  <si>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</si>
  <si>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</si>
  <si>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</si>
  <si>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</si>
  <si>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</si>
  <si>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</si>
  <si>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</si>
  <si>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</si>
  <si>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</si>
  <si>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</si>
  <si>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</si>
  <si>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</si>
  <si>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</si>
  <si>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</si>
  <si>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</si>
  <si>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</si>
  <si>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</si>
  <si>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</si>
  <si>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</si>
  <si>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</si>
  <si>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</si>
  <si>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</si>
  <si>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</si>
  <si>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</si>
  <si>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</si>
  <si>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</si>
  <si>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</si>
  <si>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</si>
  <si>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</si>
  <si>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</si>
  <si>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</si>
  <si>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</si>
  <si>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</si>
  <si>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</si>
  <si>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</si>
  <si>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</si>
  <si>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</si>
  <si>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</si>
  <si>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</si>
  <si>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</si>
  <si>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</si>
  <si>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</si>
  <si>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</si>
  <si>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</si>
  <si>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</si>
  <si>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</si>
  <si>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</si>
  <si>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</si>
  <si>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</si>
  <si>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</si>
  <si>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</si>
  <si>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</si>
  <si>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</si>
  <si>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</si>
  <si>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</si>
  <si>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</si>
  <si>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</si>
  <si>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</si>
  <si>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</si>
  <si>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</si>
  <si>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</si>
  <si>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</si>
  <si>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</si>
  <si>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</si>
  <si>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</si>
  <si>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</si>
  <si>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</si>
  <si>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</si>
  <si>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</si>
  <si>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</si>
  <si>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</si>
  <si>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</si>
  <si>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</si>
  <si>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</si>
  <si>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</si>
  <si>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</si>
  <si>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</si>
  <si>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</si>
  <si>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</si>
  <si>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</si>
  <si>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</si>
  <si>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</si>
  <si>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</si>
  <si>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</si>
  <si>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</si>
  <si>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</si>
  <si>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</si>
  <si>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</si>
  <si>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</si>
  <si>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</si>
  <si>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</si>
  <si>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</si>
  <si>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</si>
  <si>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</si>
  <si>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</si>
  <si>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</si>
  <si>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</si>
  <si>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</si>
  <si>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</si>
  <si>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</si>
  <si>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</si>
  <si>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</si>
  <si>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</si>
  <si>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</si>
  <si>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</si>
  <si>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</si>
  <si>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</si>
  <si>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</si>
  <si>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</si>
  <si>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</si>
  <si>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</si>
  <si>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</si>
  <si>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</si>
  <si>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</si>
  <si>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</si>
  <si>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</si>
  <si>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</si>
  <si>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</si>
  <si>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</si>
  <si>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</si>
  <si>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</si>
  <si>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</si>
  <si>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</si>
  <si>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</si>
  <si>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</si>
  <si>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</si>
  <si>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</si>
  <si>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</si>
  <si>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</si>
  <si>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</si>
  <si>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</si>
  <si>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</si>
  <si>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</si>
  <si>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</si>
  <si>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</si>
  <si>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</si>
  <si>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</si>
  <si>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</si>
  <si>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</si>
  <si>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</si>
  <si>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</si>
  <si>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</si>
  <si>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</si>
  <si>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</si>
  <si>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</si>
  <si>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</si>
  <si>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</si>
  <si>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</si>
  <si>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</si>
  <si>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</si>
  <si>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</si>
  <si>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</si>
  <si>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</si>
  <si>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</si>
  <si>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</si>
  <si>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</si>
  <si>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</si>
  <si>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</si>
  <si>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</si>
  <si>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</si>
  <si>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</si>
  <si>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</si>
  <si>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</si>
  <si>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</si>
  <si>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</si>
  <si>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</si>
  <si>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</si>
  <si>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</si>
  <si>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</si>
  <si>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</si>
  <si>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</si>
  <si>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</si>
  <si>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</si>
  <si>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</si>
  <si>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</si>
  <si>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</si>
  <si>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</si>
  <si>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</si>
  <si>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</si>
  <si>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</si>
  <si>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</si>
  <si>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</si>
  <si>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</si>
  <si>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</si>
  <si>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</si>
  <si>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</si>
  <si>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</si>
  <si>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</si>
  <si>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</si>
  <si>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</si>
  <si>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</si>
  <si>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</si>
  <si>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</si>
  <si>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</si>
  <si>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</si>
  <si>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</si>
  <si>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</si>
  <si>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</si>
  <si>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</si>
  <si>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</si>
  <si>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</si>
  <si>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</si>
  <si>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</si>
  <si>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</si>
  <si>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</si>
  <si>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</si>
  <si>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</si>
  <si>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</si>
  <si>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</si>
  <si>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</si>
  <si>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</si>
  <si>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</si>
  <si>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</si>
  <si>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</si>
  <si>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</si>
  <si>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</si>
  <si>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</si>
  <si>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</si>
  <si>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</si>
  <si>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</si>
  <si>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</si>
  <si>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</si>
  <si>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</si>
  <si>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</si>
  <si>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</si>
  <si>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</si>
  <si>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</si>
  <si>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</si>
  <si>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</si>
  <si>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</si>
  <si>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</si>
  <si>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</si>
  <si>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</si>
  <si>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</si>
  <si>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</si>
  <si>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</si>
  <si>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</si>
  <si>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</si>
  <si>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</si>
  <si>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</si>
  <si>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</si>
  <si>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</si>
  <si>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</si>
  <si>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</si>
  <si>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</si>
  <si>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</si>
  <si>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</si>
  <si>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</si>
  <si>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</si>
  <si>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</si>
  <si>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</si>
  <si>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</si>
  <si>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</si>
  <si>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</si>
  <si>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</si>
  <si>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</si>
  <si>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</si>
  <si>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</si>
  <si>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</si>
  <si>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</si>
  <si>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</si>
  <si>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</si>
  <si>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</si>
  <si>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</si>
  <si>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</si>
  <si>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</si>
  <si>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</si>
  <si>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</si>
  <si>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</si>
  <si>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</si>
  <si>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</si>
  <si>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</si>
  <si>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</si>
  <si>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</si>
  <si>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</si>
  <si>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</si>
  <si>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</si>
  <si>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</si>
  <si>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</si>
  <si>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</si>
  <si>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</si>
  <si>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</si>
  <si>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</si>
  <si>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</si>
  <si>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</si>
  <si>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</si>
  <si>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</si>
  <si>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</si>
  <si>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</si>
  <si>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</si>
  <si>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</si>
  <si>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</si>
  <si>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</si>
  <si>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</si>
  <si>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</si>
  <si>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</si>
  <si>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</si>
  <si>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</si>
  <si>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</si>
  <si>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</si>
  <si>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</si>
  <si>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</si>
  <si>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</si>
  <si>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</si>
  <si>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</si>
  <si>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</si>
  <si>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</si>
  <si>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</si>
  <si>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</si>
  <si>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</si>
  <si>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</si>
  <si>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</si>
  <si>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</si>
  <si>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</si>
  <si>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</si>
  <si>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</si>
  <si>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</si>
  <si>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</si>
  <si>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</si>
  <si>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</si>
  <si>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</si>
  <si>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</si>
  <si>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</si>
  <si>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</si>
  <si>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</si>
  <si>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</si>
  <si>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</si>
  <si>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</si>
  <si>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</si>
  <si>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</si>
  <si>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</si>
  <si>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</si>
  <si>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</si>
  <si>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</si>
  <si>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</si>
  <si>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</si>
  <si>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</si>
  <si>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</si>
  <si>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</si>
  <si>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</si>
  <si>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</si>
  <si>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</si>
  <si>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</si>
  <si>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</si>
  <si>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</si>
  <si>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</si>
  <si>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</si>
  <si>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</si>
  <si>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</si>
  <si>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</si>
  <si>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</si>
  <si>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</si>
  <si>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</si>
  <si>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</si>
  <si>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</si>
  <si>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</si>
  <si>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</si>
  <si>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</si>
  <si>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</si>
  <si>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</si>
  <si>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</si>
  <si>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</si>
  <si>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</si>
  <si>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</si>
  <si>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</si>
  <si>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</si>
  <si>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</si>
  <si>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</si>
  <si>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</si>
  <si>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</si>
  <si>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</si>
  <si>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</si>
  <si>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</si>
  <si>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</si>
  <si>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</si>
  <si>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</si>
  <si>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</si>
  <si>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</si>
  <si>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</si>
  <si>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</si>
  <si>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</si>
  <si>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</si>
  <si>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</si>
  <si>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</si>
  <si>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</si>
  <si>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</si>
  <si>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</si>
  <si>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</si>
  <si>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</si>
  <si>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</si>
  <si>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</si>
  <si>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</si>
  <si>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</si>
  <si>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</si>
  <si>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</si>
  <si>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</si>
  <si>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</si>
  <si>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</si>
  <si>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</si>
  <si>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</si>
  <si>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</si>
  <si>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</si>
  <si>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</si>
  <si>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</si>
  <si>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</si>
  <si>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</si>
  <si>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</si>
  <si>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</si>
  <si>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</si>
  <si>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</si>
  <si>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</si>
  <si>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</si>
  <si>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</si>
  <si>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</si>
  <si>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</si>
  <si>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</si>
  <si>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</si>
  <si>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</si>
  <si>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</si>
  <si>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</si>
  <si>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</si>
  <si>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</si>
  <si>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</si>
  <si>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</si>
  <si>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</si>
  <si>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</si>
  <si>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</si>
  <si>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</si>
  <si>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</si>
  <si>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</si>
  <si>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</si>
  <si>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</si>
  <si>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</si>
  <si>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</si>
  <si>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</si>
  <si>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</si>
  <si>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</si>
  <si>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</si>
  <si>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</si>
  <si>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</si>
  <si>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</si>
  <si>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</si>
  <si>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</si>
  <si>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</si>
  <si>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</si>
  <si>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</si>
  <si>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</si>
  <si>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</si>
  <si>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</si>
  <si>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</si>
  <si>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</si>
  <si>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</si>
  <si>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</si>
  <si>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</si>
  <si>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</si>
  <si>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</si>
  <si>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</si>
  <si>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</si>
  <si>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</si>
  <si>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</si>
  <si>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</si>
  <si>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</si>
  <si>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</si>
  <si>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</si>
  <si>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</si>
  <si>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</si>
  <si>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</si>
  <si>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</si>
  <si>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</si>
  <si>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</si>
  <si>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</si>
  <si>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</si>
  <si>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</si>
  <si>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</si>
  <si>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</si>
  <si>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</si>
  <si>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</si>
  <si>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</si>
  <si>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</si>
  <si>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</si>
  <si>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</si>
  <si>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</si>
  <si>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</si>
  <si>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</si>
  <si>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</si>
  <si>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</si>
  <si>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</si>
  <si>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</si>
  <si>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</si>
  <si>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</si>
  <si>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</si>
  <si>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</si>
  <si>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</si>
  <si>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</si>
  <si>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</si>
  <si>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</si>
  <si>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</si>
  <si>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</si>
  <si>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</si>
  <si>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</si>
  <si>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</si>
  <si>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</si>
  <si>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</si>
  <si>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</si>
  <si>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</si>
  <si>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</si>
  <si>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</si>
  <si>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</si>
  <si>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</si>
  <si>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</si>
  <si>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</si>
  <si>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</si>
  <si>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</si>
  <si>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</si>
  <si>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</si>
  <si>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</si>
  <si>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</si>
  <si>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</si>
  <si>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</si>
  <si>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</si>
  <si>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</si>
  <si>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</si>
  <si>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</si>
  <si>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</si>
  <si>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</si>
  <si>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</si>
  <si>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</si>
  <si>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</si>
  <si>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</si>
  <si>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</si>
  <si>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</si>
  <si>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</si>
  <si>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</si>
  <si>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</si>
  <si>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</si>
  <si>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</si>
  <si>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</si>
  <si>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</si>
  <si>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</si>
  <si>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</si>
  <si>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</si>
  <si>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</si>
  <si>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</si>
  <si>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</si>
  <si>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</si>
  <si>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</si>
  <si>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</si>
  <si>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</si>
  <si>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</si>
  <si>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</si>
  <si>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</si>
  <si>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</si>
  <si>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</si>
  <si>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</si>
  <si>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</si>
  <si>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</si>
  <si>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</si>
  <si>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</si>
  <si>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</si>
  <si>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</si>
  <si>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</si>
  <si>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</si>
  <si>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</si>
  <si>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</si>
  <si>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</si>
  <si>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</si>
  <si>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</si>
  <si>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</si>
  <si>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</si>
  <si>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</si>
  <si>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</si>
  <si>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</si>
  <si>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</si>
  <si>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</si>
  <si>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</si>
  <si>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</si>
  <si>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</si>
  <si>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</si>
  <si>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</si>
  <si>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</si>
  <si>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</si>
  <si>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</si>
  <si>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</si>
  <si>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</si>
  <si>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</si>
  <si>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</si>
  <si>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</si>
  <si>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</si>
  <si>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</si>
  <si>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</si>
  <si>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</si>
  <si>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</si>
  <si>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</si>
  <si>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</si>
  <si>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</si>
  <si>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</si>
  <si>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</si>
  <si>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</si>
  <si>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</si>
  <si>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</si>
  <si>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</si>
  <si>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</si>
  <si>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</si>
  <si>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</si>
  <si>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</si>
  <si>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</si>
  <si>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</si>
  <si>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</si>
  <si>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</si>
  <si>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</si>
  <si>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</si>
  <si>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</si>
  <si>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</si>
  <si>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</si>
  <si>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</si>
  <si>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</si>
  <si>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</si>
  <si>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</si>
  <si>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</si>
  <si>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</si>
  <si>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</si>
  <si>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</si>
  <si>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</si>
  <si>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</si>
  <si>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</si>
  <si>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</si>
  <si>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</si>
  <si>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</si>
  <si>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</si>
  <si>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</si>
  <si>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</si>
  <si>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</si>
  <si>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</si>
  <si>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</si>
  <si>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</si>
  <si>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</si>
  <si>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</si>
  <si>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</si>
  <si>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</si>
  <si>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</si>
  <si>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</si>
  <si>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</si>
  <si>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</si>
  <si>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</si>
  <si>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</si>
  <si>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</si>
  <si>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</si>
  <si>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</si>
  <si>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</si>
  <si>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</si>
  <si>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</si>
  <si>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</si>
  <si>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</si>
  <si>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</si>
  <si>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</si>
  <si>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</si>
  <si>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</si>
  <si>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</si>
  <si>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</si>
  <si>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</si>
  <si>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</si>
  <si>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</si>
  <si>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</si>
  <si>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</si>
  <si>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</si>
  <si>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</si>
  <si>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</si>
  <si>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</si>
  <si>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</si>
  <si>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</si>
  <si>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</si>
  <si>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</si>
  <si>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</si>
  <si>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</si>
  <si>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</si>
  <si>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</si>
  <si>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</si>
  <si>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</si>
  <si>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</si>
  <si>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</si>
  <si>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</si>
  <si>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</si>
  <si>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</si>
  <si>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</si>
  <si>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</si>
  <si>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</si>
  <si>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</si>
  <si>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</si>
  <si>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</si>
  <si>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</si>
  <si>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</si>
  <si>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</si>
  <si>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</si>
  <si>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</si>
  <si>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</si>
  <si>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</si>
  <si>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</si>
  <si>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</si>
  <si>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</si>
  <si>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</si>
  <si>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</si>
  <si>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</si>
  <si>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</si>
  <si>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</si>
  <si>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</si>
  <si>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</si>
  <si>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</si>
  <si>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</si>
  <si>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</si>
  <si>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</si>
  <si>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</si>
  <si>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</si>
  <si>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</si>
  <si>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</si>
  <si>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</si>
  <si>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</si>
  <si>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</si>
  <si>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</si>
  <si>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</si>
  <si>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</si>
  <si>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</si>
  <si>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</si>
  <si>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</si>
  <si>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</si>
  <si>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</si>
  <si>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</si>
  <si>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</si>
  <si>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</si>
  <si>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</si>
  <si>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</si>
  <si>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</si>
  <si>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</si>
  <si>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</si>
  <si>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</si>
  <si>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</si>
  <si>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</si>
  <si>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</si>
  <si>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</si>
  <si>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</si>
  <si>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</si>
  <si>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</si>
  <si>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</si>
  <si>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</si>
  <si>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</si>
  <si>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</si>
  <si>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</si>
  <si>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</si>
  <si>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</si>
  <si>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</si>
  <si>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</si>
  <si>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</si>
  <si>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</si>
  <si>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</si>
  <si>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</si>
  <si>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</si>
  <si>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</si>
  <si>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</si>
  <si>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</si>
  <si>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</si>
  <si>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</si>
  <si>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</si>
  <si>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</si>
  <si>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</si>
  <si>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</si>
  <si>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</si>
  <si>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</si>
  <si>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</si>
  <si>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</si>
  <si>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</si>
  <si>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</si>
  <si>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</si>
  <si>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</si>
  <si>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</si>
  <si>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</si>
  <si>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</si>
  <si>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</si>
  <si>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</si>
  <si>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</si>
  <si>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</si>
  <si>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</si>
  <si>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</si>
  <si>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</si>
  <si>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</si>
  <si>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</si>
  <si>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</si>
  <si>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</si>
  <si>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</si>
  <si>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</si>
  <si>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</si>
  <si>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</si>
  <si>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</si>
  <si>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</si>
  <si>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</si>
  <si>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</si>
  <si>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</si>
  <si>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</si>
  <si>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</si>
  <si>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</si>
  <si>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</si>
  <si>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</si>
  <si>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</si>
  <si>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</si>
  <si>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</si>
  <si>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</si>
  <si>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</si>
  <si>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</si>
  <si>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</si>
  <si>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</si>
  <si>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</si>
  <si>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</si>
  <si>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</si>
  <si>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</si>
  <si>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</si>
  <si>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</si>
  <si>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</si>
  <si>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</si>
  <si>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</si>
  <si>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</si>
  <si>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</si>
  <si>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</si>
  <si>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</si>
  <si>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</si>
  <si>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</si>
  <si>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</si>
  <si>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</si>
  <si>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</si>
  <si>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</si>
  <si>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</si>
  <si>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</si>
  <si>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</si>
  <si>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</si>
  <si>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</si>
  <si>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</si>
  <si>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</si>
  <si>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</si>
  <si>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</si>
  <si>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</si>
  <si>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</si>
  <si>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</si>
  <si>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</si>
  <si>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</si>
  <si>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</si>
  <si>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</si>
  <si>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</si>
  <si>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</si>
  <si>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</si>
  <si>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</si>
  <si>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</si>
  <si>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</si>
  <si>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</si>
  <si>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</si>
  <si>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</si>
  <si>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</si>
  <si>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</si>
  <si>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</si>
  <si>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</si>
  <si>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</si>
  <si>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</si>
  <si>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</si>
  <si>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</si>
  <si>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</si>
  <si>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</si>
  <si>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</si>
  <si>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</si>
  <si>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</si>
  <si>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</si>
  <si>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</si>
  <si>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</si>
  <si>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</si>
  <si>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</si>
  <si>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</si>
  <si>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</si>
  <si>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</si>
  <si>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</si>
  <si>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</si>
  <si>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</si>
  <si>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</si>
  <si>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</si>
  <si>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</si>
  <si>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</si>
  <si>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</si>
  <si>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</si>
  <si>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</si>
  <si>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</si>
  <si>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</si>
  <si>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</si>
  <si>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</si>
  <si>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</si>
  <si>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</si>
  <si>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</si>
  <si>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</si>
  <si>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</si>
  <si>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</si>
  <si>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</si>
  <si>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</si>
  <si>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</si>
  <si>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</si>
  <si>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</si>
  <si>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</si>
  <si>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</si>
  <si>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</si>
  <si>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</si>
  <si>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</si>
  <si>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</si>
  <si>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</si>
  <si>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</si>
  <si>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</si>
  <si>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</si>
  <si>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</si>
  <si>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</si>
  <si>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</si>
  <si>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</si>
  <si>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</si>
  <si>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</si>
  <si>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</si>
  <si>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</si>
  <si>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</si>
  <si>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</si>
  <si>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</si>
  <si>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</si>
  <si>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</si>
  <si>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</si>
  <si>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</si>
  <si>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</si>
  <si>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</si>
  <si>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</si>
  <si>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</si>
  <si>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</si>
  <si>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</si>
  <si>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</si>
  <si>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</si>
  <si>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</si>
  <si>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</si>
  <si>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</si>
  <si>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</si>
  <si>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</si>
  <si>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</si>
  <si>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</si>
  <si>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</si>
  <si>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</si>
  <si>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</si>
  <si>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</si>
  <si>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</si>
  <si>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</si>
  <si>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</si>
  <si>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</si>
  <si>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</si>
  <si>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</si>
  <si>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</si>
  <si>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</si>
  <si>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</si>
  <si>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</si>
  <si>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</si>
  <si>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</si>
  <si>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</si>
  <si>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</si>
  <si>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</si>
  <si>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</si>
  <si>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</si>
  <si>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</si>
  <si>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</si>
  <si>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</si>
  <si>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</si>
  <si>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</si>
  <si>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</si>
  <si>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</si>
  <si>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</si>
  <si>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</si>
  <si>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</si>
  <si>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</si>
  <si>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</si>
  <si>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</si>
  <si>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</si>
  <si>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</si>
  <si>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</si>
  <si>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</si>
  <si>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</si>
  <si>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</si>
  <si>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</si>
  <si>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</si>
  <si>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</si>
  <si>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</si>
  <si>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</si>
  <si>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</si>
  <si>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</si>
  <si>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</si>
  <si>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</si>
  <si>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</si>
  <si>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</si>
  <si>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</si>
  <si>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</si>
  <si>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</si>
  <si>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</si>
  <si>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</si>
  <si>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</si>
  <si>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</si>
  <si>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</si>
  <si>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</si>
  <si>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</si>
  <si>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</si>
  <si>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</si>
  <si>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</si>
  <si>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</si>
  <si>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</si>
  <si>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</si>
  <si>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</si>
  <si>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</si>
  <si>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</si>
  <si>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</si>
  <si>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</si>
  <si>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</si>
  <si>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</si>
  <si>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</si>
  <si>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</si>
  <si>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</si>
  <si>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</si>
  <si>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</si>
  <si>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</si>
  <si>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</si>
  <si>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</si>
  <si>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</si>
  <si>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</si>
  <si>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</si>
  <si>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</si>
  <si>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</si>
  <si>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</si>
  <si>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</si>
  <si>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</si>
  <si>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</si>
  <si>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</si>
  <si>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</si>
  <si>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</si>
  <si>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</si>
  <si>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</si>
  <si>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</si>
  <si>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</si>
  <si>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</si>
  <si>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</si>
  <si>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</si>
  <si>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</si>
  <si>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</si>
  <si>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</si>
  <si>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</si>
  <si>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</si>
  <si>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</si>
  <si>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</si>
  <si>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</si>
  <si>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</si>
  <si>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</si>
  <si>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</si>
  <si>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</si>
  <si>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</si>
  <si>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</si>
  <si>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</si>
  <si>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</si>
  <si>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</si>
  <si>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</si>
  <si>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</si>
  <si>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</si>
  <si>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</si>
  <si>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</si>
  <si>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</si>
  <si>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</si>
  <si>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</si>
  <si>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</si>
  <si>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</si>
  <si>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</si>
  <si>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</si>
  <si>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</si>
  <si>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</si>
  <si>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</si>
  <si>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</si>
  <si>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</si>
  <si>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</si>
  <si>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</si>
  <si>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</si>
  <si>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</si>
  <si>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</si>
  <si>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</si>
  <si>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</si>
  <si>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</si>
  <si>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</si>
  <si>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</si>
  <si>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</si>
  <si>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</si>
  <si>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</si>
  <si>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</si>
  <si>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</si>
  <si>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</si>
  <si>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</si>
  <si>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</si>
  <si>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</si>
  <si>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</si>
  <si>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</si>
  <si>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</si>
  <si>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</si>
  <si>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</si>
  <si>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</si>
  <si>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</si>
  <si>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</si>
  <si>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</si>
  <si>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</si>
  <si>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</si>
  <si>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</si>
  <si>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</si>
  <si>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</si>
  <si>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</si>
  <si>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</si>
  <si>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</si>
  <si>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</si>
  <si>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</si>
  <si>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</si>
  <si>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</si>
  <si>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</si>
  <si>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</si>
  <si>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</si>
  <si>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</si>
  <si>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</si>
  <si>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</si>
  <si>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</si>
  <si>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</si>
  <si>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</si>
  <si>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</si>
  <si>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</si>
  <si>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</si>
  <si>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</si>
  <si>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</si>
  <si>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</si>
  <si>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</si>
  <si>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</si>
  <si>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</si>
  <si>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</si>
  <si>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</si>
  <si>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</si>
  <si>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</si>
  <si>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</si>
  <si>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</si>
  <si>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</si>
  <si>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</si>
  <si>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</si>
  <si>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</si>
  <si>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</si>
  <si>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</si>
  <si>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</si>
  <si>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</si>
  <si>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</si>
  <si>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</si>
  <si>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</si>
  <si>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</si>
  <si>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</si>
  <si>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</si>
  <si>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</si>
  <si>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</si>
  <si>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</si>
  <si>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</si>
  <si>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</si>
  <si>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</si>
  <si>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</si>
  <si>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</si>
  <si>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</si>
  <si>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</si>
  <si>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</si>
  <si>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</si>
  <si>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</si>
  <si>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</si>
  <si>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</si>
  <si>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</si>
  <si>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</si>
  <si>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</si>
  <si>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</si>
  <si>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</si>
  <si>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</si>
  <si>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</si>
  <si>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</si>
  <si>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</si>
  <si>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</si>
  <si>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</si>
  <si>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</si>
  <si>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</si>
  <si>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</si>
  <si>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</si>
  <si>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</si>
  <si>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</si>
  <si>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</si>
  <si>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</si>
  <si>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</si>
  <si>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</si>
  <si>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</si>
  <si>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</si>
  <si>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</si>
  <si>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</si>
  <si>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</si>
  <si>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</si>
  <si>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</si>
  <si>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</si>
  <si>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</si>
  <si>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</si>
  <si>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</si>
  <si>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</si>
  <si>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</si>
  <si>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</si>
  <si>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</si>
  <si>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</si>
  <si>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</si>
  <si>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</si>
  <si>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</si>
  <si>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</si>
  <si>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</si>
  <si>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</si>
  <si>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</si>
  <si>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</si>
  <si>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</si>
  <si>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</si>
  <si>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</si>
  <si>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</si>
  <si>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</si>
  <si>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</si>
  <si>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</si>
  <si>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</si>
  <si>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</si>
  <si>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</si>
  <si>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</si>
  <si>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</si>
  <si>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</si>
  <si>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</si>
  <si>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</si>
  <si>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</si>
  <si>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</si>
  <si>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</si>
  <si>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</si>
  <si>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</si>
  <si>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</si>
  <si>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</si>
  <si>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</si>
  <si>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</si>
  <si>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</si>
  <si>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</si>
  <si>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</si>
  <si>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</si>
  <si>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</si>
  <si>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</si>
  <si>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</si>
  <si>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</si>
  <si>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</si>
  <si>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</si>
  <si>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</si>
  <si>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</si>
  <si>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</si>
  <si>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</si>
  <si>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</si>
  <si>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</si>
  <si>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</si>
  <si>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</si>
  <si>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</si>
  <si>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</si>
  <si>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</si>
  <si>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</si>
  <si>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</si>
  <si>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</si>
  <si>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</si>
  <si>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</si>
  <si>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</si>
  <si>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</si>
  <si>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</si>
  <si>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</si>
  <si>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</si>
  <si>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</si>
  <si>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</si>
  <si>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</si>
  <si>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</si>
  <si>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</si>
  <si>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</si>
  <si>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</si>
  <si>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</si>
  <si>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</si>
  <si>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</si>
  <si>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</si>
  <si>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</si>
  <si>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</si>
  <si>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</si>
  <si>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</si>
  <si>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</si>
  <si>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</si>
  <si>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</si>
  <si>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</si>
  <si>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</si>
  <si>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</si>
  <si>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</si>
  <si>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</si>
  <si>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</si>
  <si>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</si>
  <si>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</si>
  <si>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</si>
  <si>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</si>
  <si>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</si>
  <si>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</si>
  <si>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</si>
  <si>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</si>
  <si>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</si>
  <si>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</si>
  <si>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</si>
  <si>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</si>
  <si>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</si>
  <si>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</si>
  <si>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</si>
  <si>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</si>
  <si>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</si>
  <si>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</si>
  <si>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</si>
  <si>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</si>
  <si>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</si>
  <si>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</si>
  <si>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</si>
  <si>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</si>
  <si>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</si>
  <si>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</si>
  <si>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</si>
  <si>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</si>
  <si>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</si>
  <si>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</si>
  <si>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</si>
  <si>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</si>
  <si>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</si>
  <si>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</si>
  <si>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</si>
  <si>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</si>
  <si>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</si>
  <si>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</si>
  <si>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</si>
  <si>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</si>
  <si>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</si>
  <si>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</si>
  <si>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</si>
  <si>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</si>
  <si>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</si>
  <si>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</si>
  <si>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</si>
  <si>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</si>
  <si>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</si>
  <si>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</si>
  <si>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</si>
  <si>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</si>
  <si>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</si>
  <si>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</si>
  <si>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</si>
  <si>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</si>
  <si>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</si>
  <si>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</si>
  <si>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</si>
  <si>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</si>
  <si>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</si>
  <si>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</si>
  <si>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</si>
  <si>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</si>
  <si>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</si>
  <si>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</si>
  <si>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</si>
  <si>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</si>
  <si>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</si>
  <si>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</si>
  <si>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</si>
  <si>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</si>
  <si>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</si>
  <si>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</si>
  <si>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</si>
  <si>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</si>
  <si>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</si>
  <si>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</si>
  <si>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</si>
  <si>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</si>
  <si>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</si>
  <si>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</si>
  <si>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</si>
  <si>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</si>
  <si>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</si>
  <si>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</si>
  <si>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</si>
  <si>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</si>
  <si>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</si>
  <si>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</si>
  <si>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</si>
  <si>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</si>
  <si>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</si>
  <si>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</si>
  <si>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</si>
  <si>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</si>
  <si>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</si>
  <si>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</si>
  <si>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</si>
  <si>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</si>
  <si>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</si>
  <si>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</si>
  <si>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</si>
  <si>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</si>
  <si>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</si>
  <si>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</si>
  <si>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</si>
  <si>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</si>
  <si>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</si>
  <si>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</si>
  <si>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</si>
  <si>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</si>
  <si>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</si>
  <si>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</si>
  <si>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</si>
  <si>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</si>
  <si>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</si>
  <si>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</si>
  <si>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</si>
  <si>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</si>
  <si>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</si>
  <si>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</si>
  <si>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</si>
  <si>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</si>
  <si>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</si>
  <si>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</si>
  <si>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</si>
  <si>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</si>
  <si>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</si>
  <si>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</si>
  <si>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</si>
  <si>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</si>
  <si>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</si>
  <si>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</si>
  <si>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</si>
  <si>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</si>
  <si>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</si>
  <si>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</si>
  <si>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</si>
  <si>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</si>
  <si>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</si>
  <si>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</si>
  <si>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</si>
  <si>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</si>
  <si>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</si>
  <si>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</si>
  <si>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</si>
  <si>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</si>
  <si>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</si>
  <si>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</si>
  <si>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</si>
  <si>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</si>
  <si>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</si>
  <si>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</si>
  <si>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</si>
  <si>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</si>
  <si>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</si>
  <si>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</si>
  <si>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</si>
  <si>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</si>
  <si>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</si>
  <si>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</si>
  <si>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</si>
  <si>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</si>
  <si>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</si>
  <si>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</si>
  <si>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</si>
  <si>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</si>
  <si>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</si>
  <si>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</si>
  <si>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</si>
  <si>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</si>
  <si>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</si>
  <si>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</si>
  <si>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</si>
  <si>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</si>
  <si>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</si>
  <si>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</si>
  <si>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</si>
  <si>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</si>
  <si>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</si>
  <si>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</si>
  <si>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</si>
  <si>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</si>
  <si>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</si>
  <si>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</si>
  <si>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</si>
  <si>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</si>
  <si>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</si>
  <si>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</si>
  <si>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</si>
  <si>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</si>
  <si>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</si>
  <si>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</si>
  <si>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</si>
  <si>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</si>
  <si>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</si>
  <si>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</si>
  <si>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</si>
  <si>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</si>
  <si>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</si>
  <si>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</si>
  <si>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</si>
  <si>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</si>
  <si>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</si>
  <si>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</si>
  <si>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</si>
  <si>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</si>
  <si>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</si>
  <si>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</si>
  <si>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</si>
  <si>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</si>
  <si>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</si>
  <si>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</si>
  <si>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</si>
  <si>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</si>
  <si>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</si>
  <si>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</si>
  <si>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</si>
  <si>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</si>
  <si>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</si>
  <si>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</si>
  <si>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</si>
  <si>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</si>
  <si>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</si>
  <si>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</si>
  <si>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</si>
  <si>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</si>
  <si>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</si>
  <si>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</si>
  <si>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</si>
  <si>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</si>
  <si>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</si>
  <si>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</si>
  <si>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</si>
  <si>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</si>
  <si>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</si>
  <si>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</si>
  <si>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</si>
  <si>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</si>
  <si>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</si>
  <si>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</si>
  <si>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</si>
  <si>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</si>
  <si>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</si>
  <si>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</si>
  <si>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</si>
  <si>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</si>
  <si>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</si>
  <si>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</si>
  <si>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</si>
  <si>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</si>
  <si>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</si>
  <si>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</si>
  <si>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</si>
  <si>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</si>
  <si>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</si>
  <si>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</si>
  <si>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</si>
  <si>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</si>
  <si>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</si>
  <si>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</si>
  <si>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</si>
  <si>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</si>
  <si>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</si>
  <si>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</si>
  <si>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</si>
  <si>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</si>
  <si>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</si>
  <si>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</si>
  <si>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</si>
  <si>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</si>
  <si>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</si>
  <si>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</si>
  <si>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</si>
  <si>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</si>
  <si>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</si>
  <si>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</si>
  <si>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</si>
  <si>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</si>
  <si>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</si>
  <si>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</si>
  <si>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</si>
  <si>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</si>
  <si>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</si>
  <si>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</si>
  <si>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</si>
  <si>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</si>
  <si>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</si>
  <si>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</si>
  <si>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</si>
  <si>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</si>
  <si>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</si>
  <si>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</si>
  <si>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</si>
  <si>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</si>
  <si>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</si>
  <si>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</si>
  <si>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</si>
  <si>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</si>
  <si>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</si>
  <si>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</si>
  <si>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</si>
  <si>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</si>
  <si>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</si>
  <si>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</si>
  <si>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</si>
  <si>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</si>
  <si>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</si>
  <si>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</si>
  <si>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</si>
  <si>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</si>
  <si>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</si>
  <si>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</si>
  <si>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</si>
  <si>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</si>
  <si>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</si>
  <si>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</si>
  <si>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</si>
  <si>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</si>
  <si>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</si>
  <si>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</si>
  <si>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</si>
  <si>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</si>
  <si>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</si>
  <si>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</si>
  <si>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</si>
  <si>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</si>
  <si>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</si>
  <si>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</si>
  <si>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</si>
  <si>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</si>
  <si>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</si>
  <si>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</si>
  <si>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</si>
  <si>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</si>
  <si>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</si>
  <si>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</si>
  <si>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</si>
  <si>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</si>
  <si>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</si>
  <si>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</si>
  <si>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</si>
  <si>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</si>
  <si>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</si>
  <si>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</si>
  <si>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</si>
  <si>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</si>
  <si>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</si>
  <si>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</si>
  <si>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</si>
  <si>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</si>
  <si>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</si>
  <si>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</si>
  <si>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</si>
  <si>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</si>
  <si>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</si>
  <si>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</si>
  <si>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</si>
  <si>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</si>
  <si>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</si>
  <si>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</si>
  <si>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</si>
  <si>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</si>
  <si>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</si>
  <si>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</si>
  <si>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</si>
  <si>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</si>
  <si>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</si>
  <si>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</si>
  <si>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</si>
  <si>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</si>
  <si>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</si>
  <si>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</si>
  <si>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</si>
  <si>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</si>
  <si>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</si>
  <si>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</si>
  <si>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</si>
  <si>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</si>
  <si>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</si>
  <si>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</si>
  <si>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</si>
  <si>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</si>
  <si>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</si>
  <si>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</si>
  <si>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</si>
  <si>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</si>
  <si>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</si>
  <si>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</si>
  <si>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</si>
  <si>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</si>
  <si>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</si>
  <si>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</si>
  <si>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</si>
  <si>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</si>
  <si>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</si>
  <si>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</si>
  <si>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</si>
  <si>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</si>
  <si>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</si>
  <si>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</si>
  <si>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</si>
  <si>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</si>
  <si>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</si>
  <si>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</si>
  <si>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</si>
  <si>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</si>
  <si>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</si>
  <si>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</si>
  <si>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</si>
  <si>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</si>
  <si>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</si>
  <si>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</si>
  <si>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</si>
  <si>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</si>
  <si>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</si>
  <si>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</si>
  <si>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</si>
  <si>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</si>
  <si>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</si>
  <si>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</si>
  <si>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</si>
  <si>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</si>
  <si>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</si>
  <si>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</si>
  <si>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</si>
  <si>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</si>
  <si>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</si>
  <si>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</si>
  <si>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</si>
  <si>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</si>
  <si>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</si>
  <si>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</si>
  <si>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</si>
  <si>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</si>
  <si>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</si>
  <si>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</si>
  <si>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</si>
  <si>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</si>
  <si>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</si>
  <si>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</si>
  <si>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</si>
  <si>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</si>
  <si>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</si>
  <si>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</si>
  <si>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</si>
  <si>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</si>
  <si>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</si>
  <si>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</si>
  <si>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</si>
  <si>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</si>
  <si>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</si>
  <si>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</si>
  <si>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</si>
  <si>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</si>
  <si>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</si>
  <si>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</si>
  <si>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</si>
  <si>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</si>
  <si>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</si>
  <si>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</si>
  <si>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</si>
  <si>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</si>
  <si>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</si>
  <si>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</si>
  <si>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</si>
  <si>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</si>
  <si>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</si>
  <si>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</si>
  <si>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</si>
  <si>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</si>
  <si>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</si>
  <si>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</si>
  <si>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</si>
  <si>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</si>
  <si>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</si>
  <si>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</si>
  <si>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</si>
  <si>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</si>
  <si>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</si>
  <si>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</si>
  <si>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</si>
  <si>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</si>
  <si>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</si>
  <si>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</si>
  <si>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</si>
  <si>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</si>
  <si>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</si>
  <si>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</si>
  <si>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</si>
  <si>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</si>
  <si>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</si>
  <si>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</si>
  <si>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</si>
  <si>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</si>
  <si>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</si>
  <si>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</si>
  <si>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</si>
  <si>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</si>
  <si>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</si>
  <si>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</si>
  <si>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</si>
  <si>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</si>
  <si>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</si>
  <si>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</si>
  <si>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</si>
  <si>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</si>
  <si>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</si>
  <si>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</si>
  <si>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</si>
  <si>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</si>
  <si>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</si>
  <si>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</si>
  <si>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</si>
  <si>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</si>
  <si>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</si>
  <si>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</si>
  <si>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</si>
  <si>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</si>
  <si>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</si>
  <si>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</si>
  <si>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</si>
  <si>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</si>
  <si>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</si>
  <si>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</si>
  <si>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</si>
  <si>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</si>
  <si>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</si>
  <si>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</si>
  <si>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</si>
  <si>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</si>
  <si>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</si>
  <si>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</si>
  <si>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</si>
  <si>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</si>
  <si>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</si>
  <si>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</si>
  <si>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</si>
  <si>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</si>
  <si>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</si>
  <si>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</si>
  <si>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</si>
  <si>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</si>
  <si>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</si>
  <si>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</si>
  <si>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</si>
  <si>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</si>
  <si>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</si>
  <si>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</si>
  <si>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</si>
  <si>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</si>
  <si>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</si>
  <si>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</si>
  <si>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</si>
  <si>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</si>
  <si>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</si>
  <si>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</si>
  <si>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</si>
  <si>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</si>
  <si>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</si>
  <si>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</si>
  <si>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</si>
  <si>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</si>
  <si>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</si>
  <si>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</si>
  <si>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</si>
  <si>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</si>
  <si>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</si>
  <si>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</si>
  <si>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</si>
  <si>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</si>
  <si>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</si>
  <si>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</si>
  <si>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</si>
  <si>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</si>
  <si>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</si>
  <si>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</si>
  <si>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</si>
  <si>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</si>
  <si>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</si>
  <si>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</si>
  <si>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</si>
  <si>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</si>
  <si>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</si>
  <si>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</si>
  <si>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</si>
  <si>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</si>
  <si>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</si>
  <si>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</si>
  <si>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</si>
  <si>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</si>
  <si>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</si>
  <si>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</si>
  <si>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</si>
  <si>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</si>
  <si>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</si>
  <si>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</si>
  <si>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</si>
  <si>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</si>
  <si>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</si>
  <si>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</si>
  <si>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</si>
  <si>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</si>
  <si>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</si>
  <si>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</si>
  <si>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</si>
  <si>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</si>
  <si>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</si>
  <si>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</si>
  <si>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</si>
  <si>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</si>
  <si>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</si>
  <si>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</si>
  <si>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</si>
  <si>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</si>
  <si>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</si>
  <si>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</si>
  <si>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</si>
  <si>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</si>
  <si>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</si>
  <si>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</si>
  <si>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</si>
  <si>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</si>
  <si>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</si>
  <si>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</si>
  <si>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</si>
  <si>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</si>
  <si>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</si>
  <si>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</si>
  <si>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</si>
  <si>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</si>
  <si>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</si>
  <si>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</si>
  <si>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</si>
  <si>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</si>
  <si>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</si>
  <si>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</si>
  <si>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</si>
  <si>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</si>
  <si>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</si>
  <si>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</si>
  <si>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</si>
  <si>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</si>
  <si>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</si>
  <si>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</si>
  <si>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</si>
  <si>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</si>
  <si>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</si>
  <si>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</si>
  <si>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</si>
  <si>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</si>
  <si>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</si>
  <si>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</si>
  <si>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</si>
  <si>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</si>
  <si>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</si>
  <si>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</si>
  <si>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</si>
  <si>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</si>
  <si>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</si>
  <si>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</si>
  <si>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</si>
  <si>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</si>
  <si>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</si>
  <si>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</si>
  <si>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</si>
  <si>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</si>
  <si>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</si>
  <si>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</si>
  <si>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</si>
  <si>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</si>
  <si>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</si>
  <si>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</si>
  <si>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</si>
  <si>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</si>
  <si>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</si>
  <si>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</si>
  <si>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</si>
  <si>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</si>
  <si>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</si>
  <si>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</si>
  <si>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</si>
  <si>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</si>
  <si>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</si>
  <si>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</si>
  <si>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</si>
  <si>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</si>
  <si>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</si>
  <si>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</si>
  <si>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</si>
  <si>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</si>
  <si>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</si>
  <si>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</si>
  <si>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</si>
  <si>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</si>
  <si>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</si>
  <si>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</si>
  <si>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</si>
  <si>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</si>
  <si>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</si>
  <si>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</si>
  <si>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</si>
  <si>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</si>
  <si>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</si>
  <si>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</si>
  <si>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</si>
  <si>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</si>
  <si>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</si>
  <si>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</si>
  <si>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</si>
  <si>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</si>
  <si>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</si>
  <si>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</si>
  <si>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</si>
  <si>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</si>
  <si>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</si>
  <si>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</si>
  <si>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</si>
  <si>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</si>
  <si>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</si>
  <si>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</si>
  <si>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</si>
  <si>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</si>
  <si>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</si>
  <si>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</si>
  <si>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</si>
  <si>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</si>
  <si>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</si>
  <si>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</si>
  <si>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</si>
  <si>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</si>
  <si>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</si>
  <si>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</si>
  <si>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</si>
  <si>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</si>
  <si>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</si>
  <si>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</si>
  <si>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</si>
  <si>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</si>
  <si>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</si>
  <si>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</si>
  <si>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</si>
  <si>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</si>
  <si>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</si>
  <si>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</si>
  <si>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</si>
  <si>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</si>
  <si>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</si>
  <si>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</si>
  <si>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</si>
  <si>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</si>
  <si>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</si>
  <si>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</si>
  <si>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</si>
  <si>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</si>
  <si>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</si>
  <si>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</si>
  <si>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</si>
  <si>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</si>
  <si>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</si>
  <si>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</si>
  <si>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</si>
  <si>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</si>
  <si>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</si>
  <si>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</si>
  <si>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</si>
  <si>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</si>
  <si>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</si>
  <si>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</si>
  <si>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</si>
  <si>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</si>
  <si>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</si>
  <si>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</si>
  <si>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</si>
  <si>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</si>
  <si>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</si>
  <si>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</si>
  <si>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</si>
  <si>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</si>
  <si>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</si>
  <si>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</si>
  <si>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</si>
  <si>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</si>
  <si>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</si>
  <si>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</si>
  <si>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</si>
  <si>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</si>
  <si>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</si>
  <si>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</si>
  <si>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</si>
  <si>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</si>
  <si>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</si>
  <si>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</si>
  <si>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</si>
  <si>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</si>
  <si>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</si>
  <si>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</si>
  <si>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</si>
  <si>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</si>
  <si>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</si>
  <si>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</si>
  <si>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</si>
  <si>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</si>
  <si>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</si>
  <si>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</si>
  <si>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</si>
  <si>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</si>
  <si>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</si>
  <si>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</si>
  <si>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</si>
  <si>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</si>
  <si>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</si>
  <si>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</si>
  <si>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</si>
  <si>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</si>
  <si>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</si>
  <si>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</si>
  <si>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</si>
  <si>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</si>
  <si>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</si>
  <si>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</si>
  <si>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</si>
  <si>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</si>
  <si>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</si>
  <si>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</si>
  <si>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</si>
  <si>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</si>
  <si>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</si>
  <si>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</si>
  <si>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</si>
  <si>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</si>
  <si>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</si>
  <si>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</si>
  <si>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</si>
  <si>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</si>
  <si>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</si>
  <si>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</si>
  <si>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</si>
  <si>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</si>
  <si>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</si>
  <si>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</si>
  <si>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</si>
  <si>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</si>
  <si>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</si>
  <si>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</si>
  <si>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</si>
  <si>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</si>
  <si>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</si>
  <si>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</si>
  <si>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</si>
  <si>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</si>
  <si>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</si>
  <si>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</si>
  <si>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</si>
  <si>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</si>
  <si>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</si>
  <si>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</si>
  <si>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</si>
  <si>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</si>
  <si>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</si>
  <si>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</si>
  <si>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</si>
  <si>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</si>
  <si>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</si>
  <si>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</si>
  <si>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</si>
  <si>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</si>
  <si>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</si>
  <si>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</si>
  <si>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</si>
  <si>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</si>
  <si>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</si>
  <si>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</si>
  <si>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</si>
  <si>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</si>
  <si>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</si>
  <si>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</si>
  <si>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</si>
  <si>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</si>
  <si>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</si>
  <si>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</si>
  <si>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</si>
  <si>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</si>
  <si>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</si>
  <si>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</si>
  <si>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</si>
  <si>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</si>
  <si>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</si>
  <si>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</si>
  <si>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</si>
  <si>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</si>
  <si>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</si>
  <si>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</si>
  <si>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</si>
  <si>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</si>
  <si>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</si>
  <si>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</si>
  <si>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</si>
  <si>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</si>
  <si>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</si>
  <si>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</si>
  <si>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</si>
  <si>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</si>
  <si>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</si>
  <si>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</si>
  <si>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</si>
  <si>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</si>
  <si>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</si>
  <si>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</si>
  <si>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</si>
  <si>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</si>
  <si>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</si>
  <si>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</si>
  <si>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</si>
  <si>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</si>
  <si>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</si>
  <si>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</si>
  <si>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</si>
  <si>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</si>
  <si>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</si>
  <si>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</si>
  <si>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</si>
  <si>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</si>
  <si>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</si>
  <si>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</si>
  <si>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</si>
  <si>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</si>
  <si>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</si>
  <si>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</si>
  <si>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</si>
  <si>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</si>
  <si>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</si>
  <si>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</si>
  <si>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</si>
  <si>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</si>
  <si>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</si>
  <si>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</si>
  <si>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</si>
  <si>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</si>
  <si>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</si>
  <si>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</si>
  <si>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</si>
  <si>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</si>
  <si>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</si>
  <si>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</si>
  <si>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</si>
  <si>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</si>
  <si>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</si>
  <si>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</si>
  <si>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</si>
  <si>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</si>
  <si>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</si>
  <si>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</si>
  <si>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</si>
  <si>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</si>
  <si>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</si>
  <si>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</si>
  <si>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</si>
  <si>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</si>
  <si>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</si>
  <si>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</si>
  <si>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</si>
  <si>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</si>
  <si>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</si>
  <si>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</si>
  <si>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</si>
  <si>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</si>
  <si>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</si>
  <si>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</si>
  <si>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</si>
  <si>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</si>
  <si>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</si>
  <si>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</si>
  <si>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</si>
  <si>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</si>
  <si>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</si>
  <si>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</si>
  <si>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</si>
  <si>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</si>
  <si>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</si>
  <si>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</si>
  <si>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</si>
  <si>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</si>
  <si>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</si>
  <si>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</si>
  <si>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</si>
  <si>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</si>
  <si>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</si>
  <si>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</si>
  <si>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</si>
  <si>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</si>
  <si>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</si>
  <si>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</si>
  <si>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</si>
  <si>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</si>
  <si>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</si>
  <si>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</si>
  <si>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</si>
  <si>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</si>
  <si>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</si>
  <si>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</si>
  <si>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</si>
  <si>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</si>
  <si>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</si>
  <si>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</si>
  <si>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</si>
  <si>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</si>
  <si>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</si>
  <si>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</si>
  <si>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</si>
  <si>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</si>
  <si>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</si>
  <si>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</si>
  <si>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</si>
  <si>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</si>
  <si>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</si>
  <si>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</si>
  <si>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</si>
  <si>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</si>
  <si>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</si>
  <si>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</si>
  <si>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</si>
  <si>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</si>
  <si>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</si>
  <si>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</si>
  <si>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</si>
  <si>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</si>
  <si>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</si>
  <si>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</si>
  <si>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</si>
  <si>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</si>
  <si>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</si>
  <si>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</si>
  <si>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</si>
  <si>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</si>
  <si>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</si>
  <si>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</si>
  <si>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</si>
  <si>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</si>
  <si>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</si>
  <si>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</si>
  <si>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</si>
  <si>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</si>
  <si>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</si>
  <si>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</si>
  <si>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</si>
  <si>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</si>
  <si>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</si>
  <si>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</si>
  <si>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</si>
  <si>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</si>
  <si>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</si>
  <si>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</si>
  <si>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</si>
  <si>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</si>
  <si>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</si>
  <si>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</si>
  <si>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</si>
  <si>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</si>
  <si>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</si>
  <si>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</si>
  <si>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</si>
  <si>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</si>
  <si>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</si>
  <si>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</si>
  <si>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</si>
  <si>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</si>
  <si>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</si>
  <si>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</si>
  <si>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</si>
  <si>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</si>
  <si>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</si>
  <si>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</si>
  <si>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</si>
  <si>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</si>
  <si>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</si>
  <si>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</si>
  <si>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</si>
  <si>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</si>
  <si>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</si>
  <si>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</si>
  <si>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</si>
  <si>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</si>
  <si>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</si>
  <si>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</si>
  <si>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</si>
  <si>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</si>
  <si>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</si>
  <si>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</si>
  <si>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</si>
  <si>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</si>
  <si>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</si>
  <si>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</si>
  <si>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</si>
  <si>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</si>
  <si>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</si>
  <si>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</si>
  <si>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</si>
  <si>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</si>
  <si>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</si>
  <si>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</si>
  <si>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</si>
  <si>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</si>
  <si>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</si>
  <si>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</si>
  <si>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</si>
  <si>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</si>
  <si>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</si>
  <si>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</si>
  <si>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</si>
  <si>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</si>
  <si>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</si>
  <si>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</si>
  <si>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</si>
  <si>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</si>
  <si>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</si>
  <si>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</si>
  <si>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</si>
  <si>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</si>
  <si>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</si>
  <si>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</si>
  <si>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</si>
  <si>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</si>
  <si>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</si>
  <si>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</si>
  <si>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</si>
  <si>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</si>
  <si>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</si>
  <si>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</si>
  <si>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</si>
  <si>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</si>
  <si>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</si>
  <si>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</si>
  <si>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</si>
  <si>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</si>
  <si>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</si>
  <si>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</si>
  <si>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</si>
  <si>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</si>
  <si>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</si>
  <si>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</si>
  <si>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</si>
  <si>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</si>
  <si>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</si>
  <si>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</si>
  <si>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</si>
  <si>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</si>
  <si>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</si>
  <si>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</si>
  <si>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</si>
  <si>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</si>
  <si>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</si>
  <si>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</si>
  <si>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</si>
  <si>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</si>
  <si>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</si>
  <si>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</si>
  <si>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</si>
  <si>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</si>
  <si>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</si>
  <si>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</si>
  <si>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</si>
  <si>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</si>
  <si>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</si>
  <si>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</si>
  <si>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</si>
  <si>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</si>
  <si>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</si>
  <si>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</si>
  <si>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</si>
  <si>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</si>
  <si>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</si>
  <si>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</si>
  <si>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</si>
  <si>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</si>
  <si>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</si>
  <si>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</si>
  <si>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</si>
  <si>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</si>
  <si>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</si>
  <si>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</si>
  <si>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</si>
  <si>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</si>
  <si>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</si>
  <si>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</si>
  <si>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</si>
  <si>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</si>
  <si>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</si>
  <si>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</si>
  <si>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</si>
  <si>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</si>
  <si>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</si>
  <si>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</si>
  <si>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</si>
  <si>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</si>
  <si>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</si>
  <si>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</si>
  <si>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</si>
  <si>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</si>
  <si>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</si>
  <si>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</si>
  <si>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</si>
  <si>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</si>
  <si>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</si>
  <si>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</si>
  <si>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</si>
  <si>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</si>
  <si>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</si>
  <si>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</si>
  <si>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</si>
  <si>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</si>
  <si>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</si>
  <si>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</si>
  <si>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</si>
  <si>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</si>
  <si>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</si>
  <si>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</si>
  <si>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</si>
  <si>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</si>
  <si>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</si>
  <si>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</si>
  <si>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</si>
  <si>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</si>
  <si>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</si>
  <si>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</si>
  <si>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</si>
  <si>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</si>
  <si>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</si>
  <si>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</si>
  <si>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</si>
  <si>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</si>
  <si>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</si>
  <si>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</si>
  <si>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</si>
  <si>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</si>
  <si>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</si>
  <si>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</si>
  <si>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</si>
  <si>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</si>
  <si>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</si>
  <si>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</si>
  <si>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</si>
  <si>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</si>
  <si>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</si>
  <si>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</si>
  <si>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</si>
  <si>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</si>
  <si>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</si>
  <si>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</si>
  <si>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</si>
  <si>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</si>
  <si>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</si>
  <si>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</si>
  <si>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</si>
  <si>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</si>
  <si>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</si>
  <si>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</si>
  <si>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</si>
  <si>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</si>
  <si>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</si>
  <si>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</si>
  <si>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</si>
  <si>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</si>
  <si>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</si>
  <si>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</si>
  <si>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</si>
  <si>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</si>
  <si>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</si>
  <si>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</si>
  <si>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</si>
  <si>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</si>
  <si>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</si>
  <si>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</si>
  <si>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</si>
  <si>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</si>
  <si>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</si>
  <si>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</si>
  <si>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</si>
  <si>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</si>
  <si>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</si>
  <si>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</si>
  <si>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</si>
  <si>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</si>
  <si>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</si>
  <si>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</si>
  <si>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</si>
  <si>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</si>
  <si>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</si>
  <si>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</si>
  <si>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</si>
  <si>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</si>
  <si>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</si>
  <si>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</si>
  <si>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</si>
  <si>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</si>
  <si>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</si>
  <si>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</si>
  <si>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</si>
  <si>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</si>
  <si>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</si>
  <si>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</si>
  <si>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</si>
  <si>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</si>
  <si>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</si>
  <si>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</si>
  <si>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</si>
  <si>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</si>
  <si>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</si>
  <si>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</si>
  <si>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</si>
  <si>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</si>
  <si>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</si>
  <si>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</si>
  <si>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</si>
  <si>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</si>
  <si>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</si>
  <si>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</si>
  <si>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</si>
  <si>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</si>
  <si>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</si>
  <si>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</si>
  <si>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</si>
  <si>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</si>
  <si>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</si>
  <si>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</si>
  <si>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</si>
  <si>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</si>
  <si>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</si>
  <si>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</si>
  <si>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</si>
  <si>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</si>
  <si>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</si>
  <si>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</si>
  <si>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</si>
  <si>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</si>
  <si>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</si>
  <si>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</si>
  <si>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</si>
  <si>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</si>
  <si>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</si>
  <si>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</si>
  <si>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</si>
  <si>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</si>
  <si>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</si>
  <si>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</si>
  <si>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</si>
  <si>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</si>
  <si>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</si>
  <si>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</si>
  <si>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</si>
  <si>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</si>
  <si>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</si>
  <si>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</si>
  <si>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</si>
  <si>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</si>
  <si>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</si>
  <si>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</si>
  <si>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</si>
  <si>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</si>
  <si>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</si>
  <si>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</si>
  <si>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</si>
  <si>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</si>
  <si>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</si>
  <si>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</si>
  <si>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</si>
  <si>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</si>
  <si>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</si>
  <si>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</si>
  <si>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</si>
  <si>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</si>
  <si>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</si>
  <si>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</si>
  <si>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</si>
  <si>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</si>
  <si>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</si>
  <si>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</si>
  <si>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</si>
  <si>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</si>
  <si>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</si>
  <si>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</si>
  <si>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</si>
  <si>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</si>
  <si>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</si>
  <si>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</si>
  <si>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</si>
  <si>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</si>
  <si>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</si>
  <si>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</si>
  <si>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</si>
  <si>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</si>
  <si>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</si>
  <si>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</si>
  <si>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</si>
  <si>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</si>
  <si>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</si>
  <si>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</si>
  <si>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</si>
  <si>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</si>
  <si>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</si>
  <si>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</si>
  <si>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</si>
  <si>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</si>
  <si>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</si>
  <si>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</si>
  <si>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</si>
  <si>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</si>
  <si>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</si>
  <si>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</si>
  <si>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</si>
  <si>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</si>
  <si>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</si>
  <si>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</si>
  <si>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</si>
  <si>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</si>
  <si>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</si>
  <si>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</si>
  <si>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</si>
  <si>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</si>
  <si>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</si>
  <si>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</si>
  <si>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</si>
  <si>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</si>
  <si>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</si>
  <si>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</si>
  <si>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</si>
  <si>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</si>
  <si>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</si>
  <si>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</si>
  <si>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</si>
  <si>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</si>
  <si>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</si>
  <si>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</si>
  <si>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</si>
  <si>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</si>
  <si>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</si>
  <si>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</si>
  <si>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</si>
  <si>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</si>
  <si>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</si>
  <si>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</si>
  <si>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</si>
  <si>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</si>
  <si>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</si>
  <si>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</si>
  <si>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</si>
  <si>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</si>
  <si>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</si>
  <si>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</si>
  <si>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</si>
  <si>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</si>
  <si>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</si>
  <si>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</si>
  <si>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</si>
  <si>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</si>
  <si>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</si>
  <si>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</si>
  <si>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</si>
  <si>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</si>
  <si>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</si>
  <si>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</si>
  <si>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</si>
  <si>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</si>
  <si>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</si>
  <si>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</si>
  <si>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</si>
  <si>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</si>
  <si>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</si>
  <si>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</si>
  <si>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</si>
  <si>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</si>
  <si>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</si>
  <si>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</si>
  <si>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</si>
  <si>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</si>
  <si>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</si>
  <si>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</si>
  <si>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</si>
  <si>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</si>
  <si>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</si>
  <si>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</si>
  <si>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</si>
  <si>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</si>
  <si>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</si>
  <si>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</si>
  <si>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</si>
  <si>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</si>
  <si>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</si>
  <si>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</si>
  <si>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</si>
  <si>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</si>
  <si>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</si>
  <si>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</si>
  <si>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</si>
  <si>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</si>
  <si>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</si>
  <si>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</si>
  <si>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</si>
  <si>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</si>
  <si>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</si>
  <si>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</si>
  <si>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</si>
  <si>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</si>
  <si>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</si>
  <si>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</si>
  <si>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</si>
  <si>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</si>
  <si>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</si>
  <si>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</si>
  <si>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</si>
  <si>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</si>
  <si>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</si>
  <si>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</si>
  <si>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</si>
  <si>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</si>
  <si>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</si>
  <si>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</si>
  <si>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</si>
  <si>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</si>
  <si>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</si>
  <si>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</si>
  <si>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</si>
  <si>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</si>
  <si>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</si>
  <si>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</si>
  <si>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</si>
  <si>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</si>
  <si>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</si>
  <si>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</si>
  <si>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</si>
  <si>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</si>
  <si>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</si>
  <si>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</si>
  <si>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</si>
  <si>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</si>
  <si>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</si>
  <si>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</si>
  <si>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</si>
  <si>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</si>
  <si>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</si>
  <si>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</si>
  <si>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</si>
  <si>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</si>
  <si>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</si>
  <si>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</si>
  <si>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</si>
  <si>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</si>
  <si>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</si>
  <si>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</si>
  <si>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</si>
  <si>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</si>
  <si>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</si>
  <si>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</si>
  <si>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</si>
  <si>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</si>
  <si>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</si>
  <si>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</si>
  <si>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</si>
  <si>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</si>
  <si>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</si>
  <si>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</si>
  <si>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</si>
  <si>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</si>
  <si>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</si>
  <si>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</si>
  <si>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</si>
  <si>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</si>
  <si>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</si>
  <si>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</si>
  <si>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</si>
  <si>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</si>
  <si>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</si>
  <si>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</si>
  <si>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</si>
  <si>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</si>
  <si>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</si>
  <si>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</si>
  <si>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</si>
  <si>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</si>
  <si>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</si>
  <si>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</si>
  <si>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</si>
  <si>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</si>
  <si>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</si>
  <si>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</si>
  <si>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</si>
  <si>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</si>
  <si>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</si>
  <si>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</si>
  <si>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</si>
  <si>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</si>
  <si>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</si>
  <si>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</si>
  <si>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</si>
  <si>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</si>
  <si>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</si>
  <si>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</si>
  <si>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</si>
  <si>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</si>
  <si>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</si>
  <si>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</si>
  <si>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</si>
  <si>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</si>
  <si>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</si>
  <si>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</si>
  <si>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</si>
  <si>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</si>
  <si>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</si>
  <si>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</si>
  <si>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</si>
  <si>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</si>
  <si>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</si>
  <si>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</si>
  <si>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</si>
  <si>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</si>
  <si>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</si>
  <si>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</si>
  <si>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</si>
  <si>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</si>
  <si>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</si>
  <si>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</si>
  <si>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</si>
  <si>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</si>
  <si>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</si>
  <si>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</si>
  <si>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</si>
  <si>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</si>
  <si>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</si>
  <si>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</si>
  <si>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</si>
  <si>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</si>
  <si>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</si>
  <si>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</si>
  <si>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</si>
  <si>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</si>
  <si>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</si>
  <si>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</si>
  <si>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</si>
  <si>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</si>
  <si>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</si>
  <si>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</si>
  <si>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</si>
  <si>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</si>
  <si>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</si>
  <si>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</si>
  <si>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</si>
  <si>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</si>
  <si>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</si>
  <si>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</si>
  <si>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</si>
  <si>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</si>
  <si>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</si>
  <si>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</si>
  <si>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</si>
  <si>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</si>
  <si>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</si>
  <si>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</si>
  <si>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</si>
  <si>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</si>
  <si>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</si>
  <si>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</si>
  <si>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</si>
  <si>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</si>
  <si>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</si>
  <si>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</si>
  <si>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</si>
  <si>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</si>
  <si>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</si>
  <si>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</si>
  <si>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</si>
  <si>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</si>
  <si>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</si>
  <si>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</si>
  <si>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</si>
  <si>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</si>
  <si>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</si>
  <si>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</si>
  <si>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</si>
  <si>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</si>
  <si>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</si>
  <si>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</si>
  <si>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</si>
  <si>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</si>
  <si>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</si>
  <si>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</si>
  <si>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</si>
  <si>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</si>
  <si>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</si>
  <si>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</si>
  <si>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</si>
  <si>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</si>
  <si>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</si>
  <si>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</si>
  <si>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</si>
  <si>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</si>
  <si>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</si>
  <si>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</si>
  <si>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</si>
  <si>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</si>
  <si>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</si>
  <si>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</si>
  <si>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</si>
  <si>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</si>
  <si>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</si>
  <si>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</si>
  <si>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</si>
  <si>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</si>
  <si>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</si>
  <si>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</si>
  <si>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</si>
  <si>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</si>
  <si>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</si>
  <si>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</si>
  <si>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</si>
  <si>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</si>
  <si>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</si>
  <si>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</si>
  <si>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</si>
  <si>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</si>
  <si>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</si>
  <si>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</si>
  <si>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</si>
  <si>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</si>
  <si>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</si>
  <si>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</si>
  <si>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</si>
  <si>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</si>
  <si>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</si>
  <si>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</si>
  <si>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</si>
  <si>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</si>
  <si>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</si>
  <si>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</si>
  <si>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</si>
  <si>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</si>
  <si>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</si>
  <si>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</si>
  <si>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</si>
  <si>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</si>
  <si>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</si>
  <si>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</si>
  <si>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</si>
  <si>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</si>
  <si>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</si>
  <si>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</si>
  <si>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</si>
  <si>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</si>
  <si>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</si>
  <si>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</si>
  <si>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</si>
  <si>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</si>
  <si>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</si>
  <si>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</si>
  <si>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</si>
  <si>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</si>
  <si>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</si>
  <si>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</si>
  <si>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</si>
  <si>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</si>
  <si>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</si>
  <si>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</si>
  <si>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</si>
  <si>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</si>
  <si>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</si>
  <si>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</si>
  <si>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</si>
  <si>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</si>
  <si>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</si>
  <si>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</si>
  <si>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</si>
  <si>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</si>
  <si>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</si>
  <si>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</si>
  <si>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</si>
  <si>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</si>
  <si>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</si>
  <si>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</si>
  <si>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</si>
  <si>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</si>
  <si>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</si>
  <si>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</si>
  <si>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</si>
  <si>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</si>
  <si>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</si>
  <si>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</si>
  <si>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</si>
  <si>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</si>
  <si>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</si>
  <si>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</si>
  <si>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</si>
  <si>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</si>
  <si>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</si>
  <si>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</si>
  <si>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</si>
  <si>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</si>
  <si>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</si>
  <si>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</si>
  <si>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</si>
  <si>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</si>
  <si>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</si>
  <si>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</si>
  <si>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</si>
  <si>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</si>
  <si>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</si>
  <si>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</si>
  <si>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</si>
  <si>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</si>
  <si>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</si>
  <si>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</si>
  <si>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</si>
  <si>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</si>
  <si>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</si>
  <si>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</si>
  <si>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</si>
  <si>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</si>
  <si>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</si>
  <si>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</si>
  <si>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</si>
  <si>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</si>
  <si>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</si>
  <si>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</si>
  <si>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</si>
  <si>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</si>
  <si>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</si>
  <si>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</si>
  <si>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</si>
  <si>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</si>
  <si>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</si>
  <si>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</si>
  <si>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</si>
  <si>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</si>
  <si>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</si>
  <si>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</si>
  <si>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</si>
  <si>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</si>
  <si>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</si>
  <si>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</si>
  <si>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</si>
  <si>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</si>
  <si>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</si>
  <si>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</si>
  <si>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</si>
  <si>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</si>
  <si>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</si>
  <si>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</si>
  <si>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</si>
  <si>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</si>
  <si>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</si>
  <si>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</si>
  <si>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</si>
  <si>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</si>
  <si>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</si>
  <si>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</si>
  <si>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</si>
  <si>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</si>
  <si>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</si>
  <si>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</si>
  <si>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</si>
  <si>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</si>
  <si>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</si>
  <si>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</si>
  <si>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</si>
  <si>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</si>
  <si>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</si>
  <si>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</si>
  <si>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</si>
  <si>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</si>
  <si>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</si>
  <si>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</si>
  <si>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</si>
  <si>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</si>
  <si>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</si>
  <si>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</si>
  <si>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</si>
  <si>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</si>
  <si>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</si>
  <si>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</si>
  <si>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</si>
  <si>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</si>
  <si>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</si>
  <si>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</si>
  <si>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</si>
  <si>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</si>
  <si>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</si>
  <si>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</si>
  <si>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</si>
  <si>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</si>
  <si>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</si>
  <si>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</si>
  <si>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</si>
  <si>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</si>
  <si>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</si>
  <si>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</si>
  <si>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</si>
  <si>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</si>
  <si>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</si>
  <si>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</si>
  <si>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</si>
  <si>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</si>
  <si>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</si>
  <si>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</si>
  <si>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</si>
  <si>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</si>
  <si>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</si>
  <si>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</si>
  <si>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</si>
  <si>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</si>
  <si>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</si>
  <si>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</si>
  <si>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</si>
  <si>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</si>
  <si>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</si>
  <si>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</si>
  <si>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</si>
  <si>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</si>
  <si>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</si>
  <si>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</si>
  <si>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</si>
  <si>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</si>
  <si>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</si>
  <si>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</si>
  <si>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</si>
  <si>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</si>
  <si>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</si>
  <si>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</si>
  <si>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</si>
  <si>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</si>
  <si>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</si>
  <si>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</si>
  <si>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</si>
  <si>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</si>
  <si>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</si>
  <si>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</si>
  <si>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</si>
  <si>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</si>
  <si>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</si>
  <si>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</si>
  <si>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</si>
  <si>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</si>
  <si>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</si>
  <si>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</si>
  <si>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</si>
  <si>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</si>
  <si>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</si>
  <si>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</si>
  <si>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</si>
  <si>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</si>
  <si>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</si>
  <si>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</si>
  <si>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</si>
  <si>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</si>
  <si>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</si>
  <si>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</si>
  <si>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</si>
  <si>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</si>
  <si>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</si>
  <si>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</si>
  <si>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</si>
  <si>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</si>
  <si>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</si>
  <si>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</si>
  <si>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</si>
  <si>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</si>
  <si>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</si>
  <si>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</si>
  <si>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</si>
  <si>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</si>
  <si>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</si>
  <si>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</si>
  <si>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</si>
  <si>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</si>
  <si>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</si>
  <si>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</si>
  <si>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</si>
  <si>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</si>
  <si>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</si>
  <si>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</si>
  <si>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</si>
  <si>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</si>
  <si>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</si>
  <si>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</si>
  <si>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</si>
  <si>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</si>
  <si>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</si>
  <si>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</si>
  <si>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</si>
  <si>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</si>
  <si>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</si>
  <si>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</si>
  <si>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</si>
  <si>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</si>
  <si>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</si>
  <si>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</si>
  <si>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</si>
  <si>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</si>
  <si>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</si>
  <si>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</si>
  <si>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</si>
  <si>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</si>
  <si>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</si>
  <si>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</si>
  <si>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</si>
  <si>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</si>
  <si>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</si>
  <si>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</si>
  <si>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</si>
  <si>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</si>
  <si>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</si>
  <si>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</si>
  <si>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</si>
  <si>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</si>
  <si>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</si>
  <si>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</si>
  <si>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</si>
  <si>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</si>
  <si>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</si>
  <si>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</si>
  <si>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</si>
  <si>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</si>
  <si>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</si>
  <si>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</si>
  <si>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</si>
  <si>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</si>
  <si>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</si>
  <si>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</si>
  <si>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</si>
  <si>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</si>
  <si>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</si>
  <si>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</si>
  <si>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</si>
  <si>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</si>
  <si>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</si>
  <si>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</si>
  <si>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</si>
  <si>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</si>
  <si>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</si>
  <si>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</si>
  <si>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</si>
  <si>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</si>
  <si>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</si>
  <si>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</si>
  <si>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</si>
  <si>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</si>
  <si>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</si>
  <si>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</si>
  <si>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</si>
  <si>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</si>
  <si>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</si>
  <si>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</si>
  <si>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</si>
  <si>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</si>
  <si>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</si>
  <si>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</si>
  <si>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</si>
  <si>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</si>
  <si>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</si>
  <si>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</si>
  <si>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</si>
  <si>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</si>
  <si>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</si>
  <si>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</si>
  <si>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</si>
  <si>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</si>
  <si>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</si>
  <si>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</si>
  <si>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</si>
  <si>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</si>
  <si>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</si>
  <si>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</si>
  <si>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</si>
  <si>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</si>
  <si>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</si>
  <si>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</si>
  <si>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</si>
  <si>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</si>
  <si>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</si>
  <si>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</si>
  <si>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</si>
  <si>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</si>
  <si>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</si>
  <si>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</si>
  <si>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</si>
  <si>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</si>
  <si>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</si>
  <si>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</si>
  <si>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</si>
  <si>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</si>
  <si>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</si>
  <si>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</si>
  <si>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</si>
  <si>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</si>
  <si>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</si>
  <si>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</si>
  <si>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</si>
  <si>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</si>
  <si>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</si>
  <si>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</si>
  <si>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</si>
  <si>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</si>
  <si>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</si>
  <si>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</si>
  <si>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</si>
  <si>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</si>
  <si>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</si>
  <si>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</si>
  <si>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</si>
  <si>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</si>
  <si>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</si>
  <si>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</si>
  <si>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</si>
  <si>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</si>
  <si>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</si>
  <si>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</si>
  <si>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</si>
  <si>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</si>
  <si>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</si>
  <si>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</si>
  <si>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</si>
  <si>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</si>
  <si>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</si>
  <si>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</si>
  <si>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</si>
  <si>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</si>
  <si>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</si>
  <si>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</si>
  <si>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</si>
  <si>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</si>
  <si>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</si>
  <si>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</si>
  <si>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</si>
  <si>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</si>
  <si>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</si>
  <si>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</si>
  <si>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</si>
  <si>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</si>
  <si>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</si>
  <si>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</si>
  <si>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</si>
  <si>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</si>
  <si>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</si>
  <si>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</si>
  <si>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</si>
  <si>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</si>
  <si>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</si>
  <si>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</si>
  <si>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</si>
  <si>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</si>
  <si>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</si>
  <si>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</si>
  <si>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</si>
  <si>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</si>
  <si>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</si>
  <si>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</si>
  <si>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</si>
  <si>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</si>
  <si>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</si>
  <si>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</si>
  <si>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</si>
  <si>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</si>
  <si>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</si>
  <si>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</si>
  <si>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</si>
  <si>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</si>
  <si>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</si>
  <si>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</si>
  <si>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</si>
  <si>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</si>
  <si>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</si>
  <si>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</si>
  <si>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</si>
  <si>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</si>
  <si>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</si>
  <si>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</si>
  <si>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</si>
  <si>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</si>
  <si>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</si>
  <si>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</si>
  <si>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</si>
  <si>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</si>
  <si>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</si>
  <si>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</si>
  <si>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</si>
  <si>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</si>
  <si>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</si>
  <si>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</si>
  <si>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</si>
  <si>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</si>
  <si>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</si>
  <si>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</si>
  <si>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</si>
  <si>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</si>
  <si>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</si>
  <si>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</si>
  <si>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</si>
  <si>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</si>
  <si>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</si>
  <si>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</si>
  <si>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</si>
  <si>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</si>
  <si>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</si>
  <si>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</si>
  <si>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</si>
  <si>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</si>
  <si>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</si>
  <si>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</si>
  <si>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</si>
  <si>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</si>
  <si>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</si>
  <si>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</si>
  <si>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</si>
  <si>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</si>
  <si>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</si>
  <si>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</si>
  <si>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</si>
  <si>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</si>
  <si>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</si>
  <si>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</si>
  <si>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</si>
  <si>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</si>
  <si>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</si>
  <si>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</si>
  <si>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</si>
  <si>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</si>
  <si>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</si>
  <si>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</si>
  <si>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</si>
  <si>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</si>
  <si>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</si>
  <si>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</si>
  <si>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</si>
  <si>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</si>
  <si>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</si>
  <si>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</si>
  <si>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</si>
  <si>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</si>
  <si>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</si>
  <si>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</si>
  <si>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</si>
  <si>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</si>
  <si>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</si>
  <si>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</si>
  <si>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</si>
  <si>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</si>
  <si>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</si>
  <si>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</si>
  <si>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</si>
  <si>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</si>
  <si>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</si>
  <si>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</si>
  <si>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</si>
  <si>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</si>
  <si>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</si>
  <si>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</si>
  <si>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</si>
  <si>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</si>
  <si>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</si>
  <si>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</si>
  <si>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</si>
  <si>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</si>
  <si>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</si>
  <si>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</si>
  <si>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</si>
  <si>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</si>
  <si>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</si>
  <si>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</si>
  <si>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</si>
  <si>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</si>
  <si>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</si>
  <si>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</si>
  <si>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</si>
  <si>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</si>
  <si>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</si>
  <si>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</si>
  <si>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</si>
  <si>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</si>
  <si>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</si>
  <si>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</si>
  <si>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</si>
  <si>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</si>
  <si>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</si>
  <si>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</si>
  <si>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</si>
  <si>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</si>
  <si>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</si>
  <si>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</si>
  <si>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</si>
  <si>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</si>
  <si>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</si>
  <si>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</si>
  <si>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</si>
  <si>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</si>
  <si>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</si>
  <si>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</si>
  <si>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</si>
  <si>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</si>
  <si>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</si>
  <si>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</si>
  <si>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</si>
  <si>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</si>
  <si>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</si>
  <si>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</si>
  <si>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</si>
  <si>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</si>
  <si>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</si>
  <si>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</si>
  <si>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</si>
  <si>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</si>
  <si>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</si>
  <si>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</si>
  <si>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</si>
  <si>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</si>
  <si>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</si>
  <si>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</si>
  <si>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</si>
  <si>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</si>
  <si>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</si>
  <si>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</si>
  <si>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</si>
  <si>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</si>
  <si>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</si>
  <si>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</si>
  <si>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</si>
  <si>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</si>
  <si>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</si>
  <si>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</si>
  <si>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</si>
  <si>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</si>
  <si>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</si>
  <si>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</si>
  <si>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</si>
  <si>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</si>
  <si>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</si>
  <si>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</si>
  <si>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</si>
  <si>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</si>
  <si>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</si>
  <si>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</si>
  <si>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</si>
  <si>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</si>
  <si>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</si>
  <si>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</si>
  <si>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</si>
  <si>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</si>
  <si>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</si>
  <si>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</si>
  <si>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</si>
  <si>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</si>
  <si>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</si>
  <si>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</si>
  <si>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</si>
  <si>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</si>
  <si>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</si>
  <si>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</si>
  <si>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</si>
  <si>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</si>
  <si>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</si>
  <si>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</si>
  <si>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</si>
  <si>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</si>
  <si>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</si>
  <si>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</si>
  <si>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</si>
  <si>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</si>
  <si>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</si>
  <si>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</si>
  <si>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</si>
  <si>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</si>
  <si>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</si>
  <si>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</si>
  <si>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</si>
  <si>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</si>
  <si>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</si>
  <si>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</si>
  <si>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</si>
  <si>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</si>
  <si>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</si>
  <si>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</si>
  <si>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</si>
  <si>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</si>
  <si>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</si>
  <si>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</si>
  <si>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</si>
  <si>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</si>
  <si>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</si>
  <si>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</si>
  <si>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</si>
  <si>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</si>
  <si>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</si>
  <si>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</si>
  <si>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</si>
  <si>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</si>
  <si>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</si>
  <si>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</si>
  <si>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</si>
  <si>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</si>
  <si>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</si>
  <si>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</si>
  <si>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</si>
  <si>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</si>
  <si>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</si>
  <si>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</si>
  <si>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</si>
  <si>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</si>
  <si>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</si>
  <si>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</si>
  <si>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</si>
  <si>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</si>
  <si>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</si>
  <si>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</si>
  <si>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</si>
  <si>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</si>
  <si>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</si>
  <si>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</si>
  <si>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</si>
  <si>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</si>
  <si>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</si>
  <si>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</si>
  <si>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</si>
  <si>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</si>
  <si>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</si>
  <si>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</si>
  <si>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</si>
  <si>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</si>
  <si>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</si>
  <si>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</si>
  <si>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</si>
  <si>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</si>
  <si>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</si>
  <si>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</si>
  <si>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</si>
  <si>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</si>
  <si>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</si>
  <si>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</si>
  <si>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</si>
  <si>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</si>
  <si>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</si>
  <si>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</si>
  <si>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</si>
  <si>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</si>
  <si>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</si>
  <si>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</si>
  <si>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</si>
  <si>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</si>
  <si>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</si>
  <si>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</si>
  <si>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</si>
  <si>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</si>
  <si>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</si>
  <si>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</si>
  <si>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</si>
  <si>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</si>
  <si>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</si>
  <si>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</si>
  <si>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</si>
  <si>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</si>
  <si>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</si>
  <si>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</si>
  <si>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</si>
  <si>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</si>
  <si>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</si>
  <si>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</si>
  <si>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</si>
  <si>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</si>
  <si>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</si>
  <si>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</si>
  <si>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</si>
  <si>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</si>
  <si>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</si>
  <si>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</si>
  <si>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</si>
  <si>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</si>
  <si>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</si>
  <si>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</si>
  <si>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</si>
  <si>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</si>
  <si>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</si>
  <si>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</si>
  <si>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</si>
  <si>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</si>
  <si>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</si>
  <si>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</si>
  <si>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</si>
  <si>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</si>
  <si>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</si>
  <si>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</si>
  <si>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</si>
  <si>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</si>
  <si>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</si>
  <si>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</si>
  <si>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</si>
  <si>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</si>
  <si>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</si>
  <si>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</si>
  <si>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</si>
  <si>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</si>
  <si>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</si>
  <si>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</si>
  <si>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</si>
  <si>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</si>
  <si>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</si>
  <si>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</si>
  <si>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</si>
  <si>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</si>
  <si>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</si>
  <si>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</si>
  <si>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</si>
  <si>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</si>
  <si>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</si>
  <si>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</si>
  <si>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</si>
  <si>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</si>
  <si>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</si>
  <si>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</si>
  <si>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</si>
  <si>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</si>
  <si>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</si>
  <si>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</si>
  <si>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</si>
  <si>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</si>
  <si>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</si>
  <si>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</si>
  <si>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</si>
  <si>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</si>
  <si>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</si>
  <si>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</si>
  <si>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</si>
  <si>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</si>
  <si>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</si>
  <si>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</si>
  <si>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</si>
  <si>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</si>
  <si>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</si>
  <si>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</si>
  <si>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</si>
  <si>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</si>
  <si>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</si>
  <si>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</si>
  <si>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</si>
  <si>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</si>
  <si>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</si>
  <si>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</si>
  <si>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</si>
  <si>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</si>
  <si>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</si>
  <si>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</si>
  <si>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</si>
  <si>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</si>
  <si>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</si>
  <si>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</si>
  <si>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</si>
  <si>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</si>
  <si>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</si>
  <si>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</si>
  <si>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</si>
  <si>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</si>
  <si>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</si>
  <si>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</si>
  <si>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</si>
  <si>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</si>
  <si>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</si>
  <si>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</si>
  <si>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</si>
  <si>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</si>
  <si>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</si>
  <si>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</si>
  <si>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</si>
  <si>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</si>
  <si>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</si>
  <si>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</si>
  <si>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</si>
  <si>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</si>
  <si>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</si>
  <si>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</si>
  <si>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</si>
  <si>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</si>
  <si>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</si>
  <si>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</si>
  <si>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</si>
  <si>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</si>
  <si>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</si>
  <si>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</si>
  <si>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</si>
  <si>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</si>
  <si>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</si>
  <si>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</si>
  <si>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</si>
  <si>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</si>
  <si>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</si>
  <si>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</si>
  <si>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</si>
  <si>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</si>
  <si>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</si>
  <si>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</si>
  <si>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</si>
  <si>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</si>
  <si>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</si>
  <si>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</si>
  <si>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</si>
  <si>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</si>
  <si>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</si>
  <si>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</si>
  <si>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</si>
  <si>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</si>
  <si>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</si>
  <si>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</si>
  <si>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</si>
  <si>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</si>
  <si>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</si>
  <si>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</si>
  <si>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</si>
  <si>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</si>
  <si>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</si>
  <si>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</si>
  <si>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</si>
  <si>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</si>
  <si>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</si>
  <si>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</si>
  <si>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</si>
  <si>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</si>
  <si>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</si>
  <si>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</si>
  <si>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</si>
  <si>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</si>
  <si>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</si>
  <si>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</si>
  <si>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</si>
  <si>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</si>
  <si>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</si>
  <si>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</si>
  <si>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</si>
  <si>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</si>
  <si>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</si>
  <si>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</si>
  <si>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</si>
  <si>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</si>
  <si>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</si>
  <si>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</si>
  <si>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</si>
  <si>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</si>
  <si>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</si>
  <si>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</si>
  <si>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</si>
  <si>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</si>
  <si>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</si>
  <si>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</si>
  <si>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</si>
  <si>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</si>
  <si>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</si>
  <si>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</si>
  <si>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</si>
  <si>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</si>
  <si>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</si>
  <si>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</si>
  <si>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</si>
  <si>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</si>
  <si>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</si>
  <si>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</si>
  <si>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</si>
  <si>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</si>
  <si>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</si>
  <si>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</si>
  <si>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</si>
  <si>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</si>
  <si>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</si>
  <si>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</si>
  <si>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</si>
  <si>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</si>
  <si>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</si>
  <si>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</si>
  <si>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</si>
  <si>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</si>
  <si>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</si>
  <si>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</si>
  <si>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</si>
  <si>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</si>
  <si>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</si>
  <si>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</si>
  <si>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</si>
  <si>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</si>
  <si>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</si>
  <si>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</si>
  <si>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</si>
  <si>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</si>
  <si>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</si>
  <si>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</si>
  <si>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</si>
  <si>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</si>
  <si>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</si>
  <si>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</si>
  <si>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</si>
  <si>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</si>
  <si>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</si>
  <si>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</si>
  <si>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</si>
  <si>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</si>
  <si>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</si>
  <si>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</si>
  <si>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</si>
  <si>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</si>
  <si>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</si>
  <si>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</si>
  <si>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</si>
  <si>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</si>
  <si>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</si>
  <si>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</si>
  <si>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</si>
  <si>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</si>
  <si>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</si>
  <si>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</si>
  <si>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</si>
  <si>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</si>
  <si>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</si>
  <si>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</si>
  <si>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</si>
  <si>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</si>
  <si>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</si>
  <si>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</si>
  <si>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</si>
  <si>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</si>
  <si>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</si>
  <si>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</si>
  <si>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</si>
  <si>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</si>
  <si>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</si>
  <si>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</si>
  <si>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</si>
  <si>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</si>
  <si>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</si>
  <si>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</si>
  <si>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</si>
  <si>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</si>
  <si>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</si>
  <si>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</si>
  <si>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</si>
  <si>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</si>
  <si>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</si>
  <si>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</si>
  <si>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</si>
  <si>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</si>
  <si>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</si>
  <si>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</si>
  <si>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</si>
  <si>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</si>
  <si>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</si>
  <si>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</si>
  <si>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</si>
  <si>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</si>
  <si>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</si>
  <si>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</si>
  <si>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</si>
  <si>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</si>
  <si>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</si>
  <si>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</si>
  <si>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</si>
  <si>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</si>
  <si>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</si>
  <si>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</si>
  <si>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</si>
  <si>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</si>
  <si>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</si>
  <si>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</si>
  <si>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</si>
  <si>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</si>
  <si>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</si>
  <si>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</si>
  <si>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</si>
  <si>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</si>
  <si>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</si>
  <si>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</si>
  <si>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</si>
  <si>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</si>
  <si>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</si>
  <si>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</si>
  <si>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</si>
  <si>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</si>
  <si>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</si>
  <si>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</si>
  <si>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</si>
  <si>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</si>
  <si>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</si>
  <si>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</si>
  <si>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</si>
  <si>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</si>
  <si>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</si>
  <si>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</si>
  <si>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</si>
  <si>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</si>
  <si>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</si>
  <si>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</si>
  <si>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</si>
  <si>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</si>
  <si>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</si>
  <si>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</si>
  <si>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</si>
  <si>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</si>
  <si>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</si>
  <si>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</si>
  <si>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</si>
  <si>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</si>
  <si>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</si>
  <si>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</si>
  <si>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</si>
  <si>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</si>
  <si>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</si>
  <si>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</si>
  <si>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</si>
  <si>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</si>
  <si>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</si>
  <si>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</si>
  <si>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</si>
  <si>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</si>
  <si>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</si>
  <si>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</si>
  <si>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</si>
  <si>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</si>
  <si>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</si>
  <si>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</si>
  <si>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</si>
  <si>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</si>
  <si>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</si>
  <si>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</si>
  <si>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</si>
  <si>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</si>
  <si>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</si>
  <si>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</si>
  <si>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</si>
  <si>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</si>
  <si>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</si>
  <si>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</si>
  <si>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</si>
  <si>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</si>
  <si>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</si>
  <si>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</si>
  <si>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</si>
  <si>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</si>
  <si>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</si>
  <si>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</si>
  <si>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</si>
  <si>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</si>
  <si>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</si>
  <si>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</si>
  <si>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</si>
  <si>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</si>
  <si>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</si>
  <si>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</si>
  <si>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</si>
  <si>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</si>
  <si>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</si>
  <si>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</si>
  <si>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</si>
  <si>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</si>
  <si>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</si>
  <si>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</si>
  <si>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</si>
  <si>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</si>
  <si>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</si>
  <si>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</si>
  <si>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</si>
  <si>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</si>
  <si>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</si>
  <si>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</si>
  <si>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</si>
  <si>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</si>
  <si>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</si>
  <si>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</si>
  <si>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</si>
  <si>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</si>
  <si>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</si>
  <si>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</si>
  <si>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</si>
  <si>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</si>
  <si>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</si>
  <si>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</si>
  <si>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</si>
  <si>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</si>
  <si>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</si>
  <si>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</si>
  <si>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</si>
  <si>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</si>
  <si>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</si>
  <si>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</si>
  <si>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</si>
  <si>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</si>
  <si>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</si>
  <si>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</si>
  <si>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</si>
  <si>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</si>
  <si>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</si>
  <si>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</si>
  <si>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</si>
  <si>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</si>
  <si>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</si>
  <si>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</si>
  <si>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</si>
  <si>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</si>
  <si>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</si>
  <si>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</si>
  <si>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</si>
  <si>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</si>
  <si>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</si>
  <si>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</si>
  <si>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</si>
  <si>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</si>
  <si>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</si>
  <si>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</si>
  <si>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</si>
  <si>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</si>
  <si>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</si>
  <si>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</si>
  <si>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</si>
  <si>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</si>
  <si>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</si>
  <si>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</si>
  <si>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</si>
  <si>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</si>
  <si>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</si>
  <si>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</si>
  <si>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</si>
  <si>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</si>
  <si>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</si>
  <si>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</si>
  <si>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</si>
  <si>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</si>
  <si>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</si>
  <si>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</si>
  <si>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</si>
  <si>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</si>
  <si>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</si>
  <si>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</si>
  <si>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</si>
  <si>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</si>
  <si>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</si>
  <si>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</si>
  <si>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</si>
  <si>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</si>
  <si>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</si>
  <si>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</si>
  <si>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</si>
  <si>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</si>
  <si>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</si>
  <si>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</si>
  <si>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</si>
  <si>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</si>
  <si>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</si>
  <si>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</si>
  <si>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</si>
  <si>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</si>
  <si>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</si>
  <si>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</si>
  <si>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</si>
  <si>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</si>
  <si>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</si>
  <si>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</si>
  <si>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</si>
  <si>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</si>
  <si>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</si>
  <si>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</si>
  <si>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</si>
  <si>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</si>
  <si>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</si>
  <si>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</si>
  <si>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</si>
  <si>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</si>
  <si>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</si>
  <si>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</si>
  <si>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</si>
  <si>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</si>
  <si>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</si>
  <si>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</si>
  <si>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</si>
  <si>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</si>
  <si>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</si>
  <si>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</si>
  <si>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</si>
  <si>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</si>
  <si>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</si>
  <si>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</si>
  <si>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</si>
  <si>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</si>
  <si>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</si>
  <si>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</si>
  <si>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</si>
  <si>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</si>
  <si>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</si>
  <si>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</si>
  <si>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</si>
  <si>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</si>
  <si>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</si>
  <si>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</si>
  <si>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</si>
  <si>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</si>
  <si>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</si>
  <si>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</si>
  <si>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</si>
  <si>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</si>
  <si>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</si>
  <si>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</si>
  <si>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</si>
  <si>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</si>
  <si>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</si>
  <si>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</si>
  <si>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</si>
  <si>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</si>
  <si>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</si>
  <si>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</si>
  <si>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</si>
  <si>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</si>
  <si>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</si>
  <si>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</si>
  <si>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</si>
  <si>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</si>
  <si>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</si>
  <si>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</si>
  <si>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</si>
  <si>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</si>
  <si>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</si>
  <si>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</si>
  <si>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</si>
  <si>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</si>
  <si>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</si>
  <si>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</si>
  <si>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</si>
  <si>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</si>
  <si>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</si>
  <si>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</si>
  <si>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</si>
  <si>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</si>
  <si>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</si>
  <si>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</si>
  <si>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</si>
  <si>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</si>
  <si>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</si>
  <si>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</si>
  <si>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</si>
  <si>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</si>
  <si>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</si>
  <si>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</si>
  <si>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</si>
  <si>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</si>
  <si>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</si>
  <si>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</si>
  <si>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</si>
  <si>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</si>
  <si>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</si>
  <si>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</si>
  <si>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</si>
  <si>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</si>
  <si>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</si>
  <si>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</si>
  <si>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</si>
  <si>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</si>
  <si>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</si>
  <si>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</si>
  <si>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</si>
  <si>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</si>
  <si>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</si>
  <si>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</si>
  <si>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</si>
  <si>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</si>
  <si>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</si>
  <si>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</si>
  <si>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</si>
  <si>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</si>
  <si>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</si>
  <si>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</si>
  <si>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</si>
  <si>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</si>
  <si>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</si>
  <si>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</si>
  <si>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</si>
  <si>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</si>
  <si>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</si>
  <si>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</si>
  <si>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</si>
  <si>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</si>
  <si>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</si>
  <si>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</si>
  <si>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</si>
  <si>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</si>
  <si>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</si>
  <si>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</si>
  <si>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</si>
  <si>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</si>
  <si>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</si>
  <si>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</si>
  <si>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</si>
  <si>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</si>
  <si>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</si>
  <si>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</si>
  <si>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</si>
  <si>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</si>
  <si>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</si>
  <si>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</si>
  <si>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</si>
  <si>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</si>
  <si>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</si>
  <si>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</si>
  <si>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</si>
  <si>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</si>
  <si>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</si>
  <si>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</si>
  <si>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</si>
  <si>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</si>
  <si>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</si>
  <si>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</si>
  <si>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</si>
  <si>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</si>
  <si>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</si>
  <si>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</si>
  <si>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</si>
  <si>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</si>
  <si>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</si>
  <si>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</si>
  <si>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</si>
  <si>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</si>
  <si>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</si>
  <si>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</si>
  <si>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</si>
  <si>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</si>
  <si>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</si>
  <si>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</si>
  <si>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</si>
  <si>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</si>
  <si>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</si>
  <si>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</si>
  <si>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</si>
  <si>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</si>
  <si>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</si>
  <si>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</si>
  <si>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</si>
  <si>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</si>
  <si>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</si>
  <si>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</si>
  <si>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</si>
  <si>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</si>
  <si>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</si>
  <si>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</si>
  <si>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</si>
  <si>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</si>
  <si>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</si>
  <si>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</si>
  <si>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</si>
  <si>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</si>
  <si>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</si>
  <si>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</si>
  <si>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</si>
  <si>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</si>
  <si>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</si>
  <si>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</si>
  <si>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</si>
  <si>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</si>
  <si>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</si>
  <si>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</si>
  <si>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</si>
  <si>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</si>
  <si>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</si>
  <si>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</si>
  <si>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</si>
  <si>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</si>
  <si>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</si>
  <si>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</si>
  <si>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</si>
  <si>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</si>
  <si>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</si>
  <si>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</si>
  <si>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</si>
  <si>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</si>
  <si>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</si>
  <si>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</si>
  <si>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</si>
  <si>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</si>
  <si>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</si>
  <si>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</si>
  <si>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</si>
  <si>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</si>
  <si>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</si>
  <si>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</si>
  <si>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</si>
  <si>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</si>
  <si>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</si>
  <si>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</si>
  <si>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</si>
  <si>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</si>
  <si>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</si>
  <si>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</si>
  <si>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</si>
  <si>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</si>
  <si>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</si>
  <si>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</si>
  <si>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</si>
  <si>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</si>
  <si>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</si>
  <si>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</si>
  <si>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</si>
  <si>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</si>
  <si>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</si>
  <si>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</si>
  <si>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</si>
  <si>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</si>
  <si>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</si>
  <si>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</si>
  <si>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</si>
  <si>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</si>
  <si>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</si>
  <si>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</si>
  <si>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</si>
  <si>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</si>
  <si>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</si>
  <si>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</si>
  <si>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</si>
  <si>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</si>
  <si>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</si>
  <si>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</si>
  <si>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</si>
  <si>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</si>
  <si>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</si>
  <si>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</si>
  <si>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</si>
  <si>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</si>
  <si>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</si>
  <si>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</si>
  <si>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</si>
  <si>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</si>
  <si>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</si>
  <si>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</si>
  <si>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</si>
  <si>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</si>
  <si>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</si>
  <si>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</si>
  <si>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</si>
  <si>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</si>
  <si>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</si>
  <si>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</si>
  <si>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</si>
  <si>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</si>
  <si>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</si>
  <si>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</si>
  <si>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</si>
  <si>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</si>
  <si>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</si>
  <si>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</si>
  <si>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</si>
  <si>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</si>
  <si>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</si>
  <si>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</si>
  <si>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</si>
  <si>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</si>
  <si>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</si>
  <si>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</si>
  <si>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</si>
  <si>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</si>
  <si>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</si>
  <si>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</si>
  <si>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</si>
  <si>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</si>
  <si>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</si>
  <si>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</si>
  <si>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</si>
  <si>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</si>
  <si>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</si>
  <si>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</si>
  <si>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</si>
  <si>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</si>
  <si>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</si>
  <si>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</si>
  <si>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</si>
  <si>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</si>
  <si>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</si>
  <si>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</si>
  <si>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</si>
  <si>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</si>
  <si>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</si>
  <si>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</si>
  <si>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</si>
  <si>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</si>
  <si>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</si>
  <si>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</si>
  <si>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</si>
  <si>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</si>
  <si>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</si>
  <si>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</si>
  <si>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</si>
  <si>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</si>
  <si>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</si>
  <si>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</si>
  <si>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</si>
  <si>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</si>
  <si>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</si>
  <si>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</si>
  <si>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</si>
  <si>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</si>
  <si>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</si>
  <si>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</si>
  <si>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</si>
  <si>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</si>
  <si>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</si>
  <si>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</si>
  <si>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</si>
  <si>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</si>
  <si>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</si>
  <si>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</si>
  <si>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</si>
  <si>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</si>
  <si>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</si>
  <si>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</si>
  <si>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</si>
  <si>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</si>
  <si>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</si>
  <si>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</si>
  <si>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</si>
  <si>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</si>
  <si>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</si>
  <si>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</si>
  <si>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</si>
  <si>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</si>
  <si>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</si>
  <si>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</si>
  <si>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</si>
  <si>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</si>
  <si>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</si>
  <si>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</si>
  <si>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</si>
  <si>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</si>
  <si>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</si>
  <si>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</si>
  <si>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</si>
  <si>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</si>
  <si>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</si>
  <si>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</si>
  <si>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</si>
  <si>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</si>
  <si>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</si>
  <si>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</si>
  <si>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</si>
  <si>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</si>
  <si>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</si>
  <si>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</si>
  <si>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</si>
  <si>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</si>
  <si>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</si>
  <si>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</si>
  <si>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</si>
  <si>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</si>
  <si>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</si>
  <si>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</si>
  <si>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</si>
  <si>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</si>
  <si>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</si>
  <si>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</si>
  <si>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</si>
  <si>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</si>
  <si>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</si>
  <si>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</si>
  <si>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</si>
  <si>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</si>
  <si>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</si>
  <si>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</si>
  <si>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</si>
  <si>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</si>
  <si>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</si>
  <si>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</si>
  <si>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</si>
  <si>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</si>
  <si>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</si>
  <si>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</si>
  <si>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</si>
  <si>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</si>
  <si>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</si>
  <si>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</si>
  <si>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</si>
  <si>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</si>
  <si>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</si>
  <si>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</si>
  <si>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</si>
  <si>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</si>
  <si>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</si>
  <si>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</si>
  <si>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</si>
  <si>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</si>
  <si>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</si>
  <si>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</si>
  <si>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</si>
  <si>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</si>
  <si>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</si>
  <si>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</si>
  <si>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</si>
  <si>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</si>
  <si>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</si>
  <si>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</si>
  <si>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</si>
  <si>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</si>
  <si>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</si>
  <si>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</si>
  <si>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</si>
  <si>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</si>
  <si>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</si>
  <si>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</si>
  <si>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</si>
  <si>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</si>
  <si>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</si>
  <si>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</si>
  <si>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</si>
  <si>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</si>
  <si>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</si>
  <si>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</si>
  <si>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</si>
  <si>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</si>
  <si>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</si>
  <si>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</si>
  <si>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</si>
  <si>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</si>
  <si>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</si>
  <si>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</si>
  <si>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</si>
  <si>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</si>
  <si>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</si>
  <si>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</si>
  <si>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</si>
  <si>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</si>
  <si>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</si>
  <si>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</si>
  <si>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</si>
  <si>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</si>
  <si>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</si>
  <si>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</si>
  <si>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</si>
  <si>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</si>
  <si>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</si>
  <si>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</si>
  <si>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</si>
  <si>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</si>
  <si>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</si>
  <si>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</si>
  <si>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</si>
  <si>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</si>
  <si>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</si>
  <si>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</si>
  <si>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</si>
  <si>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</si>
  <si>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</si>
  <si>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</si>
  <si>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</si>
  <si>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</si>
  <si>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</si>
  <si>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</si>
  <si>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</si>
  <si>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</si>
  <si>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</si>
  <si>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</si>
  <si>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</si>
  <si>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</si>
  <si>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</si>
  <si>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</si>
  <si>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</si>
  <si>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</si>
  <si>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</si>
  <si>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</si>
  <si>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</si>
  <si>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</si>
  <si>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</si>
  <si>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</si>
  <si>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</si>
  <si>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</si>
  <si>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</si>
  <si>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</si>
  <si>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</si>
  <si>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</si>
  <si>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</si>
  <si>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</si>
  <si>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</si>
  <si>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</si>
  <si>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</si>
  <si>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</si>
  <si>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</si>
  <si>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</si>
  <si>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</si>
  <si>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</si>
  <si>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</si>
  <si>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</si>
  <si>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</si>
  <si>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</si>
  <si>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</si>
  <si>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</si>
  <si>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</si>
  <si>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</si>
  <si>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</si>
  <si>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</si>
  <si>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</si>
  <si>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</si>
  <si>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</si>
  <si>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</si>
  <si>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</si>
  <si>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</si>
  <si>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</si>
  <si>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</si>
  <si>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</si>
  <si>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</si>
  <si>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</si>
  <si>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</si>
  <si>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</si>
  <si>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</si>
  <si>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</si>
  <si>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</si>
  <si>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</si>
  <si>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</si>
  <si>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</si>
  <si>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</si>
  <si>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</si>
  <si>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</si>
  <si>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</si>
  <si>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</si>
  <si>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</si>
  <si>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</si>
  <si>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</si>
  <si>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</si>
  <si>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</si>
  <si>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</si>
  <si>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</si>
  <si>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</si>
  <si>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</si>
  <si>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</si>
  <si>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</si>
  <si>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</si>
  <si>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</si>
  <si>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</si>
  <si>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</si>
  <si>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</si>
  <si>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</si>
  <si>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</si>
  <si>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</si>
  <si>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</si>
  <si>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</si>
  <si>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</si>
  <si>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</si>
  <si>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</si>
  <si>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</si>
  <si>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</si>
  <si>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</si>
  <si>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</si>
  <si>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</si>
  <si>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</si>
  <si>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</si>
  <si>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</si>
  <si>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</si>
  <si>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</si>
  <si>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</si>
  <si>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</si>
  <si>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</si>
  <si>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</si>
  <si>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</si>
  <si>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</si>
  <si>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</si>
  <si>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</si>
  <si>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</si>
  <si>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</si>
  <si>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</si>
  <si>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</si>
  <si>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</si>
  <si>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</si>
  <si>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</si>
  <si>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</si>
  <si>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</si>
  <si>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</si>
  <si>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</si>
  <si>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</si>
  <si>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</si>
  <si>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</si>
  <si>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</si>
  <si>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</si>
  <si>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</si>
  <si>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</si>
  <si>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</si>
  <si>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</si>
  <si>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</si>
  <si>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</si>
  <si>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</si>
  <si>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</si>
  <si>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</si>
  <si>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</si>
  <si>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</si>
  <si>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</si>
  <si>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</si>
  <si>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</si>
  <si>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</si>
  <si>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</si>
  <si>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</si>
  <si>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</si>
  <si>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</si>
  <si>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</si>
  <si>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</si>
  <si>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</si>
  <si>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</si>
  <si>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</si>
  <si>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</si>
  <si>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</si>
  <si>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</si>
  <si>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</si>
  <si>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</si>
  <si>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</si>
  <si>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</si>
  <si>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</si>
  <si>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</si>
  <si>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</si>
  <si>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</si>
  <si>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</si>
  <si>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</si>
  <si>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</si>
  <si>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</si>
  <si>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</si>
  <si>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</si>
  <si>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</si>
  <si>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</si>
  <si>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</si>
  <si>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</si>
  <si>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</si>
  <si>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</si>
  <si>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</si>
  <si>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</si>
  <si>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</si>
  <si>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</si>
  <si>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</si>
  <si>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</si>
  <si>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</si>
  <si>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</si>
  <si>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</si>
  <si>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</si>
  <si>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</si>
  <si>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</si>
  <si>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</si>
  <si>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</si>
  <si>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</si>
  <si>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</si>
  <si>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</si>
  <si>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</si>
  <si>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</si>
  <si>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</si>
  <si>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</si>
  <si>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</si>
  <si>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</si>
  <si>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</si>
  <si>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</si>
  <si>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</si>
  <si>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</si>
  <si>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</si>
  <si>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</si>
  <si>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</si>
  <si>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</si>
  <si>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</si>
  <si>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</si>
  <si>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</si>
  <si>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</si>
  <si>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</si>
  <si>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</si>
  <si>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</si>
  <si>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</si>
  <si>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</si>
  <si>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</si>
  <si>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</si>
  <si>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</si>
  <si>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</si>
  <si>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</si>
  <si>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</si>
  <si>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</si>
  <si>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</si>
  <si>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</si>
  <si>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</si>
  <si>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</si>
  <si>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</si>
  <si>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</si>
  <si>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</si>
  <si>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</si>
  <si>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</si>
  <si>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</si>
  <si>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</si>
  <si>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</si>
  <si>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</si>
  <si>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</si>
  <si>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</si>
  <si>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</si>
  <si>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</si>
  <si>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</si>
  <si>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</si>
  <si>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</si>
  <si>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</si>
  <si>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</si>
  <si>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</si>
  <si>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</si>
  <si>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</si>
  <si>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</si>
  <si>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</si>
  <si>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</si>
  <si>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</si>
  <si>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</si>
  <si>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</si>
  <si>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</si>
  <si>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</si>
  <si>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</si>
  <si>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</si>
  <si>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</si>
  <si>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</si>
  <si>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</si>
  <si>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</si>
  <si>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</si>
  <si>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</si>
  <si>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</si>
  <si>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</si>
  <si>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</si>
  <si>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</si>
  <si>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</si>
  <si>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</si>
  <si>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</si>
  <si>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</si>
  <si>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</si>
  <si>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</si>
  <si>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</si>
  <si>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</si>
  <si>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</si>
  <si>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</si>
  <si>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</si>
  <si>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</si>
  <si>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</si>
  <si>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</si>
  <si>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</si>
  <si>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</si>
  <si>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</si>
  <si>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</si>
  <si>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</si>
  <si>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</si>
  <si>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</si>
  <si>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</si>
  <si>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</si>
  <si>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</si>
  <si>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</si>
  <si>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</si>
  <si>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</si>
  <si>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</si>
  <si>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</si>
  <si>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</si>
  <si>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</si>
  <si>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</si>
  <si>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</si>
  <si>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</si>
  <si>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</si>
  <si>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</si>
  <si>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</si>
  <si>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</si>
  <si>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</si>
  <si>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</si>
  <si>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</si>
  <si>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</si>
  <si>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</si>
  <si>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</si>
  <si>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</si>
  <si>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</si>
  <si>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</si>
  <si>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</si>
  <si>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</si>
  <si>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</si>
  <si>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</si>
  <si>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</si>
  <si>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</si>
  <si>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</si>
  <si>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</si>
  <si>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</si>
  <si>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</si>
  <si>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</si>
  <si>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</si>
  <si>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</si>
  <si>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</si>
  <si>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</si>
  <si>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</si>
  <si>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</si>
  <si>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</si>
  <si>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</si>
  <si>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</si>
  <si>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</si>
  <si>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</si>
  <si>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</si>
  <si>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</si>
  <si>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</si>
  <si>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</si>
  <si>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</si>
  <si>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</si>
  <si>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</si>
  <si>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</si>
  <si>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</si>
  <si>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</si>
  <si>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</si>
  <si>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</si>
  <si>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</si>
  <si>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</si>
  <si>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</si>
  <si>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</si>
  <si>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</si>
  <si>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</si>
  <si>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</si>
  <si>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</si>
  <si>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</si>
  <si>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</si>
  <si>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</si>
  <si>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</si>
  <si>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</si>
  <si>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</si>
  <si>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</si>
  <si>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</si>
  <si>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</si>
  <si>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</si>
  <si>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</si>
  <si>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</si>
  <si>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</si>
  <si>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</si>
  <si>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</si>
  <si>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</si>
  <si>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</si>
  <si>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</si>
  <si>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</si>
  <si>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</si>
  <si>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</si>
  <si>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</si>
  <si>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</si>
  <si>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</si>
  <si>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</si>
  <si>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</si>
  <si>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</si>
  <si>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</si>
  <si>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</si>
  <si>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</si>
  <si>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</si>
  <si>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</si>
  <si>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</si>
  <si>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</si>
  <si>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</si>
  <si>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</si>
  <si>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</si>
  <si>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</si>
  <si>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</si>
  <si>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</si>
  <si>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</si>
  <si>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</si>
  <si>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</si>
  <si>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</si>
  <si>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</si>
  <si>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</si>
  <si>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</si>
  <si>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</si>
  <si>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</si>
  <si>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</si>
  <si>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</si>
  <si>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</si>
  <si>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</si>
  <si>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</si>
  <si>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</si>
  <si>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</si>
  <si>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</si>
  <si>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</si>
  <si>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</si>
  <si>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</si>
  <si>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</si>
  <si>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</si>
  <si>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</si>
  <si>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</si>
  <si>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</si>
  <si>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</si>
  <si>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</si>
  <si>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</si>
  <si>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</si>
  <si>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</si>
  <si>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</si>
  <si>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</si>
  <si>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</si>
  <si>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</si>
  <si>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</si>
  <si>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</si>
  <si>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</si>
  <si>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</si>
  <si>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</si>
  <si>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</si>
  <si>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</si>
  <si>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</si>
  <si>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</si>
  <si>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</si>
  <si>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</si>
  <si>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</si>
  <si>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</si>
  <si>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</si>
  <si>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</si>
  <si>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</si>
  <si>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</si>
  <si>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</si>
  <si>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</si>
  <si>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</si>
  <si>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</si>
  <si>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</si>
  <si>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</si>
  <si>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</si>
  <si>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</si>
  <si>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</si>
  <si>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</si>
  <si>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</si>
  <si>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</si>
  <si>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</si>
  <si>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</si>
  <si>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</si>
  <si>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</si>
  <si>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</si>
  <si>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</si>
  <si>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</si>
  <si>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</si>
  <si>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</si>
  <si>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</si>
  <si>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</si>
  <si>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</si>
  <si>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</si>
  <si>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</si>
  <si>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</si>
  <si>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</si>
  <si>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</si>
  <si>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</si>
  <si>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</si>
  <si>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</si>
  <si>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</si>
  <si>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</si>
  <si>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</si>
  <si>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</si>
  <si>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</si>
  <si>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</si>
  <si>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</si>
  <si>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</si>
  <si>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</si>
  <si>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</si>
  <si>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</si>
  <si>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</si>
  <si>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</si>
  <si>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</si>
  <si>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</si>
  <si>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</si>
  <si>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</si>
  <si>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</si>
  <si>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</si>
  <si>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</si>
  <si>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</si>
  <si>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</si>
  <si>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</si>
  <si>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</si>
  <si>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</si>
  <si>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</si>
  <si>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</si>
  <si>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</si>
  <si>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</si>
  <si>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</si>
  <si>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</si>
  <si>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</si>
  <si>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</si>
  <si>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</si>
  <si>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</si>
  <si>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</si>
  <si>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</si>
  <si>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</si>
  <si>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</si>
  <si>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</si>
  <si>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</si>
  <si>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</si>
  <si>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</si>
  <si>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</si>
  <si>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</si>
  <si>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</si>
  <si>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</si>
  <si>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</si>
  <si>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</si>
  <si>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</si>
  <si>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</si>
  <si>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</si>
  <si>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</si>
  <si>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</si>
  <si>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</si>
  <si>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</si>
  <si>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</si>
  <si>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</si>
  <si>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</si>
  <si>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</si>
  <si>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</si>
  <si>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</si>
  <si>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</si>
  <si>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</si>
  <si>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</si>
  <si>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</si>
  <si>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</si>
  <si>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</si>
  <si>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</si>
  <si>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</si>
  <si>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</si>
  <si>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</si>
  <si>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</si>
  <si>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</si>
  <si>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</si>
  <si>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</si>
  <si>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</si>
  <si>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</si>
  <si>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</si>
  <si>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</si>
  <si>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</si>
  <si>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</si>
  <si>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</si>
  <si>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</si>
  <si>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</si>
  <si>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</si>
  <si>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</si>
  <si>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</si>
  <si>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</si>
  <si>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</si>
  <si>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</si>
  <si>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</si>
  <si>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</si>
  <si>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</si>
  <si>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</si>
  <si>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</si>
  <si>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</si>
  <si>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</si>
  <si>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</si>
  <si>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</si>
  <si>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</si>
  <si>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</si>
  <si>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</si>
  <si>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</si>
  <si>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</si>
  <si>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</si>
  <si>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</si>
  <si>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</si>
  <si>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</si>
  <si>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</si>
  <si>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</si>
  <si>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</si>
  <si>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</si>
  <si>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</si>
  <si>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</si>
  <si>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</si>
  <si>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</si>
  <si>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</si>
  <si>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</si>
  <si>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</si>
  <si>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</si>
  <si>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</si>
  <si>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</si>
  <si>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</si>
  <si>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</si>
  <si>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</si>
  <si>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</si>
  <si>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</si>
  <si>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</si>
  <si>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</si>
  <si>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</si>
  <si>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</si>
  <si>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</si>
  <si>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</si>
  <si>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</si>
  <si>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</si>
  <si>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</si>
  <si>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</si>
  <si>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</si>
  <si>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</si>
  <si>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</si>
  <si>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</si>
  <si>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</si>
  <si>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</si>
  <si>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</si>
  <si>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</si>
  <si>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</si>
  <si>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</si>
  <si>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</si>
  <si>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</si>
  <si>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</si>
  <si>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</si>
  <si>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</si>
  <si>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</si>
  <si>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</si>
  <si>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</si>
  <si>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</si>
  <si>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</si>
  <si>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</si>
  <si>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</si>
  <si>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</si>
  <si>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</si>
  <si>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</si>
  <si>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</si>
  <si>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</si>
  <si>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</si>
  <si>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</si>
  <si>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</si>
  <si>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</si>
  <si>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</si>
  <si>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</si>
  <si>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</si>
  <si>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</si>
  <si>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</si>
  <si>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</si>
  <si>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</si>
  <si>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</si>
  <si>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</si>
  <si>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</si>
  <si>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</si>
  <si>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</si>
  <si>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</si>
  <si>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</si>
  <si>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</si>
  <si>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</si>
  <si>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</si>
  <si>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</si>
  <si>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</si>
  <si>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</si>
  <si>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</si>
  <si>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</si>
  <si>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</si>
  <si>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</si>
  <si>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</si>
  <si>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</si>
  <si>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</si>
  <si>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</si>
  <si>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</si>
  <si>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</si>
  <si>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</si>
  <si>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</si>
  <si>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</si>
  <si>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</si>
  <si>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</si>
  <si>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</si>
  <si>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</si>
  <si>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</si>
  <si>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</si>
  <si>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</si>
  <si>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</si>
  <si>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</si>
  <si>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</si>
  <si>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</si>
  <si>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</si>
  <si>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</si>
  <si>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</si>
  <si>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</si>
  <si>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</si>
  <si>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</si>
  <si>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</si>
  <si>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</si>
  <si>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</si>
  <si>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</si>
  <si>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</si>
  <si>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</si>
  <si>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</si>
  <si>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</si>
  <si>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</si>
  <si>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</si>
  <si>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</si>
  <si>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</si>
  <si>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</si>
  <si>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</si>
  <si>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</si>
  <si>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</si>
  <si>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</si>
  <si>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</si>
  <si>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</si>
  <si>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</si>
  <si>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</si>
  <si>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</si>
  <si>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</si>
  <si>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</si>
  <si>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</si>
  <si>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</si>
  <si>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</si>
  <si>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</si>
  <si>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</si>
  <si>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</si>
  <si>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</si>
  <si>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</si>
  <si>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</si>
  <si>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</si>
  <si>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</si>
  <si>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</si>
  <si>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</si>
  <si>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</si>
  <si>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</si>
  <si>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</si>
  <si>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</si>
  <si>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</si>
  <si>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</si>
  <si>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</si>
  <si>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</si>
  <si>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</si>
  <si>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</si>
  <si>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</si>
  <si>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</si>
  <si>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</si>
  <si>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</si>
  <si>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</si>
  <si>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</si>
  <si>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</si>
  <si>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</si>
  <si>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</si>
  <si>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</si>
  <si>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</si>
  <si>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</si>
  <si>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</si>
  <si>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</si>
  <si>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</si>
  <si>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</si>
  <si>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</si>
  <si>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</si>
  <si>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</si>
  <si>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</si>
  <si>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</si>
  <si>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</si>
  <si>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</si>
  <si>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</si>
  <si>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</si>
  <si>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</si>
  <si>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</si>
  <si>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</si>
  <si>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</si>
  <si>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</si>
  <si>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</si>
  <si>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</si>
  <si>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</si>
  <si>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</si>
  <si>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</si>
  <si>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</si>
  <si>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</si>
  <si>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</si>
  <si>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</si>
  <si>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</si>
  <si>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</si>
  <si>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</si>
  <si>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</si>
  <si>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</si>
  <si>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</si>
  <si>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</si>
  <si>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</si>
  <si>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</si>
  <si>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</si>
  <si>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</si>
  <si>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</si>
  <si>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</si>
  <si>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</si>
  <si>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</si>
  <si>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</si>
  <si>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</si>
  <si>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</si>
  <si>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</si>
  <si>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</si>
  <si>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</si>
  <si>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</si>
  <si>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</si>
  <si>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</si>
  <si>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</si>
  <si>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</si>
  <si>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</si>
  <si>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</si>
  <si>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</si>
  <si>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</si>
  <si>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</si>
  <si>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</si>
  <si>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</si>
  <si>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</si>
  <si>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</si>
  <si>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</si>
  <si>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</si>
  <si>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</si>
  <si>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</si>
  <si>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</si>
  <si>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</si>
  <si>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</si>
  <si>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</si>
  <si>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</si>
  <si>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</si>
  <si>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</si>
  <si>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</si>
  <si>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</si>
  <si>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</si>
  <si>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</si>
  <si>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</si>
  <si>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</si>
  <si>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</si>
  <si>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</si>
  <si>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</si>
  <si>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</si>
  <si>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</si>
  <si>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</si>
  <si>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</si>
  <si>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</si>
  <si>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</si>
  <si>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</si>
  <si>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</si>
  <si>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</si>
  <si>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</si>
  <si>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</si>
  <si>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</si>
  <si>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</si>
  <si>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</si>
  <si>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</si>
  <si>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</si>
  <si>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</si>
  <si>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</si>
  <si>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</si>
  <si>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</si>
  <si>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</si>
  <si>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</si>
  <si>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</si>
  <si>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</si>
  <si>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</si>
  <si>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</si>
  <si>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</si>
  <si>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</si>
  <si>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</si>
  <si>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</si>
  <si>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</si>
  <si>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</si>
  <si>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</si>
  <si>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</si>
  <si>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</si>
  <si>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</si>
  <si>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</si>
  <si>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</si>
  <si>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</si>
  <si>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</si>
  <si>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</si>
  <si>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</si>
  <si>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</si>
  <si>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</si>
  <si>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</si>
  <si>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</si>
  <si>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</si>
  <si>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</si>
  <si>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</si>
  <si>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</si>
  <si>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</si>
  <si>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</si>
  <si>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</si>
  <si>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</si>
  <si>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</si>
  <si>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</si>
  <si>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</si>
  <si>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</si>
  <si>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</si>
  <si>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</si>
  <si>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</si>
  <si>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</si>
  <si>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</si>
  <si>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</si>
  <si>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</si>
  <si>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</si>
  <si>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</si>
  <si>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</si>
  <si>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</si>
  <si>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</si>
  <si>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</si>
  <si>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</si>
  <si>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</si>
  <si>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</si>
  <si>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</si>
  <si>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</si>
  <si>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</si>
  <si>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</si>
  <si>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</si>
  <si>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</si>
  <si>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</si>
  <si>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</si>
  <si>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</si>
  <si>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</si>
  <si>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</si>
  <si>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</si>
  <si>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</si>
  <si>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</si>
  <si>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</si>
  <si>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</si>
  <si>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</si>
  <si>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</si>
  <si>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</si>
  <si>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</si>
  <si>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</si>
  <si>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</si>
  <si>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</si>
  <si>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</si>
  <si>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</si>
  <si>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</si>
  <si>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</si>
  <si>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</si>
  <si>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</si>
  <si>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</si>
  <si>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</si>
  <si>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</si>
  <si>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</si>
  <si>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</si>
  <si>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</si>
  <si>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</si>
  <si>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</si>
  <si>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</si>
  <si>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</si>
  <si>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</si>
  <si>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</si>
  <si>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</si>
  <si>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</si>
  <si>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</si>
  <si>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</si>
  <si>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</si>
  <si>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</si>
  <si>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</si>
  <si>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</si>
  <si>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</si>
  <si>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</si>
  <si>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</si>
  <si>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</si>
  <si>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</si>
  <si>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</si>
  <si>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</si>
  <si>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</si>
  <si>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</si>
  <si>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</si>
  <si>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</si>
  <si>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</si>
  <si>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</si>
  <si>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</si>
  <si>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</si>
  <si>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</si>
  <si>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</si>
  <si>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</si>
  <si>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</si>
  <si>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</si>
  <si>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</si>
  <si>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</si>
  <si>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</si>
  <si>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</si>
  <si>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</si>
  <si>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</si>
  <si>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</si>
  <si>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</si>
  <si>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</si>
  <si>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</si>
  <si>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</si>
  <si>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</si>
  <si>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</si>
  <si>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</si>
  <si>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</si>
  <si>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</si>
  <si>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</si>
  <si>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</si>
  <si>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</si>
  <si>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</si>
  <si>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</si>
  <si>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</si>
  <si>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</si>
  <si>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</si>
  <si>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</si>
  <si>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</si>
  <si>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</si>
  <si>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</si>
  <si>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</si>
  <si>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</si>
  <si>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</si>
  <si>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</si>
  <si>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</si>
  <si>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</si>
  <si>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</si>
  <si>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</si>
  <si>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</si>
  <si>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</si>
  <si>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</si>
  <si>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</si>
  <si>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</si>
  <si>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</si>
  <si>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</si>
  <si>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</si>
  <si>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</si>
  <si>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</si>
  <si>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</si>
  <si>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</si>
  <si>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</si>
  <si>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</si>
  <si>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</si>
  <si>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</si>
  <si>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</si>
  <si>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</si>
  <si>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</si>
  <si>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</si>
  <si>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</si>
  <si>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</si>
  <si>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</si>
  <si>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</si>
  <si>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</si>
  <si>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</si>
  <si>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</si>
  <si>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</si>
  <si>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</si>
  <si>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</si>
  <si>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</si>
  <si>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</si>
  <si>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</si>
  <si>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</si>
  <si>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</si>
  <si>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</si>
  <si>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</si>
  <si>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</si>
  <si>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</si>
  <si>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</si>
  <si>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</si>
  <si>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</si>
  <si>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</si>
  <si>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</si>
  <si>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</si>
  <si>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</si>
  <si>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</si>
  <si>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</si>
  <si>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</si>
  <si>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</si>
  <si>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</si>
  <si>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</si>
  <si>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</si>
  <si>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</si>
  <si>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</si>
  <si>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</si>
  <si>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</si>
  <si>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</si>
  <si>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</si>
  <si>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</si>
  <si>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</si>
  <si>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</si>
  <si>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</si>
  <si>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</si>
  <si>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</si>
  <si>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</si>
  <si>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</si>
  <si>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</si>
  <si>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</si>
  <si>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</si>
  <si>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</si>
  <si>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</si>
  <si>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</si>
  <si>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</si>
  <si>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</si>
  <si>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</si>
  <si>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</si>
  <si>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</si>
  <si>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</si>
  <si>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</si>
  <si>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</si>
  <si>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</si>
  <si>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</si>
  <si>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</si>
  <si>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</si>
  <si>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</si>
  <si>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</si>
  <si>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</si>
  <si>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</si>
  <si>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</si>
  <si>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</si>
  <si>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</si>
  <si>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</si>
  <si>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</si>
  <si>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</si>
  <si>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</si>
  <si>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</si>
  <si>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</si>
  <si>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</si>
  <si>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</si>
  <si>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</si>
  <si>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</si>
  <si>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</si>
  <si>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</si>
  <si>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</si>
  <si>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</si>
  <si>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</si>
  <si>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</si>
  <si>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</si>
  <si>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</si>
  <si>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</si>
  <si>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</si>
  <si>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</si>
  <si>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</si>
  <si>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</si>
  <si>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</si>
  <si>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</si>
  <si>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</si>
  <si>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</si>
  <si>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</si>
  <si>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</si>
  <si>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</si>
  <si>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</si>
  <si>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</si>
  <si>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</si>
  <si>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</si>
  <si>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</si>
  <si>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</si>
  <si>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</si>
  <si>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</si>
  <si>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</si>
  <si>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</si>
  <si>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</si>
  <si>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</si>
  <si>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</si>
  <si>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</si>
  <si>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</si>
  <si>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</si>
  <si>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</si>
  <si>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</si>
  <si>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</si>
  <si>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</si>
  <si>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</si>
  <si>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</si>
  <si>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</si>
  <si>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</si>
  <si>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</si>
  <si>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</si>
  <si>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</si>
  <si>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</si>
  <si>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</si>
  <si>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</si>
  <si>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</si>
  <si>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</si>
  <si>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</si>
  <si>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</si>
  <si>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</si>
  <si>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</si>
  <si>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</si>
  <si>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</si>
  <si>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</si>
  <si>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</si>
  <si>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</si>
  <si>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</si>
  <si>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</si>
  <si>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</si>
  <si>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</si>
  <si>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</si>
  <si>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</si>
  <si>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</si>
  <si>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</si>
  <si>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</si>
  <si>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</si>
  <si>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</si>
  <si>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</si>
  <si>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</si>
  <si>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</si>
  <si>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</si>
  <si>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</si>
  <si>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</si>
  <si>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</si>
  <si>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</si>
  <si>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</si>
  <si>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</si>
  <si>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</si>
  <si>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</si>
  <si>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</si>
  <si>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</si>
  <si>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</si>
  <si>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</si>
  <si>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</si>
  <si>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</si>
  <si>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</si>
  <si>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</si>
  <si>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</si>
  <si>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</si>
  <si>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</si>
  <si>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</si>
  <si>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</si>
  <si>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</si>
  <si>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</si>
  <si>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</si>
  <si>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</si>
  <si>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</si>
  <si>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</si>
  <si>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</si>
  <si>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</si>
  <si>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</si>
  <si>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</si>
  <si>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</si>
  <si>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</si>
  <si>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</si>
  <si>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</si>
  <si>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</si>
  <si>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</si>
  <si>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</si>
  <si>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</si>
  <si>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</si>
  <si>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</si>
  <si>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</si>
  <si>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</si>
  <si>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</si>
  <si>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</si>
  <si>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</si>
  <si>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</si>
  <si>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</si>
  <si>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</si>
  <si>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</si>
  <si>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</si>
  <si>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</si>
  <si>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</si>
  <si>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</si>
  <si>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</si>
  <si>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</si>
  <si>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</si>
  <si>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</si>
  <si>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</si>
  <si>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</si>
  <si>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</si>
  <si>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</si>
  <si>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</si>
  <si>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</si>
  <si>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</si>
  <si>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</si>
  <si>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</si>
  <si>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</si>
  <si>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</si>
  <si>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</si>
  <si>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</si>
  <si>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</si>
  <si>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</si>
  <si>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</si>
  <si>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</si>
  <si>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</si>
  <si>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</si>
  <si>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</si>
  <si>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</si>
  <si>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</si>
  <si>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</si>
  <si>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</si>
  <si>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</si>
  <si>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</si>
  <si>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</si>
  <si>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</si>
  <si>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</si>
  <si>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</si>
  <si>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</si>
  <si>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</si>
  <si>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</si>
  <si>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</si>
  <si>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</si>
  <si>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</si>
  <si>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</si>
  <si>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</si>
  <si>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</si>
  <si>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</si>
  <si>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</si>
  <si>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</si>
  <si>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</si>
  <si>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</si>
  <si>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</si>
  <si>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</si>
  <si>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</si>
  <si>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</si>
  <si>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</si>
  <si>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</si>
  <si>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</si>
  <si>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</si>
  <si>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</si>
  <si>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</si>
  <si>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</si>
  <si>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</si>
  <si>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</si>
  <si>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</si>
  <si>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</si>
  <si>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</si>
  <si>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</si>
  <si>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</si>
  <si>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</si>
  <si>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</si>
  <si>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</si>
  <si>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</si>
  <si>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</si>
  <si>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</si>
  <si>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</si>
  <si>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</si>
  <si>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</si>
  <si>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</si>
  <si>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</si>
  <si>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</si>
  <si>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</si>
  <si>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</si>
  <si>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</si>
  <si>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</si>
  <si>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</si>
  <si>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</si>
  <si>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</si>
  <si>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</si>
  <si>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</si>
  <si>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</si>
  <si>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</si>
  <si>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</si>
  <si>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</si>
  <si>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</si>
  <si>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</si>
  <si>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</si>
  <si>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</si>
  <si>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</si>
  <si>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</si>
  <si>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</si>
  <si>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</si>
  <si>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</si>
  <si>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</si>
  <si>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</si>
  <si>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</si>
  <si>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</si>
  <si>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</si>
  <si>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</si>
  <si>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</si>
  <si>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</si>
  <si>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</si>
  <si>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</si>
  <si>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</si>
  <si>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</si>
  <si>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</si>
  <si>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</si>
  <si>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</si>
  <si>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</si>
  <si>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</si>
  <si>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</si>
  <si>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</si>
  <si>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</si>
  <si>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</si>
  <si>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</si>
  <si>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</si>
  <si>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</si>
  <si>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</si>
  <si>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</si>
  <si>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</si>
  <si>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</si>
  <si>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</si>
  <si>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</si>
  <si>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</si>
  <si>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</si>
  <si>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</si>
  <si>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</si>
  <si>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</si>
  <si>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</si>
  <si>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</si>
  <si>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</si>
  <si>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</si>
  <si>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</si>
  <si>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</si>
  <si>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</si>
  <si>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</si>
  <si>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</si>
  <si>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</si>
  <si>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</si>
  <si>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</si>
  <si>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</si>
  <si>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</si>
  <si>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</si>
  <si>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</si>
  <si>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</si>
  <si>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</si>
  <si>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</si>
  <si>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</si>
  <si>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</si>
  <si>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</si>
  <si>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</si>
  <si>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</si>
  <si>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</si>
  <si>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</si>
  <si>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</si>
  <si>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</si>
  <si>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</si>
  <si>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</si>
  <si>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</si>
  <si>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</si>
  <si>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</si>
  <si>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</si>
  <si>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</si>
  <si>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</si>
  <si>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</si>
  <si>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</si>
  <si>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</si>
  <si>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</si>
  <si>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</si>
  <si>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</si>
  <si>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</si>
  <si>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</si>
  <si>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</si>
  <si>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</si>
  <si>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</si>
  <si>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</si>
  <si>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</si>
  <si>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</si>
  <si>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</si>
  <si>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</si>
  <si>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</si>
  <si>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</si>
  <si>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</si>
  <si>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</si>
  <si>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</si>
  <si>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</si>
  <si>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</si>
  <si>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</si>
  <si>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</si>
  <si>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</si>
  <si>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</si>
  <si>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</si>
  <si>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</si>
  <si>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</si>
  <si>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</si>
  <si>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</si>
  <si>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</si>
  <si>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</si>
  <si>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</si>
  <si>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</si>
  <si>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</si>
  <si>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</si>
  <si>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</si>
  <si>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</si>
  <si>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</si>
  <si>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</si>
  <si>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</si>
  <si>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</si>
  <si>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</si>
  <si>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</si>
  <si>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</si>
  <si>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</si>
  <si>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</si>
  <si>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</si>
  <si>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</si>
  <si>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</si>
  <si>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</si>
  <si>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</si>
  <si>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</si>
  <si>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</si>
  <si>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</si>
  <si>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</si>
  <si>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</si>
  <si>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</si>
  <si>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</si>
  <si>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</si>
  <si>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</si>
  <si>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</si>
  <si>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</si>
  <si>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</si>
  <si>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</si>
  <si>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</si>
  <si>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</si>
  <si>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</si>
  <si>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</si>
  <si>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</si>
  <si>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</si>
  <si>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</si>
  <si>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</si>
  <si>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</si>
  <si>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</si>
  <si>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</si>
  <si>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</si>
  <si>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</si>
  <si>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</si>
  <si>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</si>
  <si>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</si>
  <si>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</si>
  <si>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</si>
  <si>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</si>
  <si>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</si>
  <si>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</si>
  <si>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</si>
  <si>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</si>
  <si>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</si>
  <si>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</si>
  <si>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</si>
  <si>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</si>
  <si>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</si>
  <si>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</si>
  <si>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</si>
  <si>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</si>
  <si>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</si>
  <si>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</si>
  <si>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</si>
  <si>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</si>
  <si>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</si>
  <si>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</si>
  <si>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</si>
  <si>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</si>
  <si>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</si>
  <si>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</si>
  <si>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</si>
  <si>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</si>
  <si>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</si>
  <si>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</si>
  <si>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</si>
  <si>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</si>
  <si>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</si>
  <si>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</si>
  <si>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</si>
  <si>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</si>
  <si>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</si>
  <si>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</si>
  <si>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</si>
  <si>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</si>
  <si>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</si>
  <si>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</si>
  <si>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</si>
  <si>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</si>
  <si>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</si>
  <si>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</si>
  <si>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</si>
  <si>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</si>
  <si>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</si>
  <si>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</si>
  <si>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</si>
  <si>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</si>
  <si>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</si>
  <si>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</si>
  <si>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</si>
  <si>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</si>
  <si>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</si>
  <si>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</si>
  <si>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</si>
  <si>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</si>
  <si>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</si>
  <si>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</si>
  <si>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</si>
  <si>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</si>
  <si>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</si>
  <si>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</si>
  <si>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</si>
  <si>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</si>
  <si>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</si>
  <si>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</si>
  <si>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</si>
  <si>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</si>
  <si>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</si>
  <si>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</si>
  <si>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</si>
  <si>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</si>
  <si>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</si>
  <si>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</si>
  <si>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</si>
  <si>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</si>
  <si>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</si>
  <si>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</si>
  <si>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</si>
  <si>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</si>
  <si>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</si>
  <si>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</si>
  <si>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</si>
  <si>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</si>
  <si>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</si>
  <si>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</si>
  <si>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</si>
  <si>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</si>
  <si>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</si>
  <si>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</si>
  <si>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</si>
  <si>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</si>
  <si>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</si>
  <si>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</si>
  <si>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</si>
  <si>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</si>
  <si>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</si>
  <si>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</si>
  <si>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</si>
  <si>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</si>
  <si>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</si>
  <si>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</si>
  <si>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</si>
  <si>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</si>
  <si>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</si>
  <si>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</si>
  <si>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</si>
  <si>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</si>
  <si>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</si>
  <si>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</si>
  <si>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</si>
  <si>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</si>
  <si>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</si>
  <si>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</si>
  <si>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</si>
  <si>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</si>
  <si>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</si>
  <si>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</si>
  <si>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</si>
  <si>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</si>
  <si>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</si>
  <si>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</si>
  <si>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</si>
  <si>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</si>
  <si>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</si>
  <si>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</si>
  <si>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</si>
  <si>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</si>
  <si>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</si>
  <si>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</si>
  <si>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</si>
  <si>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</si>
  <si>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</si>
  <si>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</si>
  <si>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</si>
  <si>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</si>
  <si>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</si>
  <si>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</si>
  <si>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</si>
  <si>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</si>
  <si>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</si>
  <si>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</si>
  <si>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</si>
  <si>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</si>
  <si>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</si>
  <si>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</si>
  <si>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</si>
  <si>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</si>
  <si>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</si>
  <si>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</si>
  <si>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</si>
  <si>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</si>
  <si>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</si>
  <si>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</si>
  <si>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</si>
  <si>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</si>
  <si>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</si>
  <si>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</si>
  <si>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</si>
  <si>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</si>
  <si>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</si>
  <si>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</si>
  <si>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</si>
  <si>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</si>
  <si>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</si>
  <si>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</si>
  <si>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</si>
  <si>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</si>
  <si>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</si>
  <si>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</si>
  <si>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</si>
  <si>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</si>
  <si>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</si>
  <si>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</si>
  <si>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</si>
  <si>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</si>
  <si>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</si>
  <si>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</si>
  <si>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</si>
  <si>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</si>
  <si>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</si>
  <si>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</si>
  <si>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</si>
  <si>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</si>
  <si>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</si>
  <si>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</si>
  <si>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</si>
  <si>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</si>
  <si>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</si>
  <si>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</si>
  <si>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</si>
  <si>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</si>
  <si>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</si>
  <si>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</si>
  <si>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</si>
  <si>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</si>
  <si>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</si>
  <si>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</si>
  <si>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</si>
  <si>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</si>
  <si>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</si>
  <si>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</si>
  <si>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</si>
  <si>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</si>
  <si>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</si>
  <si>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</si>
  <si>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</si>
  <si>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</si>
  <si>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</si>
  <si>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</si>
  <si>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</si>
  <si>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</si>
  <si>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</si>
  <si>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</si>
  <si>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</si>
  <si>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</si>
  <si>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</si>
  <si>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</si>
  <si>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</si>
  <si>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</si>
  <si>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</si>
  <si>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</si>
  <si>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</si>
  <si>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</si>
  <si>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</si>
  <si>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</si>
  <si>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</si>
  <si>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</si>
  <si>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</si>
  <si>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</si>
  <si>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</si>
  <si>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</si>
  <si>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</si>
  <si>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</si>
  <si>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</si>
  <si>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</si>
  <si>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</si>
  <si>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</si>
  <si>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</si>
  <si>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</si>
  <si>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</si>
  <si>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</si>
  <si>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</si>
  <si>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</si>
  <si>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</si>
  <si>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</si>
  <si>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</si>
  <si>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</si>
  <si>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</si>
  <si>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</si>
  <si>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</si>
  <si>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</si>
  <si>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</si>
  <si>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</si>
  <si>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</si>
  <si>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</si>
  <si>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</si>
  <si>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</si>
  <si>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</si>
  <si>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</si>
  <si>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</si>
  <si>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</si>
  <si>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</si>
  <si>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</si>
  <si>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</si>
  <si>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</si>
  <si>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</si>
  <si>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</si>
  <si>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</si>
  <si>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</si>
  <si>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</si>
  <si>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</si>
  <si>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</si>
  <si>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</si>
  <si>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</si>
  <si>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</si>
  <si>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</si>
  <si>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</si>
  <si>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</si>
  <si>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</si>
  <si>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</si>
  <si>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</si>
  <si>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</si>
  <si>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</si>
  <si>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</si>
  <si>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</si>
  <si>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</si>
  <si>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</si>
  <si>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</si>
  <si>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</si>
  <si>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</si>
  <si>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</si>
  <si>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</si>
  <si>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</si>
  <si>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</si>
  <si>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</si>
  <si>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</si>
  <si>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</si>
  <si>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</si>
  <si>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</si>
  <si>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</si>
  <si>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</si>
  <si>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</si>
  <si>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</si>
  <si>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</si>
  <si>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</si>
  <si>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</si>
  <si>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</si>
  <si>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</si>
  <si>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</si>
  <si>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</si>
  <si>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</si>
  <si>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</si>
  <si>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</si>
  <si>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</si>
  <si>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</si>
  <si>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</si>
  <si>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</si>
  <si>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</si>
  <si>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</si>
  <si>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</si>
  <si>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</si>
  <si>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</si>
  <si>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</si>
  <si>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</si>
  <si>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</si>
  <si>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</si>
  <si>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</si>
  <si>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</si>
  <si>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</si>
  <si>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</si>
  <si>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</si>
  <si>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</si>
  <si>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</si>
  <si>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</si>
  <si>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</si>
  <si>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</si>
  <si>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</si>
  <si>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</si>
  <si>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</si>
  <si>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</si>
  <si>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</si>
  <si>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</si>
  <si>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</si>
  <si>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</si>
  <si>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</si>
  <si>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</si>
  <si>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</si>
  <si>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</si>
  <si>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</si>
  <si>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</si>
  <si>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</si>
  <si>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</si>
  <si>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</si>
  <si>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</si>
  <si>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</si>
  <si>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</si>
  <si>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</si>
  <si>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</si>
  <si>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</si>
  <si>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</si>
  <si>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</si>
  <si>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</si>
  <si>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</si>
  <si>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</si>
  <si>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</si>
  <si>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</si>
  <si>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</si>
  <si>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</si>
  <si>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</si>
  <si>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</si>
  <si>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</si>
  <si>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</si>
  <si>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</si>
  <si>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</si>
  <si>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</si>
  <si>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</si>
  <si>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</si>
  <si>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</si>
  <si>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</si>
  <si>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</si>
  <si>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</si>
  <si>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</si>
  <si>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</si>
  <si>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</si>
  <si>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</si>
  <si>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</si>
  <si>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</si>
  <si>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</si>
  <si>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</si>
  <si>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</si>
  <si>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</si>
  <si>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</si>
  <si>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</si>
  <si>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</si>
  <si>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</si>
  <si>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</si>
  <si>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</si>
  <si>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</si>
  <si>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</si>
  <si>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</si>
  <si>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</si>
  <si>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</si>
  <si>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</si>
  <si>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</si>
  <si>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</si>
  <si>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</si>
  <si>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</si>
  <si>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</si>
  <si>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</si>
  <si>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</si>
  <si>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</si>
  <si>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</si>
  <si>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</si>
  <si>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</si>
  <si>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</si>
  <si>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</si>
  <si>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</si>
  <si>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</si>
  <si>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</si>
  <si>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</si>
  <si>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</si>
  <si>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</si>
  <si>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</si>
  <si>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</si>
  <si>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</si>
  <si>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</si>
  <si>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</si>
  <si>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</si>
  <si>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</si>
  <si>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</si>
  <si>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</si>
  <si>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</si>
  <si>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</si>
  <si>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</si>
  <si>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</si>
  <si>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</si>
  <si>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</si>
  <si>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</si>
  <si>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</si>
  <si>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</si>
  <si>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</si>
  <si>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</si>
  <si>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</si>
  <si>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</si>
  <si>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</si>
  <si>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</si>
  <si>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</si>
  <si>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</si>
  <si>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</si>
  <si>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</si>
  <si>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</si>
  <si>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</si>
  <si>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</si>
  <si>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</si>
  <si>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</si>
  <si>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</si>
  <si>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</si>
  <si>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</si>
  <si>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</si>
  <si>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</si>
  <si>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</si>
  <si>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</si>
  <si>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</si>
  <si>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</si>
  <si>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</si>
  <si>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</si>
  <si>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</si>
  <si>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</si>
  <si>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</si>
  <si>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</si>
  <si>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</si>
  <si>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</si>
  <si>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</si>
  <si>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</si>
  <si>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</si>
  <si>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</si>
  <si>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</si>
  <si>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</si>
  <si>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</si>
  <si>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</si>
  <si>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</si>
  <si>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</si>
  <si>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</si>
  <si>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</si>
  <si>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</si>
  <si>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</si>
  <si>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</si>
  <si>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</si>
  <si>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</si>
  <si>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</si>
  <si>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</si>
  <si>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</si>
  <si>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</si>
  <si>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</si>
  <si>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</si>
  <si>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</si>
  <si>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</si>
  <si>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</si>
  <si>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</si>
  <si>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</si>
  <si>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</si>
  <si>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</si>
  <si>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</si>
  <si>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</si>
  <si>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</si>
  <si>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</si>
  <si>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</si>
  <si>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</si>
  <si>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</si>
  <si>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</si>
  <si>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</si>
  <si>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</si>
  <si>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</si>
  <si>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</si>
  <si>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</si>
  <si>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</si>
  <si>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</si>
  <si>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</si>
  <si>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</si>
  <si>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</si>
  <si>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</si>
  <si>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</si>
  <si>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</si>
  <si>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</si>
  <si>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</si>
  <si>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</si>
  <si>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</si>
  <si>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</si>
  <si>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</si>
  <si>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</si>
  <si>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</si>
  <si>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</si>
  <si>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</si>
  <si>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</si>
  <si>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</si>
  <si>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</si>
  <si>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</si>
  <si>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</si>
  <si>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</si>
  <si>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</si>
  <si>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</si>
  <si>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</si>
  <si>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</si>
  <si>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</si>
  <si>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</si>
  <si>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</si>
  <si>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</si>
  <si>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</si>
  <si>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</si>
  <si>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</si>
  <si>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</si>
  <si>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</si>
  <si>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</si>
  <si>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</si>
  <si>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</si>
  <si>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</si>
  <si>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</si>
  <si>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</si>
  <si>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</si>
  <si>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</si>
  <si>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</si>
  <si>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</si>
  <si>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</si>
  <si>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</si>
  <si>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</si>
  <si>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</si>
  <si>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</si>
  <si>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</si>
  <si>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</si>
  <si>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</si>
  <si>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</si>
  <si>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</si>
  <si>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</si>
  <si>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</si>
  <si>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</si>
  <si>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</si>
  <si>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</si>
  <si>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</si>
  <si>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</si>
  <si>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</si>
  <si>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</si>
  <si>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</si>
  <si>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</si>
  <si>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</si>
  <si>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</si>
  <si>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</si>
  <si>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</si>
  <si>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</si>
  <si>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</si>
  <si>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</si>
  <si>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</si>
  <si>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</si>
  <si>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</si>
  <si>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</si>
  <si>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</si>
  <si>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</si>
  <si>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</si>
  <si>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</si>
  <si>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</si>
  <si>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</si>
  <si>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</si>
  <si>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</si>
  <si>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</si>
  <si>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</si>
  <si>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</si>
  <si>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</si>
  <si>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</si>
  <si>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</si>
  <si>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</si>
  <si>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</si>
  <si>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</si>
  <si>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</si>
  <si>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</si>
  <si>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</si>
  <si>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</si>
  <si>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</si>
  <si>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</si>
  <si>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</si>
  <si>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</si>
  <si>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</si>
  <si>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</si>
  <si>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</si>
  <si>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</si>
  <si>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</si>
  <si>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</si>
  <si>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</si>
  <si>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</si>
  <si>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</si>
  <si>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</si>
  <si>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</si>
  <si>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</si>
  <si>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</si>
  <si>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</si>
  <si>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</si>
  <si>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</si>
  <si>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</si>
  <si>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</si>
  <si>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</si>
  <si>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</si>
  <si>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</si>
  <si>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</si>
  <si>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</si>
  <si>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</si>
  <si>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</si>
  <si>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</si>
  <si>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</si>
  <si>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</si>
  <si>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</si>
  <si>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</si>
  <si>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</si>
  <si>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</si>
  <si>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</si>
  <si>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</si>
  <si>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</si>
  <si>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</si>
  <si>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</si>
  <si>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</si>
  <si>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</si>
  <si>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</si>
  <si>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</si>
  <si>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</si>
  <si>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</si>
  <si>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</si>
  <si>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</si>
  <si>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</si>
  <si>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</si>
  <si>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</si>
  <si>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</si>
  <si>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</si>
  <si>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</si>
  <si>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</si>
  <si>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</si>
  <si>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</si>
  <si>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</si>
  <si>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</si>
  <si>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</si>
  <si>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</si>
  <si>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</si>
  <si>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</si>
  <si>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</si>
  <si>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</si>
  <si>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</si>
  <si>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</si>
  <si>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</si>
  <si>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</si>
  <si>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</si>
  <si>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</si>
  <si>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</si>
  <si>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</si>
  <si>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</si>
  <si>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</si>
  <si>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</si>
  <si>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</si>
  <si>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</si>
  <si>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</si>
  <si>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</si>
  <si>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</si>
  <si>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</si>
  <si>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</si>
  <si>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</si>
  <si>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</si>
  <si>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</si>
  <si>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</si>
  <si>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</si>
  <si>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</si>
  <si>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</si>
  <si>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</si>
  <si>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</si>
  <si>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</si>
  <si>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</si>
  <si>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</si>
  <si>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</si>
  <si>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</si>
  <si>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</si>
  <si>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</si>
  <si>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</si>
  <si>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</si>
  <si>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</si>
  <si>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</si>
  <si>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</si>
  <si>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</si>
  <si>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</si>
  <si>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</si>
  <si>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</si>
  <si>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</si>
  <si>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</si>
  <si>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</si>
  <si>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</si>
  <si>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</si>
  <si>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</si>
  <si>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</si>
  <si>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</si>
  <si>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</si>
  <si>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</si>
  <si>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</si>
  <si>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</si>
  <si>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</si>
  <si>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</si>
  <si>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</si>
  <si>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</si>
  <si>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</si>
  <si>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</si>
  <si>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</si>
  <si>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</si>
  <si>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</si>
  <si>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</si>
  <si>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</si>
  <si>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</si>
  <si>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</si>
  <si>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</si>
  <si>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</si>
  <si>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</si>
  <si>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</si>
  <si>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</si>
  <si>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</si>
  <si>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</si>
  <si>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</si>
  <si>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</si>
  <si>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</si>
  <si>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</si>
  <si>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</si>
  <si>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</si>
  <si>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</si>
  <si>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</si>
  <si>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</si>
  <si>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</si>
  <si>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</si>
  <si>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</si>
  <si>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</si>
  <si>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</si>
  <si>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</si>
  <si>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</si>
  <si>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</si>
  <si>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</si>
  <si>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</si>
  <si>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</si>
  <si>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</si>
  <si>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</si>
  <si>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</si>
  <si>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</si>
  <si>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</si>
  <si>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</si>
  <si>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</si>
  <si>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</si>
  <si>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</si>
  <si>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</si>
  <si>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</si>
  <si>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</si>
  <si>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</si>
  <si>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</si>
  <si>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</si>
  <si>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</si>
  <si>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</si>
  <si>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</si>
  <si>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</si>
  <si>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</si>
  <si>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</si>
  <si>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</si>
  <si>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</si>
  <si>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</si>
  <si>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</si>
  <si>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</si>
  <si>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</si>
  <si>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</si>
  <si>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</si>
  <si>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</si>
  <si>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</si>
  <si>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</si>
  <si>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</si>
  <si>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</si>
  <si>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</si>
  <si>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</si>
  <si>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</si>
  <si>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</si>
  <si>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</si>
  <si>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</si>
  <si>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</si>
  <si>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</si>
  <si>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</si>
  <si>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</si>
  <si>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</si>
  <si>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</si>
  <si>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</si>
  <si>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</si>
  <si>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</si>
  <si>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</si>
  <si>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</si>
  <si>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</si>
  <si>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</si>
  <si>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</si>
  <si>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</si>
  <si>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</si>
  <si>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</si>
  <si>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</si>
  <si>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</si>
  <si>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</si>
  <si>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</si>
  <si>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</si>
  <si>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</si>
  <si>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</si>
  <si>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</si>
  <si>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</si>
  <si>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</si>
  <si>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</si>
  <si>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</si>
  <si>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</si>
  <si>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</si>
  <si>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</si>
  <si>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</si>
  <si>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</si>
  <si>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</si>
  <si>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</si>
  <si>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</si>
  <si>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</si>
  <si>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</si>
  <si>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</si>
  <si>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</si>
  <si>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</si>
  <si>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</si>
  <si>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</si>
  <si>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</si>
  <si>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</si>
  <si>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</si>
  <si>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</si>
  <si>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</si>
  <si>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</si>
  <si>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</si>
  <si>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</si>
  <si>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</si>
  <si>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</si>
  <si>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</si>
  <si>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</si>
  <si>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</si>
  <si>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</si>
  <si>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</si>
  <si>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</si>
  <si>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</si>
  <si>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</si>
  <si>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</si>
  <si>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</si>
  <si>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</si>
  <si>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</si>
  <si>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</si>
  <si>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</si>
  <si>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</si>
  <si>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</si>
  <si>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</si>
  <si>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</si>
  <si>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</si>
  <si>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</si>
  <si>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</si>
  <si>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</si>
  <si>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</si>
  <si>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</si>
  <si>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</si>
  <si>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</si>
  <si>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</si>
  <si>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</si>
  <si>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</si>
  <si>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</si>
  <si>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</si>
  <si>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</si>
  <si>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</si>
  <si>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</si>
  <si>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</si>
  <si>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</si>
  <si>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</si>
  <si>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</si>
  <si>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</si>
  <si>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</si>
  <si>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</si>
  <si>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</si>
  <si>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</si>
  <si>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</si>
  <si>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</si>
  <si>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</si>
  <si>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</si>
  <si>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</si>
  <si>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</si>
  <si>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</si>
  <si>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</si>
  <si>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</si>
  <si>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</si>
  <si>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</si>
  <si>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</si>
  <si>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</si>
  <si>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</si>
  <si>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</si>
  <si>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</si>
  <si>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</si>
  <si>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</si>
  <si>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</si>
  <si>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</si>
  <si>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</si>
  <si>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</si>
  <si>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</si>
  <si>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</si>
  <si>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</si>
  <si>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</si>
  <si>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</si>
  <si>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</si>
  <si>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</si>
  <si>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</si>
  <si>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</si>
  <si>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</si>
  <si>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</si>
  <si>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</si>
  <si>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</si>
  <si>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</si>
  <si>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</si>
  <si>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</si>
  <si>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</si>
  <si>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</si>
  <si>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</si>
  <si>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</si>
  <si>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</si>
  <si>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</si>
  <si>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</si>
  <si>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</si>
  <si>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</si>
  <si>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</si>
  <si>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</si>
  <si>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</si>
  <si>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</si>
  <si>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</si>
  <si>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</si>
  <si>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</si>
  <si>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</si>
  <si>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</si>
  <si>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</si>
  <si>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</si>
  <si>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</si>
  <si>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</si>
  <si>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</si>
  <si>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</si>
  <si>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</si>
  <si>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</si>
  <si>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</si>
  <si>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</si>
  <si>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</si>
  <si>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</si>
  <si>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</si>
  <si>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</si>
  <si>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</si>
  <si>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</si>
  <si>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</si>
  <si>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</si>
  <si>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</si>
  <si>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</si>
  <si>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</si>
  <si>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</si>
  <si>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</si>
  <si>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</si>
  <si>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</si>
  <si>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</si>
  <si>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</si>
  <si>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</si>
  <si>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</si>
  <si>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</si>
  <si>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</si>
  <si>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</si>
  <si>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</si>
  <si>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</si>
  <si>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</si>
  <si>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</si>
  <si>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</si>
  <si>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</si>
  <si>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</si>
  <si>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</si>
  <si>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</si>
  <si>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</si>
  <si>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</si>
  <si>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</si>
  <si>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</si>
  <si>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</si>
  <si>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</si>
  <si>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</si>
  <si>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</si>
  <si>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</si>
  <si>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</si>
  <si>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</si>
  <si>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</si>
  <si>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</si>
  <si>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</si>
  <si>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</si>
  <si>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</si>
  <si>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</si>
  <si>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</si>
  <si>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</si>
  <si>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</si>
  <si>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</si>
  <si>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</si>
  <si>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</si>
  <si>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</si>
  <si>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</si>
  <si>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</si>
  <si>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</si>
  <si>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</si>
  <si>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</si>
  <si>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</si>
  <si>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</si>
  <si>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</si>
  <si>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</si>
  <si>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</si>
  <si>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</si>
  <si>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</si>
  <si>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</si>
  <si>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</si>
  <si>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</si>
  <si>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</si>
  <si>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</si>
  <si>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</si>
  <si>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</si>
  <si>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</si>
  <si>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</si>
  <si>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</si>
  <si>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</si>
  <si>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</si>
  <si>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</si>
  <si>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</si>
  <si>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</si>
  <si>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</si>
  <si>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</si>
  <si>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</si>
  <si>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</si>
  <si>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</si>
  <si>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</si>
  <si>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</si>
  <si>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</si>
  <si>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</si>
  <si>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</si>
  <si>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</si>
  <si>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</si>
  <si>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</si>
  <si>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</si>
  <si>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</si>
  <si>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</si>
  <si>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</si>
  <si>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</si>
  <si>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</si>
  <si>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</si>
  <si>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</si>
  <si>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</si>
  <si>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</si>
  <si>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</si>
  <si>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</si>
  <si>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</si>
  <si>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</si>
  <si>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</si>
  <si>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</si>
  <si>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</si>
  <si>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</si>
  <si>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</si>
  <si>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</si>
  <si>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</si>
  <si>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</si>
  <si>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</si>
  <si>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</si>
  <si>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</si>
  <si>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</si>
  <si>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</si>
  <si>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</si>
  <si>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</si>
  <si>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</si>
  <si>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</si>
  <si>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</si>
  <si>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</si>
  <si>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</si>
  <si>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</si>
  <si>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</si>
  <si>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</si>
  <si>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</si>
  <si>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</si>
  <si>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</si>
  <si>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</si>
  <si>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</si>
  <si>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</si>
  <si>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</si>
  <si>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</si>
  <si>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</si>
  <si>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</si>
  <si>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</si>
  <si>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</si>
  <si>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</si>
  <si>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</si>
  <si>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</si>
  <si>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</si>
  <si>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</si>
  <si>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</si>
  <si>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</si>
  <si>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</si>
  <si>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</si>
  <si>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</si>
  <si>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</si>
  <si>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</si>
  <si>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</si>
  <si>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</si>
  <si>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</si>
  <si>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</si>
  <si>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</si>
  <si>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</si>
  <si>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</si>
  <si>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</si>
  <si>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</si>
  <si>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</si>
  <si>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</si>
  <si>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</si>
  <si>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</si>
  <si>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</si>
  <si>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</si>
  <si>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</si>
  <si>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</si>
  <si>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</si>
  <si>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</si>
  <si>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</si>
  <si>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</si>
  <si>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</si>
  <si>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</si>
  <si>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</si>
  <si>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</si>
  <si>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</si>
  <si>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</si>
  <si>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</si>
  <si>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</si>
  <si>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</si>
  <si>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</si>
  <si>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</si>
  <si>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</si>
  <si>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</si>
  <si>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</si>
  <si>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</si>
  <si>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</si>
  <si>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</si>
  <si>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</si>
  <si>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</si>
  <si>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</si>
  <si>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</si>
  <si>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</si>
  <si>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</si>
  <si>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</si>
  <si>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</si>
  <si>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</si>
  <si>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</si>
  <si>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</si>
  <si>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</si>
  <si>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</si>
  <si>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</si>
  <si>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</si>
  <si>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</si>
  <si>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</si>
  <si>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</si>
  <si>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</si>
  <si>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</si>
  <si>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</si>
  <si>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</si>
  <si>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</si>
  <si>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</si>
  <si>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</si>
  <si>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</si>
  <si>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</si>
  <si>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</si>
  <si>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</si>
  <si>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</si>
  <si>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</si>
  <si>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</si>
  <si>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</si>
  <si>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</si>
  <si>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</si>
  <si>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</si>
  <si>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</si>
  <si>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</si>
  <si>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</si>
  <si>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</si>
  <si>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</si>
  <si>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</si>
  <si>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</si>
  <si>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</si>
  <si>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</si>
  <si>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</si>
  <si>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</si>
  <si>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</si>
  <si>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</si>
  <si>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</si>
  <si>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</si>
  <si>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</si>
  <si>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</si>
  <si>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</si>
  <si>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</si>
  <si>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</si>
  <si>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</si>
  <si>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</si>
  <si>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</si>
  <si>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</si>
  <si>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</si>
  <si>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</si>
  <si>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</si>
  <si>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</si>
  <si>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</si>
  <si>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</si>
  <si>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</si>
  <si>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</si>
  <si>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</si>
  <si>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</si>
  <si>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</si>
  <si>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</si>
  <si>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</si>
  <si>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</si>
  <si>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</si>
  <si>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</si>
  <si>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</si>
  <si>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</si>
  <si>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</si>
  <si>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</si>
  <si>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</si>
  <si>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</si>
  <si>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</si>
  <si>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</si>
  <si>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</si>
  <si>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</si>
  <si>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</si>
  <si>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</si>
  <si>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</si>
  <si>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</si>
  <si>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</si>
  <si>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</si>
  <si>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</si>
  <si>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</si>
  <si>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</si>
  <si>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</si>
  <si>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</si>
  <si>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</si>
  <si>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</si>
  <si>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</si>
  <si>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</si>
  <si>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</si>
  <si>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</si>
  <si>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</si>
  <si>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</si>
  <si>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</si>
  <si>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</si>
  <si>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</si>
  <si>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</si>
  <si>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</si>
  <si>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</si>
  <si>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</si>
  <si>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</si>
  <si>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</si>
  <si>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</si>
  <si>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</si>
  <si>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</si>
  <si>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</si>
  <si>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</si>
  <si>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</si>
  <si>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</si>
  <si>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</si>
  <si>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</si>
  <si>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</si>
  <si>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</si>
  <si>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</si>
  <si>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</si>
  <si>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</si>
  <si>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</si>
  <si>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</si>
  <si>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</si>
  <si>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</si>
  <si>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</si>
  <si>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</si>
  <si>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</si>
  <si>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</si>
  <si>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</si>
  <si>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</si>
  <si>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</si>
  <si>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</si>
  <si>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</si>
  <si>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</si>
  <si>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</si>
  <si>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</si>
  <si>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</si>
  <si>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</si>
  <si>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</si>
  <si>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</si>
  <si>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</si>
  <si>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</si>
  <si>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</si>
  <si>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</si>
  <si>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</si>
  <si>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</si>
  <si>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</si>
  <si>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</si>
  <si>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</si>
  <si>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</si>
  <si>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</si>
  <si>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</si>
  <si>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</si>
  <si>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</si>
  <si>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</si>
  <si>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</si>
  <si>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</si>
  <si>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</si>
  <si>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</si>
  <si>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</si>
  <si>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</si>
  <si>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</si>
  <si>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</si>
  <si>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</si>
  <si>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</si>
  <si>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</si>
  <si>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</si>
  <si>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</si>
  <si>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</si>
  <si>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</si>
  <si>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</si>
  <si>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</si>
  <si>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</si>
  <si>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</si>
  <si>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</si>
  <si>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</si>
  <si>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</si>
  <si>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</si>
  <si>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</si>
  <si>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</si>
  <si>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</si>
  <si>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</si>
  <si>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</si>
  <si>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</si>
  <si>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</si>
  <si>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</si>
  <si>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</si>
  <si>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</si>
  <si>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</si>
  <si>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</si>
  <si>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</si>
  <si>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</si>
  <si>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</si>
  <si>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</si>
  <si>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</si>
  <si>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</si>
  <si>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</si>
  <si>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</si>
  <si>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</si>
  <si>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</si>
  <si>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</si>
  <si>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</si>
  <si>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</si>
  <si>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</si>
  <si>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</si>
  <si>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</si>
  <si>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</si>
  <si>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</si>
  <si>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</si>
  <si>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</si>
  <si>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</si>
  <si>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</si>
  <si>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</si>
  <si>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</si>
  <si>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</si>
  <si>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</si>
  <si>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</si>
  <si>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</si>
  <si>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</si>
  <si>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</si>
  <si>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</si>
  <si>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</si>
  <si>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</si>
  <si>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</si>
  <si>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</si>
  <si>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</si>
  <si>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</si>
  <si>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</si>
  <si>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</si>
  <si>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</si>
  <si>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</si>
  <si>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</si>
  <si>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</si>
  <si>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</si>
  <si>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</si>
  <si>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</si>
  <si>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</si>
  <si>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</si>
  <si>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</si>
  <si>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</si>
  <si>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</si>
  <si>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</si>
  <si>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</si>
  <si>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</si>
  <si>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</si>
  <si>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</si>
  <si>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</si>
  <si>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</si>
  <si>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</si>
  <si>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</si>
  <si>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</si>
  <si>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</si>
  <si>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</si>
  <si>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</si>
  <si>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</si>
  <si>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</si>
  <si>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</si>
  <si>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</si>
  <si>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</si>
  <si>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</si>
  <si>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</si>
  <si>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</si>
  <si>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</si>
  <si>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</si>
  <si>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</si>
  <si>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</si>
  <si>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</si>
  <si>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</si>
  <si>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</si>
  <si>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</si>
  <si>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</si>
  <si>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</si>
  <si>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</si>
  <si>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</si>
  <si>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</si>
  <si>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</si>
  <si>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</si>
  <si>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</si>
  <si>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</si>
  <si>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</si>
  <si>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</si>
  <si>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</si>
  <si>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</si>
  <si>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</si>
  <si>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</si>
  <si>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</si>
  <si>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</si>
  <si>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</si>
  <si>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</si>
  <si>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</si>
  <si>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</si>
  <si>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</si>
  <si>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</si>
  <si>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</si>
  <si>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</si>
  <si>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</si>
  <si>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</si>
  <si>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</si>
  <si>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</si>
  <si>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</si>
  <si>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</si>
  <si>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</si>
  <si>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</si>
  <si>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</si>
  <si>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</si>
  <si>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</si>
  <si>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</si>
  <si>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</si>
  <si>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</si>
  <si>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</si>
  <si>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</si>
  <si>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</si>
  <si>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</si>
  <si>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</si>
  <si>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</si>
  <si>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</si>
  <si>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</si>
  <si>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</si>
  <si>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</si>
  <si>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</si>
  <si>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</si>
  <si>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</si>
  <si>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</si>
  <si>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</si>
  <si>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</si>
  <si>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</si>
  <si>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</si>
  <si>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</si>
  <si>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</si>
  <si>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</si>
  <si>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</si>
  <si>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</si>
  <si>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</si>
  <si>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</si>
  <si>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</si>
  <si>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</si>
  <si>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</si>
  <si>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</si>
  <si>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</si>
  <si>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</si>
  <si>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</si>
  <si>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</si>
  <si>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</si>
  <si>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</si>
  <si>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</si>
  <si>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</si>
  <si>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</si>
  <si>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</si>
  <si>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</si>
  <si>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</si>
  <si>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</si>
  <si>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</si>
  <si>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</si>
  <si>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</si>
  <si>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</si>
  <si>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</si>
  <si>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</si>
  <si>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</si>
  <si>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</si>
  <si>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</si>
  <si>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</si>
  <si>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</si>
  <si>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</si>
  <si>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</si>
  <si>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</si>
  <si>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</si>
  <si>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</si>
  <si>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</si>
  <si>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</si>
  <si>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</si>
  <si>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</si>
  <si>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</si>
  <si>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</si>
  <si>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</si>
  <si>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</si>
  <si>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</si>
  <si>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</si>
  <si>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</si>
  <si>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</si>
  <si>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</si>
  <si>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</si>
  <si>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</si>
  <si>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</si>
  <si>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</si>
  <si>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</si>
  <si>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</si>
  <si>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</si>
  <si>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</si>
  <si>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</si>
  <si>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</si>
  <si>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</si>
  <si>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</si>
  <si>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</si>
  <si>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</si>
  <si>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</si>
  <si>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</si>
  <si>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</si>
  <si>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</si>
  <si>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</si>
  <si>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</si>
  <si>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</si>
  <si>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</si>
  <si>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</si>
  <si>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</si>
  <si>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</si>
  <si>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</si>
  <si>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</si>
  <si>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</si>
  <si>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</si>
  <si>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</si>
  <si>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</si>
  <si>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</si>
  <si>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</si>
  <si>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</si>
  <si>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</si>
  <si>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</si>
  <si>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</si>
  <si>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</si>
  <si>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</si>
  <si>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</si>
  <si>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</si>
  <si>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</si>
  <si>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</si>
  <si>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</si>
  <si>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</si>
  <si>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</si>
  <si>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</si>
  <si>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</si>
  <si>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</si>
  <si>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</si>
  <si>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</si>
  <si>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</si>
  <si>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</si>
  <si>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</si>
  <si>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</si>
  <si>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</si>
  <si>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</si>
  <si>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</si>
  <si>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</si>
  <si>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</si>
  <si>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</si>
  <si>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</si>
  <si>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</si>
  <si>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</si>
  <si>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</si>
  <si>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</si>
  <si>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</si>
  <si>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</si>
  <si>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</si>
  <si>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</si>
  <si>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</si>
  <si>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</si>
  <si>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</si>
  <si>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</si>
  <si>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</si>
  <si>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</si>
  <si>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</si>
  <si>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</si>
  <si>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</si>
  <si>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</si>
  <si>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</si>
  <si>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</si>
  <si>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</si>
  <si>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</si>
  <si>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</si>
  <si>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</si>
  <si>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</si>
  <si>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</si>
  <si>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</si>
  <si>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</si>
  <si>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</si>
  <si>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</si>
  <si>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</si>
  <si>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</si>
  <si>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</si>
  <si>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</si>
  <si>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</si>
  <si>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</si>
  <si>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</si>
  <si>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</si>
  <si>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</si>
  <si>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</si>
  <si>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</si>
  <si>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</si>
  <si>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</si>
  <si>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</si>
  <si>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</si>
  <si>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</si>
  <si>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</si>
  <si>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</si>
  <si>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</si>
  <si>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</si>
  <si>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</si>
  <si>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</si>
  <si>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</si>
  <si>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</si>
  <si>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</si>
  <si>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</si>
  <si>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</si>
  <si>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</si>
  <si>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</si>
  <si>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</si>
  <si>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</si>
  <si>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</si>
  <si>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</si>
  <si>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</si>
  <si>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</si>
  <si>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</si>
  <si>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</si>
  <si>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</si>
  <si>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</si>
  <si>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</si>
  <si>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</si>
  <si>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</si>
  <si>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</si>
  <si>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</si>
  <si>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</si>
  <si>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</si>
  <si>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</si>
  <si>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</si>
  <si>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</si>
  <si>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</si>
  <si>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</si>
  <si>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</si>
  <si>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</si>
  <si>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</si>
  <si>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</si>
  <si>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</si>
  <si>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</si>
  <si>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</si>
  <si>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</si>
  <si>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</si>
  <si>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</si>
  <si>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</si>
  <si>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</si>
  <si>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</si>
  <si>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</si>
  <si>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</si>
  <si>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</si>
  <si>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</si>
  <si>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</si>
  <si>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</si>
  <si>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</si>
  <si>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</si>
  <si>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</si>
  <si>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</si>
  <si>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</si>
  <si>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</si>
  <si>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</si>
  <si>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</si>
  <si>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</si>
  <si>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</si>
  <si>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</si>
  <si>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</si>
  <si>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</si>
  <si>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</si>
  <si>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</si>
  <si>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</si>
  <si>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</si>
  <si>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</si>
  <si>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</si>
  <si>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</si>
  <si>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</si>
  <si>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</si>
  <si>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</si>
  <si>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</si>
  <si>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</si>
  <si>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</si>
  <si>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</si>
  <si>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</si>
  <si>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</si>
  <si>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</si>
  <si>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</si>
  <si>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</si>
  <si>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</si>
  <si>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</si>
  <si>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</si>
  <si>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</si>
  <si>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</si>
  <si>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</si>
  <si>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</si>
  <si>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</si>
  <si>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</si>
  <si>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</si>
  <si>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</si>
  <si>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</si>
  <si>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</si>
  <si>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</si>
  <si>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</si>
  <si>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</si>
  <si>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</si>
  <si>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</si>
  <si>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</si>
  <si>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</si>
  <si>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</si>
  <si>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</si>
  <si>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</si>
  <si>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</si>
  <si>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</si>
  <si>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</si>
  <si>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</si>
  <si>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</si>
  <si>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</si>
  <si>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</si>
  <si>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</si>
  <si>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</si>
  <si>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</si>
  <si>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</si>
  <si>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</si>
  <si>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</si>
  <si>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</si>
  <si>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</si>
  <si>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</si>
  <si>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</si>
  <si>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</si>
  <si>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</si>
  <si>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</si>
  <si>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</si>
  <si>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</si>
  <si>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</si>
  <si>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</si>
  <si>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</si>
  <si>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</si>
  <si>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</si>
  <si>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</si>
  <si>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</si>
  <si>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</si>
  <si>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</si>
  <si>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</si>
  <si>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</si>
  <si>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</si>
  <si>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</si>
  <si>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</si>
  <si>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</si>
  <si>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</si>
  <si>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</si>
  <si>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</si>
  <si>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</si>
  <si>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</si>
  <si>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</si>
  <si>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</si>
  <si>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</si>
  <si>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</si>
  <si>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</si>
  <si>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</si>
  <si>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</si>
  <si>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</si>
  <si>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</si>
  <si>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</si>
  <si>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</si>
  <si>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</si>
  <si>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</si>
  <si>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</si>
  <si>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</si>
  <si>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</si>
  <si>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</si>
  <si>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</si>
  <si>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</si>
  <si>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</si>
  <si>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</si>
  <si>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</si>
  <si>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</si>
  <si>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</si>
  <si>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</si>
  <si>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</si>
  <si>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</si>
  <si>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</si>
  <si>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</si>
  <si>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</si>
  <si>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</si>
  <si>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</si>
  <si>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</si>
  <si>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</si>
  <si>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</si>
  <si>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</si>
  <si>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</si>
  <si>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</si>
  <si>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</si>
  <si>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</si>
  <si>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</si>
  <si>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</si>
  <si>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</si>
  <si>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</si>
  <si>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</si>
  <si>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</si>
  <si>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</si>
  <si>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</si>
  <si>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</si>
  <si>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</si>
  <si>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</si>
  <si>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</si>
  <si>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</si>
  <si>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</si>
  <si>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</si>
  <si>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</si>
  <si>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</si>
  <si>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</si>
  <si>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</si>
  <si>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</si>
  <si>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</si>
  <si>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</si>
  <si>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</si>
  <si>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</si>
  <si>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</si>
  <si>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</si>
  <si>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</si>
  <si>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</si>
  <si>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</si>
  <si>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</si>
  <si>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</si>
  <si>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</si>
  <si>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</si>
  <si>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</si>
  <si>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</si>
  <si>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</si>
  <si>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</si>
  <si>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</si>
  <si>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</si>
  <si>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</si>
  <si>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</si>
  <si>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</si>
  <si>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</si>
  <si>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</si>
  <si>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</si>
  <si>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</si>
  <si>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</si>
  <si>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</si>
  <si>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</si>
  <si>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</si>
  <si>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</si>
  <si>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</si>
  <si>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</si>
  <si>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</si>
  <si>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</si>
  <si>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</si>
  <si>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</si>
  <si>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</si>
  <si>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</si>
  <si>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</si>
  <si>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</si>
  <si>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</si>
  <si>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</si>
  <si>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</si>
  <si>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</si>
  <si>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</si>
  <si>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</si>
  <si>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</si>
  <si>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</si>
  <si>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</si>
  <si>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</si>
  <si>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</si>
  <si>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</si>
  <si>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</si>
  <si>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</si>
  <si>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</si>
  <si>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</si>
  <si>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</si>
  <si>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</si>
  <si>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</si>
  <si>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</si>
  <si>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</si>
  <si>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</si>
  <si>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</si>
  <si>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</si>
  <si>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</si>
  <si>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</si>
  <si>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</si>
  <si>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</si>
  <si>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</si>
  <si>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</si>
  <si>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</si>
  <si>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</si>
  <si>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</si>
  <si>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</si>
  <si>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</si>
  <si>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</si>
  <si>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</si>
  <si>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</si>
  <si>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</si>
  <si>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</si>
  <si>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</si>
  <si>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</si>
  <si>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</si>
  <si>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</si>
  <si>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</si>
  <si>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</si>
  <si>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</si>
  <si>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</si>
  <si>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</si>
  <si>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</si>
  <si>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</si>
  <si>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</si>
  <si>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</si>
  <si>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</si>
  <si>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</si>
  <si>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</si>
  <si>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</si>
  <si>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</si>
  <si>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</si>
  <si>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</si>
  <si>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</si>
  <si>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</si>
  <si>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</si>
  <si>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</si>
  <si>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</si>
  <si>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</si>
  <si>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</si>
  <si>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</si>
  <si>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</si>
  <si>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</si>
  <si>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</si>
  <si>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</si>
  <si>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</si>
  <si>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</si>
  <si>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</si>
  <si>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</si>
  <si>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</si>
  <si>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</si>
  <si>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</si>
  <si>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</si>
  <si>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</si>
  <si>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</si>
  <si>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</si>
  <si>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</si>
  <si>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</si>
  <si>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</si>
  <si>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</si>
  <si>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</si>
  <si>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</si>
  <si>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</si>
  <si>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</si>
  <si>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</si>
  <si>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</si>
  <si>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</si>
  <si>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</si>
  <si>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</si>
  <si>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</si>
  <si>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</si>
  <si>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</si>
  <si>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</si>
  <si>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</si>
  <si>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</si>
  <si>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</si>
  <si>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</si>
  <si>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</si>
  <si>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</si>
  <si>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</si>
  <si>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</si>
  <si>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</si>
  <si>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</si>
  <si>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</si>
  <si>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</si>
  <si>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</si>
  <si>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</si>
  <si>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</si>
  <si>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</si>
  <si>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</si>
  <si>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</si>
  <si>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</si>
  <si>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</si>
  <si>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</si>
  <si>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</si>
  <si>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</si>
  <si>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</si>
  <si>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</si>
  <si>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</si>
  <si>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</si>
  <si>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</si>
  <si>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</si>
  <si>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</si>
  <si>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</si>
  <si>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</si>
  <si>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</si>
  <si>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</si>
  <si>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</si>
  <si>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</si>
  <si>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</si>
  <si>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</si>
  <si>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</si>
  <si>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</si>
  <si>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</si>
  <si>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</si>
  <si>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</si>
  <si>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</si>
  <si>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</si>
  <si>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</si>
  <si>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</si>
  <si>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</si>
  <si>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</si>
  <si>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</si>
  <si>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</si>
  <si>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</si>
  <si>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</si>
  <si>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</si>
  <si>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</si>
  <si>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</si>
  <si>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</si>
  <si>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</si>
  <si>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</si>
  <si>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</si>
  <si>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</si>
  <si>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</si>
  <si>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</si>
  <si>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</si>
  <si>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</si>
  <si>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</si>
  <si>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</si>
  <si>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</si>
  <si>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</si>
  <si>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</si>
  <si>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</si>
  <si>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</si>
  <si>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</si>
  <si>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</si>
  <si>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</si>
  <si>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</si>
  <si>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</si>
  <si>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</si>
  <si>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</si>
  <si>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</si>
  <si>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</si>
  <si>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</si>
  <si>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</si>
  <si>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</si>
  <si>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</si>
  <si>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</si>
  <si>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</si>
  <si>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</si>
  <si>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</si>
  <si>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</si>
  <si>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</si>
  <si>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</si>
  <si>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</si>
  <si>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</si>
  <si>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</si>
  <si>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</si>
  <si>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</si>
  <si>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</si>
  <si>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</si>
  <si>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</si>
  <si>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</si>
  <si>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</si>
  <si>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</si>
  <si>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</si>
  <si>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</si>
  <si>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</si>
  <si>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</si>
  <si>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</si>
  <si>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</si>
  <si>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</si>
  <si>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</si>
  <si>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</si>
  <si>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</si>
  <si>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</si>
  <si>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</si>
  <si>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</si>
  <si>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</si>
  <si>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</si>
  <si>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</si>
  <si>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</si>
  <si>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</si>
  <si>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</si>
  <si>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</si>
  <si>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</si>
  <si>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</si>
  <si>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</si>
  <si>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</si>
  <si>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</si>
  <si>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</si>
  <si>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</si>
  <si>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</si>
  <si>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</si>
  <si>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</si>
  <si>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</si>
  <si>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</si>
  <si>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</si>
  <si>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</si>
  <si>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</si>
  <si>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</si>
  <si>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</si>
  <si>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</si>
  <si>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</si>
  <si>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</si>
  <si>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</si>
  <si>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</si>
  <si>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</si>
  <si>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</si>
  <si>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</si>
  <si>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</si>
  <si>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</si>
  <si>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</si>
  <si>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</si>
  <si>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</si>
  <si>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</si>
  <si>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</si>
  <si>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</si>
  <si>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</si>
  <si>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</si>
  <si>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</si>
  <si>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</si>
  <si>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</si>
  <si>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</si>
  <si>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</si>
  <si>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</si>
  <si>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</si>
  <si>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</si>
  <si>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</si>
  <si>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</si>
  <si>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</si>
  <si>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</si>
  <si>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</si>
  <si>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</si>
  <si>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</si>
  <si>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</si>
  <si>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</si>
  <si>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</si>
  <si>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</si>
  <si>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</si>
  <si>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</si>
  <si>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</si>
  <si>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</si>
  <si>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</si>
  <si>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</si>
  <si>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</si>
  <si>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</si>
  <si>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</si>
  <si>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</si>
  <si>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</si>
  <si>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</si>
  <si>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</si>
  <si>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</si>
  <si>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</si>
  <si>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</si>
  <si>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</si>
  <si>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</si>
  <si>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</si>
  <si>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</si>
  <si>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</si>
  <si>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</si>
  <si>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</si>
  <si>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</si>
  <si>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</si>
  <si>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</si>
  <si>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</si>
  <si>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</si>
  <si>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</si>
  <si>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</si>
  <si>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</si>
  <si>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</si>
  <si>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</si>
  <si>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</si>
  <si>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</si>
  <si>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</si>
  <si>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</si>
  <si>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</si>
  <si>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</si>
  <si>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</si>
  <si>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</si>
  <si>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</si>
  <si>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</si>
  <si>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</si>
  <si>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</si>
  <si>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</si>
  <si>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</si>
  <si>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</si>
  <si>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</si>
  <si>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</si>
  <si>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</si>
  <si>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</si>
  <si>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</si>
  <si>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</si>
  <si>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</si>
  <si>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</si>
  <si>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</si>
  <si>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</si>
  <si>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</si>
  <si>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</si>
  <si>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</si>
  <si>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</si>
  <si>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</si>
  <si>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</si>
  <si>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</si>
  <si>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</si>
  <si>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</si>
  <si>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</si>
  <si>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</si>
  <si>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</si>
  <si>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</si>
  <si>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</si>
  <si>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</si>
  <si>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</si>
  <si>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</si>
  <si>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</si>
  <si>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</si>
  <si>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</si>
  <si>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</si>
  <si>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</si>
  <si>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</si>
  <si>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</si>
  <si>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</si>
  <si>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</si>
  <si>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</si>
  <si>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</si>
  <si>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</si>
  <si>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</si>
  <si>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</si>
  <si>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</si>
  <si>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</si>
  <si>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</si>
  <si>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</si>
  <si>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</si>
  <si>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</si>
  <si>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</si>
  <si>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</si>
  <si>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</si>
  <si>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</si>
  <si>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</si>
  <si>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</si>
  <si>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</si>
  <si>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</si>
  <si>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</si>
  <si>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</si>
  <si>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</si>
  <si>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</si>
  <si>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</si>
  <si>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</si>
  <si>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</si>
  <si>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</si>
  <si>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</si>
  <si>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</si>
  <si>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</si>
  <si>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</si>
  <si>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</si>
  <si>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</si>
  <si>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</si>
  <si>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</si>
  <si>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</si>
  <si>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</si>
  <si>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</si>
  <si>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</si>
  <si>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</si>
  <si>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</si>
  <si>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</si>
  <si>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</si>
  <si>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</si>
  <si>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</si>
  <si>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</si>
  <si>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</si>
  <si>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</si>
  <si>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</si>
  <si>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</si>
  <si>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</si>
  <si>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</si>
  <si>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</si>
  <si>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</si>
  <si>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</si>
  <si>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</si>
  <si>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</si>
  <si>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</si>
  <si>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</si>
  <si>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</si>
  <si>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</si>
  <si>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</si>
  <si>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</si>
  <si>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</si>
  <si>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</si>
  <si>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</si>
  <si>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</si>
  <si>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</si>
  <si>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</si>
  <si>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</si>
  <si>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</si>
  <si>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</si>
  <si>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</si>
  <si>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</si>
  <si>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</si>
  <si>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</si>
  <si>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</si>
  <si>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</si>
  <si>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</si>
  <si>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</si>
  <si>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</si>
  <si>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</si>
  <si>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</si>
  <si>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</si>
  <si>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</si>
  <si>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</si>
  <si>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</si>
  <si>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</si>
  <si>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</si>
  <si>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</si>
  <si>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</si>
  <si>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</si>
  <si>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</si>
  <si>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</si>
  <si>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</si>
  <si>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</si>
  <si>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</si>
  <si>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</si>
  <si>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</si>
  <si>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</si>
  <si>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</si>
  <si>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</si>
  <si>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</si>
  <si>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</si>
  <si>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</si>
  <si>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</si>
  <si>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</si>
  <si>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</si>
  <si>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</si>
  <si>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</si>
  <si>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</si>
  <si>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</si>
  <si>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</si>
  <si>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</si>
  <si>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</si>
  <si>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</si>
  <si>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</si>
  <si>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</si>
  <si>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</si>
  <si>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</si>
  <si>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</si>
  <si>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</si>
  <si>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</si>
  <si>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</si>
  <si>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</si>
  <si>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</si>
  <si>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</si>
  <si>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</si>
  <si>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</si>
  <si>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</si>
  <si>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</si>
  <si>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</si>
  <si>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</si>
  <si>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</si>
  <si>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</si>
  <si>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</si>
  <si>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</si>
  <si>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</si>
  <si>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</si>
  <si>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</si>
  <si>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</si>
  <si>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</si>
  <si>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</si>
  <si>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</si>
  <si>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</si>
  <si>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</si>
  <si>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</si>
  <si>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</si>
  <si>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</si>
  <si>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</si>
  <si>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</si>
  <si>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</si>
  <si>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</si>
  <si>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</si>
  <si>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</si>
  <si>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</si>
  <si>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</si>
  <si>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</si>
  <si>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</si>
  <si>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</si>
  <si>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</si>
  <si>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</si>
  <si>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</si>
  <si>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</si>
  <si>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</si>
  <si>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</si>
  <si>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</si>
  <si>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</si>
  <si>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</si>
  <si>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</si>
  <si>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</si>
  <si>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</si>
  <si>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</si>
  <si>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</si>
  <si>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</si>
  <si>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</si>
  <si>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</si>
  <si>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</si>
  <si>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</si>
  <si>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</si>
  <si>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</si>
  <si>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</si>
  <si>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</si>
  <si>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</si>
  <si>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</si>
  <si>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</si>
  <si>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</si>
  <si>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</si>
  <si>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</si>
  <si>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</si>
  <si>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</si>
  <si>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</si>
  <si>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</si>
  <si>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</si>
  <si>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</si>
  <si>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</si>
  <si>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</si>
  <si>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</si>
  <si>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</si>
  <si>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</si>
  <si>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</si>
  <si>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</si>
  <si>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</si>
  <si>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</si>
  <si>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</si>
  <si>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</si>
  <si>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</si>
  <si>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</si>
  <si>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</si>
  <si>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</si>
  <si>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</si>
  <si>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</si>
  <si>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</si>
  <si>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</si>
  <si>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</si>
  <si>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</si>
  <si>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</si>
  <si>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</si>
  <si>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</si>
  <si>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</si>
  <si>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</si>
  <si>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</si>
  <si>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</si>
  <si>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</si>
  <si>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</si>
  <si>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</si>
  <si>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</si>
  <si>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</si>
  <si>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</si>
  <si>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</si>
  <si>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</si>
  <si>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</si>
  <si>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</si>
  <si>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</si>
  <si>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</si>
  <si>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</si>
  <si>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</si>
  <si>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</si>
  <si>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</si>
  <si>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</si>
  <si>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</si>
  <si>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</si>
  <si>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</si>
  <si>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</si>
  <si>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</si>
  <si>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</si>
  <si>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</si>
  <si>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</si>
  <si>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</si>
  <si>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</si>
  <si>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</si>
  <si>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</si>
  <si>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</si>
  <si>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</si>
  <si>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</si>
  <si>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</si>
  <si>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</si>
  <si>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</si>
  <si>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</si>
  <si>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</si>
  <si>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</si>
  <si>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</si>
  <si>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</si>
  <si>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</si>
  <si>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</si>
  <si>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</si>
  <si>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</si>
  <si>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</si>
  <si>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</si>
  <si>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</si>
  <si>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</si>
  <si>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</si>
  <si>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</si>
  <si>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</si>
  <si>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</si>
  <si>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</si>
  <si>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</si>
  <si>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</si>
  <si>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</si>
  <si>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</si>
  <si>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</si>
  <si>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</si>
  <si>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</si>
  <si>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</si>
  <si>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</si>
  <si>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</si>
  <si>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</si>
  <si>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</si>
  <si>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</si>
  <si>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</si>
  <si>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</si>
  <si>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</si>
  <si>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</si>
  <si>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</si>
  <si>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</si>
  <si>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</si>
  <si>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</si>
  <si>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</si>
  <si>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</si>
  <si>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</si>
  <si>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</si>
  <si>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</si>
  <si>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</si>
  <si>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</si>
  <si>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</si>
  <si>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</si>
  <si>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</si>
  <si>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</si>
  <si>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</si>
  <si>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</si>
  <si>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</si>
  <si>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</si>
  <si>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</si>
  <si>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</si>
  <si>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</si>
  <si>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</si>
  <si>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</si>
  <si>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</si>
  <si>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</si>
  <si>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</si>
  <si>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</si>
  <si>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</si>
  <si>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</si>
  <si>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</si>
  <si>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</si>
  <si>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</si>
  <si>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</si>
  <si>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</si>
  <si>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</si>
  <si>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</si>
  <si>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</si>
  <si>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</si>
  <si>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</si>
  <si>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</si>
  <si>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</si>
  <si>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</si>
  <si>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</si>
  <si>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</si>
  <si>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</si>
  <si>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</si>
  <si>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</si>
  <si>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</si>
  <si>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</si>
  <si>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</si>
  <si>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</si>
  <si>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</si>
  <si>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</si>
  <si>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</si>
  <si>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</si>
  <si>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</si>
  <si>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</si>
  <si>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</si>
  <si>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</si>
  <si>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</si>
  <si>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</si>
  <si>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</si>
  <si>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</si>
  <si>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</si>
  <si>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</si>
  <si>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</si>
  <si>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</si>
  <si>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</si>
  <si>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</si>
  <si>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</si>
  <si>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</si>
  <si>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</si>
  <si>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</si>
  <si>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</si>
  <si>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</si>
  <si>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</si>
  <si>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</si>
  <si>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</si>
  <si>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</si>
  <si>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</si>
  <si>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</si>
  <si>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</si>
  <si>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</si>
  <si>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</si>
  <si>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</si>
  <si>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</si>
  <si>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</si>
  <si>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</si>
  <si>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</si>
  <si>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</si>
  <si>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</si>
  <si>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</si>
  <si>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</si>
  <si>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</si>
  <si>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</si>
  <si>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</si>
  <si>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</si>
  <si>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</si>
  <si>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</si>
  <si>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</si>
  <si>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</si>
  <si>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</si>
  <si>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</si>
  <si>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</si>
  <si>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</si>
  <si>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</si>
  <si>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</si>
  <si>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</si>
  <si>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</si>
  <si>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</si>
  <si>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</si>
  <si>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</si>
  <si>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</si>
  <si>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</si>
  <si>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</si>
  <si>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</si>
  <si>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</si>
  <si>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</si>
  <si>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</si>
  <si>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</si>
  <si>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</si>
  <si>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</si>
  <si>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</si>
  <si>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</si>
  <si>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</si>
  <si>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</si>
  <si>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</si>
  <si>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</si>
  <si>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</si>
  <si>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</si>
  <si>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</si>
  <si>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</si>
  <si>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</si>
  <si>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</si>
  <si>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</si>
  <si>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</si>
  <si>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</si>
  <si>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</si>
  <si>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</si>
  <si>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</si>
  <si>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</si>
  <si>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</si>
  <si>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</si>
  <si>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</si>
  <si>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</si>
  <si>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</si>
  <si>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</si>
  <si>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</si>
  <si>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</si>
  <si>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</si>
  <si>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</si>
  <si>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</si>
  <si>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</si>
  <si>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</si>
  <si>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</si>
  <si>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</si>
  <si>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</si>
  <si>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</si>
  <si>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</si>
  <si>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</si>
  <si>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</si>
  <si>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</si>
  <si>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</si>
  <si>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</si>
  <si>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</si>
  <si>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</si>
  <si>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</si>
  <si>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</si>
  <si>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</si>
  <si>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</si>
  <si>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</si>
  <si>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</si>
  <si>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</si>
  <si>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</si>
  <si>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</si>
  <si>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</si>
  <si>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</si>
  <si>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</si>
  <si>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</si>
  <si>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</si>
  <si>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</si>
  <si>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</si>
  <si>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</si>
  <si>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</si>
  <si>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</si>
  <si>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</si>
  <si>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</si>
  <si>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</si>
  <si>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</si>
  <si>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</si>
  <si>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</si>
  <si>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</si>
  <si>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</si>
  <si>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</si>
  <si>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</si>
  <si>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</si>
  <si>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</si>
  <si>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</si>
  <si>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</si>
  <si>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</si>
  <si>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</si>
  <si>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</si>
  <si>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</si>
  <si>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</si>
  <si>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</si>
  <si>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</si>
  <si>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</si>
  <si>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</si>
  <si>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</si>
  <si>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</si>
  <si>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</si>
  <si>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</si>
  <si>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</si>
  <si>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</si>
  <si>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</si>
  <si>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</si>
  <si>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</si>
  <si>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</si>
  <si>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</si>
  <si>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</si>
  <si>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</si>
  <si>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</si>
  <si>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</si>
  <si>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</si>
  <si>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</si>
  <si>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</si>
  <si>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</si>
  <si>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</si>
  <si>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</si>
  <si>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</si>
  <si>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</si>
  <si>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</si>
  <si>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</si>
  <si>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</si>
  <si>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</si>
  <si>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</si>
  <si>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</si>
  <si>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</si>
  <si>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</si>
  <si>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</si>
  <si>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</si>
  <si>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</si>
  <si>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</si>
  <si>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</si>
  <si>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</si>
  <si>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</si>
  <si>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</si>
  <si>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</si>
  <si>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</si>
  <si>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</si>
  <si>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</si>
  <si>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</si>
  <si>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</si>
  <si>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</si>
  <si>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</si>
  <si>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</si>
  <si>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</si>
  <si>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</si>
  <si>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</si>
  <si>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</si>
  <si>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</si>
  <si>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</si>
  <si>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</si>
  <si>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</si>
  <si>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</si>
  <si>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</si>
  <si>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</si>
  <si>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</si>
  <si>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</si>
  <si>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</si>
  <si>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</si>
  <si>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</si>
  <si>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</si>
  <si>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</si>
  <si>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</si>
  <si>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</si>
  <si>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</si>
  <si>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</si>
  <si>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</si>
  <si>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</si>
  <si>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</si>
  <si>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</si>
  <si>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</si>
  <si>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</si>
  <si>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</si>
  <si>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</si>
  <si>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</si>
  <si>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</si>
  <si>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</si>
  <si>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</si>
  <si>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</si>
  <si>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</si>
  <si>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</si>
  <si>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</si>
  <si>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</si>
  <si>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</si>
  <si>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</si>
  <si>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</si>
  <si>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</si>
  <si>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</si>
  <si>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</si>
  <si>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</si>
  <si>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</si>
  <si>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</si>
  <si>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</si>
  <si>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</si>
  <si>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</si>
  <si>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</si>
  <si>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</si>
  <si>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</si>
  <si>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</si>
  <si>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</si>
  <si>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</si>
  <si>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</si>
  <si>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</si>
  <si>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</si>
  <si>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</si>
  <si>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</si>
  <si>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</si>
  <si>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</si>
  <si>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</si>
  <si>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</si>
  <si>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</si>
  <si>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</si>
  <si>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</si>
  <si>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</si>
  <si>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</si>
  <si>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</si>
  <si>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</si>
  <si>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</si>
  <si>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</si>
  <si>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</si>
  <si>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</si>
  <si>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</si>
  <si>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</si>
  <si>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</si>
  <si>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</si>
  <si>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</si>
  <si>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</si>
  <si>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</si>
  <si>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</si>
  <si>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</si>
  <si>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</si>
  <si>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</si>
  <si>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</si>
  <si>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</si>
  <si>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</si>
  <si>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</si>
  <si>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</si>
  <si>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</si>
  <si>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</si>
  <si>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</si>
  <si>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</si>
  <si>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</si>
  <si>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</si>
  <si>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</si>
  <si>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</si>
  <si>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</si>
  <si>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</si>
  <si>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</si>
  <si>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</si>
  <si>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</si>
  <si>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</si>
  <si>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</si>
  <si>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</si>
  <si>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</si>
  <si>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</si>
  <si>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</si>
  <si>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</si>
  <si>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</si>
  <si>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</si>
  <si>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</si>
  <si>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</si>
  <si>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</si>
  <si>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</si>
  <si>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</si>
  <si>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</si>
  <si>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</si>
  <si>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</si>
  <si>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</si>
  <si>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</si>
  <si>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</si>
  <si>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</si>
  <si>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</si>
  <si>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</si>
  <si>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</si>
  <si>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</si>
  <si>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</si>
  <si>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</si>
  <si>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</si>
  <si>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</si>
  <si>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</si>
  <si>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</si>
  <si>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</si>
  <si>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</si>
  <si>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</si>
  <si>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</si>
  <si>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</si>
  <si>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</si>
  <si>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</si>
  <si>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</si>
  <si>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</si>
  <si>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</si>
  <si>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</si>
  <si>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</si>
  <si>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</si>
  <si>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</si>
  <si>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</si>
  <si>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</si>
  <si>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</si>
  <si>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</si>
  <si>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</si>
  <si>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</si>
  <si>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</si>
  <si>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</si>
  <si>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</si>
  <si>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</si>
  <si>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</si>
  <si>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</si>
  <si>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</si>
  <si>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</si>
  <si>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</si>
  <si>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</si>
  <si>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</si>
  <si>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</si>
  <si>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</si>
  <si>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</si>
  <si>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</si>
  <si>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</si>
  <si>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</si>
  <si>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</si>
  <si>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</si>
  <si>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</si>
  <si>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</si>
  <si>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</si>
  <si>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</si>
  <si>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</si>
  <si>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</si>
  <si>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</si>
  <si>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</si>
  <si>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</si>
  <si>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</si>
  <si>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</si>
  <si>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</si>
  <si>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</si>
  <si>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</si>
  <si>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</si>
  <si>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</si>
  <si>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</si>
  <si>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</si>
  <si>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</si>
  <si>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</si>
  <si>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</si>
  <si>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</si>
  <si>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</si>
  <si>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</si>
  <si>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</si>
  <si>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</si>
  <si>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</si>
  <si>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</si>
  <si>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</si>
  <si>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</si>
  <si>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</si>
  <si>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</si>
  <si>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</si>
  <si>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</si>
  <si>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</si>
  <si>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</si>
  <si>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</si>
  <si>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</si>
  <si>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</si>
  <si>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</si>
  <si>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</si>
  <si>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</si>
  <si>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</si>
  <si>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</si>
  <si>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</si>
  <si>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</si>
  <si>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</si>
  <si>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</si>
  <si>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</si>
  <si>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</si>
  <si>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</si>
  <si>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</si>
  <si>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</si>
  <si>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</si>
  <si>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</si>
  <si>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</si>
  <si>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</si>
  <si>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</si>
  <si>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</si>
  <si>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</si>
  <si>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</si>
  <si>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</si>
  <si>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</si>
  <si>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</si>
  <si>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</si>
  <si>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</si>
  <si>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</si>
  <si>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</si>
  <si>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</si>
  <si>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</si>
  <si>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</si>
  <si>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</si>
  <si>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</si>
  <si>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</si>
  <si>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</si>
  <si>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</si>
  <si>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</si>
  <si>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</si>
  <si>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</si>
  <si>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</si>
  <si>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</si>
  <si>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</si>
  <si>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</si>
  <si>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</si>
  <si>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</si>
  <si>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</si>
  <si>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</si>
  <si>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</si>
  <si>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</si>
  <si>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</si>
  <si>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</si>
  <si>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</si>
  <si>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</si>
  <si>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</si>
  <si>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</si>
  <si>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</si>
  <si>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</si>
  <si>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</si>
  <si>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</si>
  <si>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</si>
  <si>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</si>
  <si>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</si>
  <si>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</si>
  <si>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</si>
  <si>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</si>
  <si>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</si>
  <si>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</si>
  <si>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</si>
  <si>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</si>
  <si>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</si>
  <si>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</si>
  <si>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</si>
  <si>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</si>
  <si>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</si>
  <si>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</si>
  <si>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</si>
  <si>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</si>
  <si>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</si>
  <si>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</si>
  <si>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</si>
  <si>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</si>
  <si>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</si>
  <si>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</si>
  <si>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</si>
  <si>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</si>
  <si>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</si>
  <si>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</si>
  <si>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</si>
  <si>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</si>
  <si>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</si>
  <si>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</si>
  <si>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</si>
  <si>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</si>
  <si>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</si>
  <si>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</si>
  <si>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</si>
  <si>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</si>
  <si>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</si>
  <si>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</si>
  <si>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</si>
  <si>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</si>
  <si>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</si>
  <si>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</si>
  <si>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</si>
  <si>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</si>
  <si>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</si>
  <si>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</si>
  <si>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</si>
  <si>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</si>
  <si>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</si>
  <si>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</si>
  <si>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</si>
  <si>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</si>
  <si>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</si>
  <si>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</si>
  <si>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</si>
  <si>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</si>
  <si>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</si>
  <si>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</si>
  <si>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</si>
  <si>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</si>
  <si>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</si>
  <si>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</si>
  <si>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</si>
  <si>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</si>
  <si>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</si>
  <si>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</si>
  <si>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</si>
  <si>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</si>
  <si>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</si>
  <si>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</si>
  <si>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</si>
  <si>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</si>
  <si>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</si>
  <si>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</si>
  <si>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</si>
  <si>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</si>
  <si>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</si>
  <si>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</si>
  <si>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</si>
  <si>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</si>
  <si>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</si>
  <si>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</si>
  <si>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</si>
  <si>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</si>
  <si>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</si>
  <si>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</si>
  <si>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</si>
  <si>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</si>
  <si>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</si>
  <si>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</si>
  <si>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</si>
  <si>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</si>
  <si>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</si>
  <si>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</si>
  <si>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</si>
  <si>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</si>
  <si>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</si>
  <si>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</si>
  <si>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</si>
  <si>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</si>
  <si>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</si>
  <si>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</si>
  <si>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</si>
  <si>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</si>
  <si>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</si>
  <si>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</si>
  <si>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</si>
  <si>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</si>
  <si>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</si>
  <si>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</si>
  <si>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</si>
  <si>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</si>
  <si>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</si>
  <si>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</si>
  <si>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</si>
  <si>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</si>
  <si>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</si>
  <si>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</si>
  <si>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</si>
  <si>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</si>
  <si>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</si>
  <si>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</si>
  <si>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</si>
  <si>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</si>
  <si>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</si>
  <si>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</si>
  <si>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</si>
  <si>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</si>
  <si>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</si>
  <si>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</si>
  <si>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</si>
  <si>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</si>
  <si>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</si>
  <si>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</si>
  <si>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</si>
  <si>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</si>
  <si>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</si>
  <si>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</si>
  <si>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</si>
  <si>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</si>
  <si>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</si>
  <si>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</si>
  <si>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</si>
  <si>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</si>
  <si>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</si>
  <si>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</si>
  <si>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</si>
  <si>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</si>
  <si>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</si>
  <si>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</si>
  <si>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</si>
  <si>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</si>
  <si>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</si>
  <si>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</si>
  <si>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</si>
  <si>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</si>
  <si>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</si>
  <si>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</si>
  <si>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</si>
  <si>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</si>
  <si>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</si>
  <si>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</si>
  <si>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</si>
  <si>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</si>
  <si>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</si>
  <si>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</si>
  <si>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</si>
  <si>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</si>
  <si>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</si>
  <si>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</si>
  <si>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</si>
  <si>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</si>
  <si>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</si>
  <si>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</si>
  <si>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</si>
  <si>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</si>
  <si>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</si>
  <si>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</si>
  <si>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</si>
  <si>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</si>
  <si>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</si>
  <si>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</si>
  <si>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</si>
  <si>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</si>
  <si>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</si>
  <si>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</si>
  <si>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</si>
  <si>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</si>
  <si>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</si>
  <si>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</si>
  <si>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</si>
  <si>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</si>
  <si>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</si>
  <si>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</si>
  <si>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</si>
  <si>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</si>
  <si>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</si>
  <si>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</si>
  <si>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</si>
  <si>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</si>
  <si>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</si>
  <si>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</si>
  <si>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</si>
  <si>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</si>
  <si>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</si>
  <si>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</si>
  <si>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</si>
  <si>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</si>
  <si>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</si>
  <si>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</si>
  <si>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</si>
  <si>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</si>
  <si>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</si>
  <si>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</si>
  <si>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</si>
  <si>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</si>
  <si>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</si>
  <si>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</si>
  <si>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</si>
  <si>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</si>
  <si>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</si>
  <si>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</si>
  <si>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</si>
  <si>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</si>
  <si>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</si>
  <si>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</si>
  <si>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</si>
  <si>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</si>
  <si>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</si>
  <si>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</si>
  <si>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</si>
  <si>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</si>
  <si>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</si>
  <si>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</si>
  <si>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</si>
  <si>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</si>
  <si>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</si>
  <si>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</si>
  <si>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</si>
  <si>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</si>
  <si>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</si>
  <si>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</si>
  <si>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</si>
  <si>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</si>
  <si>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</si>
  <si>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</si>
  <si>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</si>
  <si>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</si>
  <si>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</si>
  <si>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</si>
  <si>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</si>
  <si>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</si>
  <si>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</si>
  <si>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</si>
  <si>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</si>
  <si>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</si>
  <si>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</si>
  <si>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</si>
  <si>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</si>
  <si>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</si>
  <si>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</si>
  <si>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</si>
  <si>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</si>
  <si>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</si>
  <si>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</si>
  <si>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</si>
  <si>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</si>
  <si>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</si>
  <si>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</si>
  <si>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</si>
  <si>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</si>
  <si>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</si>
  <si>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</si>
  <si>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</si>
  <si>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</si>
  <si>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</si>
  <si>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</si>
  <si>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</si>
  <si>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</si>
  <si>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</si>
  <si>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</si>
  <si>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</si>
  <si>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</si>
  <si>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</si>
  <si>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</si>
  <si>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</si>
  <si>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</si>
  <si>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</si>
  <si>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</si>
  <si>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</si>
  <si>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</si>
  <si>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</si>
  <si>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</si>
  <si>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</si>
  <si>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</si>
  <si>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</si>
  <si>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</si>
  <si>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</si>
  <si>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</si>
  <si>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</si>
  <si>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</si>
  <si>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</si>
  <si>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</si>
  <si>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</si>
  <si>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</si>
  <si>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</si>
  <si>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</si>
  <si>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</si>
  <si>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</si>
  <si>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</si>
  <si>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</si>
  <si>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</si>
  <si>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</si>
  <si>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</si>
  <si>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</si>
  <si>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</si>
  <si>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</si>
  <si>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</si>
  <si>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</si>
  <si>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</si>
  <si>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</si>
  <si>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</si>
  <si>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</si>
  <si>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</si>
  <si>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</si>
  <si>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</si>
  <si>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</si>
  <si>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</si>
  <si>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</si>
  <si>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</si>
  <si>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</si>
  <si>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</si>
  <si>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</si>
  <si>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</si>
  <si>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</si>
  <si>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</si>
  <si>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</si>
  <si>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</si>
  <si>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</si>
  <si>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</si>
  <si>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</si>
  <si>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</si>
  <si>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</si>
  <si>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</si>
  <si>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</si>
  <si>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</si>
  <si>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</si>
  <si>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</si>
  <si>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</si>
  <si>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</si>
  <si>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</si>
  <si>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</si>
  <si>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</si>
  <si>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</si>
  <si>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</si>
  <si>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</si>
  <si>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</si>
  <si>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</si>
  <si>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</si>
  <si>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</si>
  <si>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</si>
  <si>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</si>
  <si>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</si>
  <si>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</si>
  <si>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</si>
  <si>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</si>
  <si>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</si>
  <si>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</si>
  <si>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</si>
  <si>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</si>
  <si>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</si>
  <si>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</si>
  <si>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</si>
  <si>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</si>
  <si>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</si>
  <si>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</si>
  <si>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</si>
  <si>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</si>
  <si>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</si>
  <si>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</si>
  <si>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</si>
  <si>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</si>
  <si>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</si>
  <si>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</si>
  <si>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</si>
  <si>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</si>
  <si>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</si>
  <si>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</si>
  <si>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</si>
  <si>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</si>
  <si>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</si>
  <si>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</si>
  <si>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</si>
  <si>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</si>
  <si>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</si>
  <si>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</si>
  <si>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</si>
  <si>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</si>
  <si>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</si>
  <si>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</si>
  <si>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</si>
  <si>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</si>
  <si>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</si>
  <si>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</si>
  <si>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</si>
  <si>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</si>
  <si>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</si>
  <si>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</si>
  <si>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</si>
  <si>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</si>
  <si>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</si>
  <si>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</si>
  <si>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</si>
  <si>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</si>
  <si>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</si>
  <si>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</si>
  <si>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</si>
  <si>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</si>
  <si>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</si>
  <si>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</si>
  <si>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</si>
  <si>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</si>
  <si>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</si>
  <si>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</si>
  <si>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</si>
  <si>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</si>
  <si>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</si>
  <si>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</si>
  <si>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</si>
  <si>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</si>
  <si>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</si>
  <si>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</si>
  <si>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</si>
  <si>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</si>
  <si>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</si>
  <si>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</si>
  <si>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</si>
  <si>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</si>
  <si>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</si>
  <si>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</si>
  <si>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</si>
  <si>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</si>
  <si>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</si>
  <si>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</si>
  <si>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</si>
  <si>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</si>
  <si>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</si>
  <si>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</si>
  <si>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</si>
  <si>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</si>
  <si>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</si>
  <si>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</si>
  <si>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</si>
  <si>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</si>
  <si>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</si>
  <si>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</si>
  <si>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</si>
  <si>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</si>
  <si>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</si>
  <si>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</si>
  <si>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</si>
  <si>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</si>
  <si>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</si>
  <si>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</si>
  <si>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</si>
  <si>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</si>
  <si>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</si>
  <si>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</si>
  <si>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</si>
  <si>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</si>
  <si>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</si>
  <si>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</si>
  <si>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</si>
  <si>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</si>
  <si>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</si>
  <si>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</si>
  <si>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</si>
  <si>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</si>
  <si>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</si>
  <si>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</si>
  <si>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</si>
  <si>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</si>
  <si>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</si>
  <si>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</si>
  <si>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</si>
  <si>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</si>
  <si>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</si>
  <si>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</si>
  <si>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</si>
  <si>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</si>
  <si>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</si>
  <si>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</si>
  <si>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</si>
  <si>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</si>
  <si>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</si>
  <si>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</si>
  <si>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</si>
  <si>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</si>
  <si>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</si>
  <si>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</si>
  <si>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</si>
  <si>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</si>
  <si>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</si>
  <si>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</si>
  <si>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</si>
  <si>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</si>
  <si>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</si>
  <si>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</si>
  <si>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</si>
  <si>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</si>
  <si>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</si>
  <si>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</si>
  <si>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</si>
  <si>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</si>
  <si>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</si>
  <si>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</si>
  <si>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</si>
  <si>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</si>
  <si>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</si>
  <si>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</si>
  <si>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</si>
  <si>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</si>
  <si>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</si>
  <si>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</si>
  <si>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</si>
  <si>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</si>
  <si>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</si>
  <si>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</si>
  <si>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</si>
  <si>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</si>
  <si>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</si>
  <si>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</si>
  <si>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</si>
  <si>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</si>
  <si>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</si>
  <si>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</si>
  <si>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</si>
  <si>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</si>
  <si>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</si>
  <si>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</si>
  <si>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</si>
  <si>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</si>
  <si>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</si>
  <si>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</si>
  <si>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</si>
  <si>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</si>
  <si>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</si>
  <si>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</si>
  <si>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</si>
  <si>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</si>
  <si>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</si>
  <si>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</si>
  <si>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</si>
  <si>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</si>
  <si>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</si>
  <si>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</si>
  <si>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</si>
  <si>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</si>
  <si>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</si>
  <si>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</si>
  <si>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</si>
  <si>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</si>
  <si>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</si>
  <si>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</si>
  <si>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</si>
  <si>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</si>
  <si>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</si>
  <si>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</si>
  <si>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</si>
  <si>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</si>
  <si>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</si>
  <si>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</si>
  <si>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</si>
  <si>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</si>
  <si>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</si>
  <si>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</si>
  <si>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</si>
  <si>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</si>
  <si>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</si>
  <si>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</si>
  <si>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</si>
  <si>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</si>
  <si>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</si>
  <si>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</si>
  <si>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</si>
  <si>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</si>
  <si>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</si>
  <si>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</si>
  <si>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</si>
  <si>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</si>
  <si>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</si>
  <si>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</si>
  <si>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</si>
  <si>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</si>
  <si>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</si>
  <si>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</si>
  <si>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</si>
  <si>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</si>
  <si>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</si>
  <si>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</si>
  <si>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</si>
  <si>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</si>
  <si>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</si>
  <si>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</si>
  <si>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</si>
  <si>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</si>
  <si>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</si>
  <si>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</si>
  <si>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</si>
  <si>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</si>
  <si>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</si>
  <si>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</si>
  <si>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</si>
  <si>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</si>
  <si>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</si>
  <si>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</si>
  <si>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</si>
  <si>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</si>
  <si>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</si>
  <si>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</si>
  <si>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</si>
  <si>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</si>
  <si>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</si>
  <si>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</si>
  <si>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</si>
  <si>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</si>
  <si>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</si>
  <si>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</si>
  <si>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</si>
  <si>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</si>
  <si>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</si>
  <si>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</si>
  <si>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</si>
  <si>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</si>
  <si>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</si>
  <si>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</si>
  <si>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</si>
  <si>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</si>
  <si>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</si>
  <si>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</si>
  <si>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</si>
  <si>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</si>
  <si>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</si>
  <si>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</si>
  <si>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</si>
  <si>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</si>
  <si>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</si>
  <si>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</si>
  <si>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</si>
  <si>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</si>
  <si>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</si>
  <si>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</si>
  <si>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</si>
  <si>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</si>
  <si>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</si>
  <si>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</si>
  <si>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</si>
  <si>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</si>
  <si>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</si>
  <si>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</si>
  <si>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</si>
  <si>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</si>
  <si>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</si>
  <si>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</si>
  <si>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</si>
  <si>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</si>
  <si>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</si>
  <si>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</si>
  <si>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</si>
  <si>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</si>
  <si>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</si>
  <si>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</si>
  <si>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</si>
  <si>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</si>
  <si>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</si>
  <si>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</si>
  <si>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</si>
  <si>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</si>
  <si>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</si>
  <si>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</si>
  <si>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</si>
  <si>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</si>
  <si>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</si>
  <si>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</si>
  <si>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</si>
  <si>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</si>
  <si>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</si>
  <si>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</si>
  <si>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</si>
  <si>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</si>
  <si>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</si>
  <si>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</si>
  <si>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</si>
  <si>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</si>
  <si>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</si>
  <si>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</si>
  <si>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</si>
  <si>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</si>
  <si>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</si>
  <si>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</si>
  <si>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</si>
  <si>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</si>
  <si>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</si>
  <si>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</si>
  <si>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</si>
  <si>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</si>
  <si>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</si>
  <si>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</si>
  <si>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</si>
  <si>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</si>
  <si>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</si>
  <si>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</si>
  <si>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</si>
  <si>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</si>
  <si>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</si>
  <si>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</si>
  <si>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</si>
  <si>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</si>
  <si>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</si>
  <si>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</si>
  <si>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</si>
  <si>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</si>
  <si>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</si>
  <si>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</si>
  <si>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</si>
  <si>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</si>
  <si>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</si>
  <si>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</si>
  <si>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</si>
  <si>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</si>
  <si>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</si>
  <si>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</si>
  <si>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</si>
  <si>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</si>
  <si>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</si>
  <si>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</si>
  <si>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</si>
  <si>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</si>
  <si>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</si>
  <si>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</si>
  <si>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</si>
  <si>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</si>
  <si>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</si>
  <si>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</si>
  <si>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</si>
  <si>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</si>
  <si>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</si>
  <si>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</si>
  <si>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</si>
  <si>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</si>
  <si>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</si>
  <si>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</si>
  <si>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</si>
  <si>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</si>
  <si>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</si>
  <si>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</si>
  <si>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</si>
  <si>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</si>
  <si>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</si>
  <si>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</si>
  <si>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</si>
  <si>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</si>
  <si>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</si>
  <si>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</si>
  <si>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</si>
  <si>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</si>
  <si>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</si>
  <si>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</si>
  <si>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</si>
  <si>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</si>
  <si>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</si>
  <si>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</si>
  <si>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</si>
  <si>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</si>
  <si>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</si>
  <si>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</si>
  <si>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</si>
  <si>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</si>
  <si>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</si>
  <si>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</si>
  <si>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</si>
  <si>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</si>
  <si>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</si>
  <si>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</si>
  <si>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</si>
  <si>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</si>
  <si>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</si>
  <si>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</si>
  <si>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</si>
  <si>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</si>
  <si>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</si>
  <si>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</si>
  <si>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</si>
  <si>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</si>
  <si>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</si>
  <si>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</si>
  <si>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</si>
  <si>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</si>
  <si>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</si>
  <si>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</si>
  <si>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</si>
  <si>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</si>
  <si>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</si>
  <si>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</si>
  <si>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</si>
  <si>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</si>
  <si>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</si>
  <si>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</si>
  <si>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</si>
  <si>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</si>
  <si>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</si>
  <si>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</si>
  <si>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</si>
  <si>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</si>
  <si>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</si>
  <si>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</si>
  <si>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</si>
  <si>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</si>
  <si>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</si>
  <si>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</si>
  <si>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</si>
  <si>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</si>
  <si>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</si>
  <si>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</si>
  <si>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</si>
  <si>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</si>
  <si>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</si>
  <si>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</si>
  <si>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</si>
  <si>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</si>
  <si>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</si>
  <si>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</si>
  <si>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</si>
  <si>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</si>
  <si>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</si>
  <si>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</si>
  <si>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</si>
  <si>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</si>
  <si>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</si>
  <si>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</si>
  <si>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</si>
  <si>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</si>
  <si>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</si>
  <si>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</si>
  <si>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</si>
  <si>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</si>
  <si>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</si>
  <si>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</si>
  <si>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</si>
  <si>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</si>
  <si>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</si>
  <si>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</si>
  <si>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</si>
  <si>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</si>
  <si>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</si>
  <si>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</si>
  <si>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</si>
  <si>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</si>
  <si>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</si>
  <si>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</si>
  <si>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</si>
  <si>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</si>
  <si>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</si>
  <si>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</si>
  <si>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</si>
  <si>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</si>
  <si>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</si>
  <si>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</si>
  <si>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</si>
  <si>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</si>
  <si>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</si>
  <si>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</si>
  <si>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</si>
  <si>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</si>
  <si>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</si>
  <si>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</si>
  <si>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</si>
  <si>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</si>
  <si>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</si>
  <si>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</si>
  <si>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</si>
  <si>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</si>
  <si>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</si>
  <si>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</si>
  <si>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</si>
  <si>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</si>
  <si>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</si>
  <si>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</si>
  <si>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</si>
  <si>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</si>
  <si>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</si>
  <si>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</si>
  <si>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</si>
  <si>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</si>
  <si>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</si>
  <si>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</si>
  <si>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</si>
  <si>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</si>
  <si>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</si>
  <si>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</si>
  <si>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</si>
  <si>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</si>
  <si>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</si>
  <si>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</si>
  <si>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</si>
  <si>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</si>
  <si>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</si>
  <si>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</si>
  <si>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</si>
  <si>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</si>
  <si>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</si>
  <si>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</si>
  <si>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</si>
  <si>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</si>
  <si>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</si>
  <si>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</si>
  <si>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</si>
  <si>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</si>
  <si>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</si>
  <si>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</si>
  <si>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</si>
  <si>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</si>
  <si>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</si>
  <si>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</si>
  <si>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</si>
  <si>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</si>
  <si>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</si>
  <si>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</si>
  <si>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</si>
  <si>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</si>
  <si>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</si>
  <si>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</si>
  <si>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</si>
  <si>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</si>
  <si>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</si>
  <si>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</si>
  <si>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</si>
  <si>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</si>
  <si>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</si>
  <si>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</si>
  <si>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</si>
  <si>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</si>
  <si>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</si>
  <si>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</si>
  <si>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</si>
  <si>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</si>
  <si>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</si>
  <si>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</si>
  <si>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</si>
  <si>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</si>
  <si>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</si>
  <si>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</si>
  <si>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</si>
  <si>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</si>
  <si>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</si>
  <si>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</si>
  <si>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</si>
  <si>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</si>
  <si>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</si>
  <si>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</si>
  <si>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</si>
  <si>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</si>
  <si>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</si>
  <si>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</si>
  <si>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</si>
  <si>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</si>
  <si>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</si>
  <si>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</si>
  <si>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</si>
  <si>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</si>
  <si>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</si>
  <si>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</si>
  <si>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</si>
  <si>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</si>
  <si>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</si>
  <si>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</si>
  <si>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</si>
  <si>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</si>
  <si>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</si>
  <si>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</si>
  <si>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</si>
  <si>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</si>
  <si>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</si>
  <si>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</si>
  <si>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</si>
  <si>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</si>
  <si>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</si>
  <si>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</si>
  <si>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</si>
  <si>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</si>
  <si>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</si>
  <si>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</si>
  <si>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</si>
  <si>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</si>
  <si>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</si>
  <si>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</si>
  <si>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</si>
  <si>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</si>
  <si>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</si>
  <si>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</si>
  <si>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</si>
  <si>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</si>
  <si>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</si>
  <si>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</si>
  <si>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</si>
  <si>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</si>
  <si>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</si>
  <si>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</si>
  <si>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</si>
  <si>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</si>
  <si>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</si>
  <si>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</si>
  <si>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</si>
  <si>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</si>
  <si>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</si>
  <si>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</si>
  <si>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</si>
  <si>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</si>
  <si>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</si>
  <si>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</si>
  <si>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</si>
  <si>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</si>
  <si>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</si>
  <si>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</si>
  <si>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</si>
  <si>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</si>
  <si>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</si>
  <si>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</si>
  <si>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</si>
  <si>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</si>
  <si>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</si>
  <si>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</si>
  <si>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</si>
  <si>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</si>
  <si>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</si>
  <si>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</si>
  <si>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</si>
  <si>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</si>
  <si>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</si>
  <si>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</si>
  <si>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</si>
  <si>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</si>
  <si>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</si>
  <si>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</si>
  <si>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</si>
  <si>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</si>
  <si>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</si>
  <si>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</si>
  <si>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</si>
  <si>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</si>
  <si>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</si>
  <si>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</si>
  <si>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</si>
  <si>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</si>
  <si>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</si>
  <si>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</si>
  <si>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</si>
  <si>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</si>
  <si>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</si>
  <si>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</si>
  <si>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</si>
  <si>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</si>
  <si>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</si>
  <si>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</si>
  <si>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</si>
  <si>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</si>
  <si>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</si>
  <si>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</si>
  <si>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</si>
  <si>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</si>
  <si>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</si>
  <si>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</si>
  <si>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</si>
  <si>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</si>
  <si>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</si>
  <si>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</si>
  <si>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</si>
  <si>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</si>
  <si>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</si>
  <si>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</si>
  <si>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</si>
  <si>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</si>
  <si>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</si>
  <si>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</si>
  <si>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</si>
  <si>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</si>
  <si>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</si>
  <si>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</si>
  <si>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</si>
  <si>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</si>
  <si>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</si>
  <si>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</si>
  <si>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</si>
  <si>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</si>
  <si>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</si>
  <si>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</si>
  <si>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</si>
  <si>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</si>
  <si>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</si>
  <si>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</si>
  <si>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</si>
  <si>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</si>
  <si>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</si>
  <si>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</si>
  <si>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</si>
  <si>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</si>
  <si>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</si>
  <si>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</si>
  <si>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</si>
  <si>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</si>
  <si>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</si>
  <si>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</si>
  <si>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</si>
  <si>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</si>
  <si>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</si>
  <si>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</si>
  <si>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</si>
  <si>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</si>
  <si>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</si>
  <si>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</si>
  <si>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</si>
  <si>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</si>
  <si>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</si>
  <si>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</si>
  <si>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</si>
  <si>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</si>
  <si>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</si>
  <si>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</si>
  <si>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</si>
  <si>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</si>
  <si>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</si>
  <si>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</si>
  <si>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</si>
  <si>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</si>
  <si>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</si>
  <si>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</si>
  <si>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</si>
  <si>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</si>
  <si>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</si>
  <si>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</si>
  <si>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</si>
  <si>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</si>
  <si>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</si>
  <si>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</si>
  <si>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</si>
  <si>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</si>
  <si>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</si>
  <si>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</si>
  <si>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</si>
  <si>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</si>
  <si>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</si>
  <si>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</si>
  <si>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</si>
  <si>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</si>
  <si>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</si>
  <si>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</si>
  <si>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</si>
  <si>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</si>
  <si>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</si>
  <si>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</si>
  <si>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</si>
  <si>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</si>
  <si>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</si>
  <si>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</si>
  <si>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</si>
  <si>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</si>
  <si>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</si>
  <si>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</si>
  <si>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</si>
  <si>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</si>
  <si>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</si>
  <si>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</si>
  <si>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</si>
  <si>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</si>
  <si>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</si>
  <si>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</si>
  <si>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</si>
  <si>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</si>
  <si>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</si>
  <si>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</si>
  <si>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</si>
  <si>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</si>
  <si>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</si>
  <si>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</si>
  <si>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</si>
  <si>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</si>
  <si>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</si>
  <si>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</si>
  <si>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</si>
  <si>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</si>
  <si>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</si>
  <si>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</si>
  <si>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</si>
  <si>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</si>
  <si>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</si>
  <si>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</si>
  <si>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</si>
  <si>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</si>
  <si>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</si>
  <si>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</si>
  <si>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</si>
  <si>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</si>
  <si>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</si>
  <si>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</si>
  <si>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</si>
  <si>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</si>
  <si>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</si>
  <si>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</si>
  <si>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</si>
  <si>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</si>
  <si>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</si>
  <si>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</si>
  <si>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</si>
  <si>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</si>
  <si>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</si>
  <si>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</si>
  <si>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</si>
  <si>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</si>
  <si>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</si>
  <si>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</si>
  <si>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</si>
  <si>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</si>
  <si>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</si>
  <si>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</si>
  <si>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</si>
  <si>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</si>
  <si>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</si>
  <si>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</si>
  <si>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</si>
  <si>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</si>
  <si>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</si>
  <si>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</si>
  <si>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</si>
  <si>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</si>
  <si>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</si>
  <si>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</si>
  <si>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</si>
  <si>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</si>
  <si>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</si>
  <si>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</si>
  <si>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</si>
  <si>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</si>
  <si>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</si>
  <si>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</si>
  <si>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</si>
  <si>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</si>
  <si>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</si>
  <si>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</si>
  <si>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</si>
  <si>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</si>
  <si>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</si>
  <si>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</si>
  <si>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</si>
  <si>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</si>
  <si>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</si>
  <si>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</si>
  <si>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</si>
  <si>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</si>
  <si>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</si>
  <si>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</si>
  <si>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</si>
  <si>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</si>
  <si>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</si>
  <si>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</si>
  <si>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</si>
  <si>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</si>
  <si>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</si>
  <si>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</si>
  <si>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</si>
  <si>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</si>
  <si>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</si>
  <si>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</si>
  <si>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</si>
  <si>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</si>
  <si>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</si>
  <si>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</si>
  <si>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</si>
  <si>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</si>
  <si>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</si>
  <si>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</si>
  <si>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</si>
  <si>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</si>
  <si>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</si>
  <si>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</si>
  <si>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</si>
  <si>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</si>
  <si>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</si>
  <si>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</si>
  <si>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</si>
  <si>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</si>
  <si>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</si>
  <si>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</si>
  <si>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</si>
  <si>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</si>
  <si>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</si>
  <si>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</si>
  <si>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</si>
  <si>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</si>
  <si>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</si>
  <si>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</si>
  <si>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</si>
  <si>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</si>
  <si>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</si>
  <si>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</si>
  <si>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</si>
  <si>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</si>
  <si>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</si>
  <si>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</si>
  <si>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</si>
  <si>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</si>
  <si>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</si>
  <si>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</si>
  <si>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</si>
  <si>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</si>
  <si>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</si>
  <si>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</si>
  <si>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</si>
  <si>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</si>
  <si>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</si>
  <si>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</si>
  <si>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</si>
  <si>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</si>
  <si>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</si>
  <si>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</si>
  <si>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</si>
  <si>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</si>
  <si>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</si>
  <si>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</si>
  <si>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</si>
  <si>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</si>
  <si>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</si>
  <si>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</si>
  <si>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</si>
  <si>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</si>
  <si>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</si>
  <si>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</si>
  <si>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</si>
  <si>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</si>
  <si>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</si>
  <si>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</si>
  <si>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</si>
  <si>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</si>
  <si>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</si>
  <si>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</si>
  <si>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</si>
  <si>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</si>
  <si>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</si>
  <si>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</si>
  <si>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</si>
  <si>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</si>
  <si>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</si>
  <si>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</si>
  <si>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</si>
  <si>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</si>
  <si>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</si>
  <si>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</si>
  <si>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</si>
  <si>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</si>
  <si>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</si>
  <si>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</si>
  <si>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</si>
  <si>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</si>
  <si>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</si>
  <si>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</si>
  <si>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</si>
  <si>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</si>
  <si>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</si>
  <si>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</si>
  <si>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</si>
  <si>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</si>
  <si>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</si>
  <si>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</si>
  <si>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</si>
  <si>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</si>
  <si>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</si>
  <si>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</si>
  <si>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</si>
  <si>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</si>
  <si>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</si>
  <si>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</si>
  <si>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</si>
  <si>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</si>
  <si>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</si>
  <si>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</si>
  <si>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</si>
  <si>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</si>
  <si>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</si>
  <si>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</si>
  <si>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</si>
  <si>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</si>
  <si>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</si>
  <si>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</si>
  <si>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</si>
  <si>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</si>
  <si>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</si>
  <si>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</si>
  <si>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</si>
  <si>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</si>
  <si>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</si>
  <si>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</si>
  <si>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</si>
  <si>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</si>
  <si>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</si>
  <si>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</si>
  <si>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</si>
  <si>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</si>
  <si>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</si>
  <si>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</si>
  <si>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</si>
  <si>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</si>
  <si>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</si>
  <si>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</si>
  <si>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</si>
  <si>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</si>
  <si>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</si>
  <si>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</si>
  <si>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</si>
  <si>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</si>
  <si>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</si>
  <si>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</si>
  <si>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</si>
  <si>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</si>
  <si>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</si>
  <si>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</si>
  <si>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</si>
  <si>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</si>
  <si>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</si>
  <si>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</si>
  <si>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</si>
  <si>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</si>
  <si>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</si>
  <si>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</si>
  <si>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</si>
  <si>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</si>
  <si>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</si>
  <si>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</si>
  <si>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</si>
  <si>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</si>
  <si>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</si>
  <si>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</si>
  <si>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</si>
  <si>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</si>
  <si>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</si>
  <si>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</si>
  <si>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</si>
  <si>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</si>
  <si>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</si>
  <si>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</si>
  <si>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</si>
  <si>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</si>
  <si>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</si>
  <si>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</si>
  <si>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</si>
  <si>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</si>
  <si>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</si>
  <si>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</si>
  <si>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</si>
  <si>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</si>
  <si>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</si>
  <si>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</si>
  <si>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</si>
  <si>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</si>
  <si>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</si>
  <si>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</si>
  <si>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</si>
  <si>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</si>
  <si>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</si>
  <si>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</si>
  <si>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</si>
  <si>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</si>
  <si>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</si>
  <si>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</si>
  <si>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</si>
  <si>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</si>
  <si>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</si>
  <si>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</si>
  <si>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</si>
  <si>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</si>
  <si>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</si>
  <si>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</si>
  <si>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</si>
  <si>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</si>
  <si>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</si>
  <si>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</si>
  <si>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</si>
  <si>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</si>
  <si>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</si>
  <si>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</si>
  <si>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</si>
  <si>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</si>
  <si>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</si>
  <si>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</si>
  <si>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</si>
  <si>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</si>
  <si>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</si>
  <si>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</si>
  <si>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</si>
  <si>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</si>
  <si>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</si>
  <si>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</si>
  <si>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</si>
  <si>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</si>
  <si>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</si>
  <si>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</si>
  <si>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</si>
  <si>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</si>
  <si>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</si>
  <si>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</si>
  <si>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</si>
  <si>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</si>
  <si>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</si>
  <si>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</si>
  <si>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</si>
  <si>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</si>
  <si>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</si>
  <si>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</si>
  <si>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</si>
  <si>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</si>
  <si>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</si>
  <si>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</si>
  <si>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</si>
  <si>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</si>
  <si>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</si>
  <si>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</si>
  <si>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</si>
  <si>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</si>
  <si>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</si>
  <si>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</si>
  <si>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</si>
  <si>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</si>
  <si>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</si>
  <si>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</si>
  <si>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</si>
  <si>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</si>
  <si>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</si>
  <si>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</si>
  <si>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</si>
  <si>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</si>
  <si>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</si>
  <si>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</si>
  <si>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</si>
  <si>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</si>
  <si>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</si>
  <si>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</si>
  <si>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</si>
  <si>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</si>
  <si>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</si>
  <si>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</si>
  <si>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</si>
  <si>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</si>
  <si>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</si>
  <si>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</si>
  <si>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</si>
  <si>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</si>
  <si>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</si>
  <si>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</si>
  <si>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</si>
  <si>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</si>
  <si>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</si>
  <si>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</si>
  <si>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</si>
  <si>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</si>
  <si>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</si>
  <si>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</si>
  <si>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</si>
  <si>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</si>
  <si>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</si>
  <si>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</si>
  <si>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</si>
  <si>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</si>
  <si>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</si>
  <si>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</si>
  <si>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</si>
  <si>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</si>
  <si>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</si>
  <si>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</si>
  <si>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</si>
  <si>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</si>
  <si>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</si>
  <si>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</si>
  <si>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</si>
  <si>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</si>
  <si>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</si>
  <si>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</si>
  <si>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</si>
  <si>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</si>
  <si>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</si>
  <si>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</si>
  <si>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</si>
  <si>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</si>
  <si>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</si>
  <si>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</si>
  <si>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</si>
  <si>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</si>
  <si>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</si>
  <si>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</si>
  <si>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</si>
  <si>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</si>
  <si>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</si>
  <si>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</si>
  <si>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</si>
  <si>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</si>
  <si>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</si>
  <si>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</si>
  <si>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</si>
  <si>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</si>
  <si>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</si>
  <si>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</si>
  <si>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</si>
  <si>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</si>
  <si>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</si>
  <si>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</si>
  <si>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</si>
  <si>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</si>
  <si>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</si>
  <si>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</si>
  <si>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</si>
  <si>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</si>
  <si>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</si>
  <si>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</si>
  <si>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</si>
  <si>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</si>
  <si>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</si>
  <si>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</si>
  <si>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</si>
  <si>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</si>
  <si>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</si>
  <si>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</si>
  <si>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</si>
  <si>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</si>
  <si>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</si>
  <si>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</si>
  <si>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</si>
  <si>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</si>
  <si>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</si>
  <si>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</si>
  <si>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</si>
  <si>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</si>
  <si>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</si>
  <si>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</si>
  <si>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</si>
  <si>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</si>
  <si>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</si>
  <si>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</si>
  <si>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</si>
  <si>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</si>
  <si>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</si>
  <si>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</si>
  <si>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</si>
  <si>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</si>
  <si>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</si>
  <si>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</si>
  <si>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</si>
  <si>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</si>
  <si>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</si>
  <si>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</si>
  <si>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</si>
  <si>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</si>
  <si>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</si>
  <si>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</si>
  <si>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</si>
  <si>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</si>
  <si>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</si>
  <si>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</si>
  <si>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</si>
  <si>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</si>
  <si>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</si>
  <si>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</si>
  <si>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</si>
  <si>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</si>
  <si>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</si>
  <si>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</si>
  <si>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</si>
  <si>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</si>
  <si>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</si>
  <si>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</si>
  <si>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</si>
  <si>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</si>
  <si>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</si>
  <si>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</si>
  <si>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</si>
  <si>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</si>
  <si>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</si>
  <si>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</si>
  <si>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</si>
  <si>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</si>
  <si>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</si>
  <si>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</si>
  <si>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</si>
  <si>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</si>
  <si>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</si>
  <si>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</si>
  <si>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</si>
  <si>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</si>
  <si>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</si>
  <si>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</si>
  <si>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</si>
  <si>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</si>
  <si>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</si>
  <si>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</si>
  <si>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</si>
  <si>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</si>
  <si>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</si>
  <si>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</si>
  <si>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</si>
  <si>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</si>
  <si>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</si>
  <si>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</si>
  <si>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</si>
  <si>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</si>
  <si>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</si>
  <si>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</si>
  <si>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</si>
  <si>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</si>
  <si>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</si>
  <si>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</si>
  <si>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</si>
  <si>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</si>
  <si>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</si>
  <si>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</si>
  <si>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</si>
  <si>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</si>
  <si>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</si>
  <si>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</si>
  <si>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</si>
  <si>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</si>
  <si>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</si>
  <si>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</si>
  <si>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</si>
  <si>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</si>
  <si>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</si>
  <si>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</si>
  <si>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</si>
  <si>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</si>
  <si>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</si>
  <si>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</si>
  <si>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</si>
  <si>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</si>
  <si>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</si>
  <si>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</si>
  <si>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</si>
  <si>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</si>
  <si>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</si>
  <si>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</si>
  <si>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</si>
  <si>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</si>
  <si>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</si>
  <si>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</si>
  <si>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</si>
  <si>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</si>
  <si>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</si>
  <si>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</si>
  <si>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</si>
  <si>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</si>
  <si>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</si>
  <si>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</si>
  <si>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</si>
  <si>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</si>
  <si>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</si>
  <si>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</si>
  <si>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</si>
  <si>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</si>
  <si>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</si>
  <si>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</si>
  <si>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</si>
  <si>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</si>
  <si>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</si>
  <si>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</si>
  <si>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</si>
  <si>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</si>
  <si>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</si>
  <si>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</si>
  <si>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</si>
  <si>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</si>
  <si>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</si>
  <si>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</si>
  <si>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</si>
  <si>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</si>
  <si>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</si>
  <si>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</si>
  <si>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</si>
  <si>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</si>
  <si>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</si>
  <si>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</si>
  <si>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</si>
  <si>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</si>
  <si>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</si>
  <si>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</si>
  <si>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</si>
  <si>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</si>
  <si>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</si>
  <si>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</si>
  <si>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</si>
  <si>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</si>
  <si>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</si>
  <si>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</si>
  <si>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</si>
  <si>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</si>
  <si>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</si>
  <si>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</si>
  <si>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</si>
  <si>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</si>
  <si>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</si>
  <si>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</si>
  <si>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</si>
  <si>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</si>
  <si>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</si>
  <si>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</si>
  <si>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</si>
  <si>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</si>
  <si>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</si>
  <si>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</si>
  <si>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</si>
  <si>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</si>
  <si>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</si>
  <si>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</si>
  <si>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</si>
  <si>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</si>
  <si>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</si>
  <si>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</si>
  <si>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</si>
  <si>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</si>
  <si>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</si>
  <si>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</si>
  <si>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</si>
  <si>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</si>
  <si>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</si>
  <si>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</si>
  <si>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</si>
  <si>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</si>
  <si>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</si>
  <si>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</si>
  <si>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</si>
  <si>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</si>
  <si>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</si>
  <si>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</si>
  <si>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</si>
  <si>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</si>
  <si>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</si>
  <si>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</si>
  <si>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</si>
  <si>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</si>
  <si>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</si>
  <si>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</si>
  <si>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</si>
  <si>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</si>
  <si>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</si>
  <si>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</si>
  <si>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</si>
  <si>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</si>
  <si>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</si>
  <si>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</si>
  <si>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</si>
  <si>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</si>
  <si>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</si>
  <si>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</si>
  <si>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</si>
  <si>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</si>
  <si>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</si>
  <si>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</si>
  <si>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</si>
  <si>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</si>
  <si>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</si>
  <si>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</si>
  <si>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</si>
  <si>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</si>
  <si>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</si>
  <si>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</si>
  <si>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</si>
  <si>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</si>
  <si>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</si>
  <si>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</si>
  <si>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</si>
  <si>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</si>
  <si>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</si>
  <si>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</si>
  <si>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</si>
  <si>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</si>
  <si>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</si>
  <si>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</si>
  <si>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</si>
  <si>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</si>
  <si>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</si>
  <si>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</si>
  <si>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</si>
  <si>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</si>
  <si>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</si>
  <si>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</si>
  <si>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</si>
  <si>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</si>
  <si>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</si>
  <si>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</si>
  <si>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</si>
  <si>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</si>
  <si>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</si>
  <si>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</si>
  <si>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</si>
  <si>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</si>
  <si>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</si>
  <si>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</si>
  <si>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</si>
  <si>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</si>
  <si>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</si>
  <si>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</si>
  <si>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</si>
  <si>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</si>
  <si>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</si>
  <si>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</si>
  <si>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</si>
  <si>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</si>
  <si>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</si>
  <si>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</si>
  <si>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</si>
  <si>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</si>
  <si>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</si>
  <si>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</si>
  <si>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</si>
  <si>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</si>
  <si>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</si>
  <si>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</si>
  <si>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</si>
  <si>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</si>
  <si>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</si>
  <si>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</si>
  <si>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</si>
  <si>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</si>
  <si>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</si>
  <si>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</si>
  <si>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</si>
  <si>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</si>
  <si>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</si>
  <si>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</si>
  <si>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</si>
  <si>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</si>
  <si>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</si>
  <si>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</si>
  <si>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</si>
  <si>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</si>
  <si>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</si>
  <si>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</si>
  <si>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</si>
  <si>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</si>
  <si>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</si>
  <si>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</si>
  <si>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</si>
  <si>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</si>
  <si>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</si>
  <si>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</si>
  <si>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</si>
  <si>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</si>
  <si>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</si>
  <si>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</si>
  <si>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</si>
  <si>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</si>
  <si>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</si>
  <si>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</si>
  <si>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</si>
  <si>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</si>
  <si>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</si>
  <si>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</si>
  <si>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</si>
  <si>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</si>
  <si>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</si>
  <si>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</si>
  <si>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</si>
  <si>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</si>
  <si>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</si>
  <si>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</si>
  <si>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</si>
  <si>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</si>
  <si>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</si>
  <si>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</si>
  <si>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</si>
  <si>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</si>
  <si>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</si>
  <si>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</si>
  <si>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</si>
  <si>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</si>
  <si>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</si>
  <si>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</si>
  <si>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</si>
  <si>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</si>
  <si>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</si>
  <si>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</si>
  <si>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</si>
  <si>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</si>
  <si>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</si>
  <si>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</si>
  <si>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</si>
  <si>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</si>
  <si>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</si>
  <si>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</si>
  <si>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</si>
  <si>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</si>
  <si>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</si>
  <si>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</si>
  <si>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</si>
  <si>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</si>
  <si>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</si>
  <si>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</si>
  <si>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</si>
  <si>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</si>
  <si>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</si>
  <si>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</si>
  <si>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</si>
  <si>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</si>
  <si>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</si>
  <si>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</si>
  <si>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</si>
  <si>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</si>
  <si>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</si>
  <si>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</si>
  <si>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</si>
  <si>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</si>
  <si>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</si>
  <si>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</si>
  <si>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</si>
  <si>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</si>
  <si>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</si>
  <si>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</si>
  <si>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</si>
  <si>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</si>
  <si>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</si>
  <si>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</si>
  <si>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</si>
  <si>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</si>
  <si>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</si>
  <si>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</si>
  <si>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</si>
  <si>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</si>
  <si>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</si>
  <si>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</si>
  <si>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</si>
  <si>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</si>
  <si>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</si>
  <si>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</si>
  <si>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</si>
  <si>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</si>
  <si>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</si>
  <si>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</si>
  <si>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</si>
  <si>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</si>
  <si>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</si>
  <si>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</si>
  <si>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</si>
  <si>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</si>
  <si>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</si>
  <si>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</si>
  <si>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</si>
  <si>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</si>
  <si>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</si>
  <si>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</si>
  <si>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</si>
  <si>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</si>
  <si>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</si>
  <si>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</si>
  <si>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</si>
  <si>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</si>
  <si>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</si>
  <si>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</si>
  <si>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</si>
  <si>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</si>
  <si>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</si>
  <si>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</si>
  <si>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</si>
  <si>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</si>
  <si>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</si>
  <si>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</si>
  <si>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</si>
  <si>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</si>
  <si>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</si>
  <si>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</si>
  <si>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</si>
  <si>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</si>
  <si>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</si>
  <si>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</si>
  <si>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</si>
  <si>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</si>
  <si>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</si>
  <si>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</si>
  <si>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</si>
  <si>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</si>
  <si>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</si>
  <si>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</si>
  <si>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</si>
  <si>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</si>
  <si>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</si>
  <si>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</si>
  <si>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</si>
  <si>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</si>
  <si>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</si>
  <si>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</si>
  <si>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</si>
  <si>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</si>
  <si>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</si>
  <si>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</si>
  <si>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</si>
  <si>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</si>
  <si>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</si>
  <si>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</si>
  <si>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</si>
  <si>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</si>
  <si>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</si>
  <si>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</si>
  <si>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</si>
  <si>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</si>
  <si>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</si>
  <si>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</si>
  <si>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</si>
  <si>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</si>
  <si>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</si>
  <si>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</si>
  <si>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</si>
  <si>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</si>
  <si>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</si>
  <si>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</si>
  <si>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</si>
  <si>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</si>
  <si>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</si>
  <si>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</si>
  <si>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</si>
  <si>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</si>
  <si>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</si>
  <si>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</si>
  <si>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</si>
  <si>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</si>
  <si>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</si>
  <si>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</si>
  <si>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</si>
  <si>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</si>
  <si>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</si>
  <si>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</si>
  <si>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</si>
  <si>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</si>
  <si>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</si>
  <si>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</si>
  <si>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</si>
  <si>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</si>
  <si>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</si>
  <si>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</si>
  <si>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</si>
  <si>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</si>
  <si>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</si>
  <si>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</si>
  <si>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</si>
  <si>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</si>
  <si>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</si>
  <si>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</si>
  <si>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</si>
  <si>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</si>
  <si>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</si>
  <si>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</si>
  <si>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</si>
  <si>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</si>
  <si>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</si>
  <si>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</si>
  <si>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</si>
  <si>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</si>
  <si>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</si>
  <si>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</si>
  <si>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</si>
  <si>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</si>
  <si>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</si>
  <si>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</si>
  <si>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</si>
  <si>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</si>
  <si>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</si>
  <si>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</si>
  <si>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</si>
  <si>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</si>
  <si>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</si>
  <si>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</si>
  <si>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</si>
  <si>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</si>
  <si>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</si>
  <si>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</si>
  <si>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</si>
  <si>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</si>
  <si>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</si>
  <si>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</si>
  <si>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</si>
  <si>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</si>
  <si>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</si>
  <si>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</si>
  <si>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</si>
  <si>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</si>
  <si>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</si>
  <si>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</si>
  <si>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</si>
  <si>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</si>
  <si>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</si>
  <si>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</si>
  <si>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</si>
  <si>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</si>
  <si>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</si>
  <si>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</si>
  <si>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</si>
  <si>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</si>
  <si>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</si>
  <si>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</si>
  <si>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</si>
  <si>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</si>
  <si>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</si>
  <si>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</si>
  <si>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</si>
  <si>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</si>
  <si>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</si>
  <si>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</si>
  <si>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</si>
  <si>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</si>
  <si>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</si>
  <si>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</si>
  <si>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</si>
  <si>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</si>
  <si>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</si>
  <si>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</si>
  <si>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</si>
  <si>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</si>
  <si>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</si>
  <si>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</si>
  <si>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</si>
  <si>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</si>
  <si>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</si>
  <si>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</si>
  <si>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</si>
  <si>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</si>
  <si>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</si>
  <si>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</si>
  <si>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</si>
  <si>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</si>
  <si>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</si>
  <si>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</si>
  <si>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</si>
  <si>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</si>
  <si>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</si>
  <si>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</si>
  <si>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</si>
  <si>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</si>
  <si>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</si>
  <si>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</si>
  <si>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</si>
  <si>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</si>
  <si>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</si>
  <si>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</si>
  <si>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</si>
  <si>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</si>
  <si>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</si>
  <si>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</si>
  <si>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</si>
  <si>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</si>
  <si>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</si>
  <si>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</si>
  <si>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</si>
  <si>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</si>
  <si>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</si>
  <si>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</si>
  <si>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</si>
  <si>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</si>
  <si>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</si>
  <si>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</si>
  <si>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</si>
  <si>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</si>
  <si>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</si>
  <si>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</si>
  <si>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</si>
  <si>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</si>
  <si>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</si>
  <si>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</si>
  <si>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</si>
  <si>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</si>
  <si>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</si>
  <si>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</si>
  <si>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</si>
  <si>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</si>
  <si>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</si>
  <si>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</si>
  <si>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</si>
  <si>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</si>
  <si>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</si>
  <si>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</si>
  <si>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</si>
  <si>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</si>
  <si>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</si>
  <si>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</si>
  <si>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</si>
  <si>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</si>
  <si>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</si>
  <si>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</si>
  <si>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</si>
  <si>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</si>
  <si>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</si>
  <si>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</si>
  <si>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</si>
  <si>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</si>
  <si>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</si>
  <si>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</si>
  <si>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</si>
  <si>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</si>
  <si>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</si>
  <si>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</si>
  <si>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</si>
  <si>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</si>
  <si>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</si>
  <si>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</si>
  <si>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</si>
  <si>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</si>
  <si>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</si>
  <si>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</si>
  <si>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</si>
  <si>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</si>
  <si>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</si>
  <si>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</si>
  <si>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</si>
  <si>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</si>
  <si>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</si>
  <si>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</si>
  <si>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</si>
  <si>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</si>
  <si>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</si>
  <si>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</si>
  <si>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</si>
  <si>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</si>
  <si>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</si>
  <si>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</si>
  <si>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</si>
  <si>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</si>
  <si>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</si>
  <si>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</si>
  <si>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</si>
  <si>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</si>
  <si>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</si>
  <si>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</si>
  <si>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</si>
  <si>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</si>
  <si>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</si>
  <si>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</si>
  <si>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</si>
  <si>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</si>
  <si>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</si>
  <si>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</si>
  <si>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</si>
  <si>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</si>
  <si>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</si>
  <si>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</si>
  <si>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</si>
  <si>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</si>
  <si>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</si>
  <si>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</si>
  <si>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</si>
  <si>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</si>
  <si>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</si>
  <si>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</si>
  <si>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</si>
  <si>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</si>
  <si>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</si>
  <si>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</si>
  <si>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</si>
  <si>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</si>
  <si>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</si>
  <si>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</si>
  <si>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</si>
  <si>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</si>
  <si>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</si>
  <si>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</si>
  <si>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</si>
  <si>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</si>
  <si>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</si>
  <si>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</si>
  <si>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</si>
  <si>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</si>
  <si>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</si>
  <si>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</si>
  <si>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</si>
  <si>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</si>
  <si>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</si>
  <si>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</si>
  <si>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</si>
  <si>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</si>
  <si>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</si>
  <si>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</si>
  <si>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</si>
  <si>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</si>
  <si>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</si>
  <si>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</si>
  <si>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</si>
  <si>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</si>
  <si>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</si>
  <si>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</si>
  <si>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</si>
  <si>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</si>
  <si>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</si>
  <si>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</si>
  <si>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</si>
  <si>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</si>
  <si>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</si>
  <si>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</si>
  <si>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</si>
  <si>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</si>
  <si>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</si>
  <si>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</si>
  <si>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</si>
  <si>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</si>
  <si>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</si>
  <si>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</si>
  <si>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</si>
  <si>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</si>
  <si>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</si>
  <si>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</si>
  <si>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</si>
  <si>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</si>
  <si>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</si>
  <si>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</si>
  <si>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</si>
  <si>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</si>
  <si>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</si>
  <si>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</si>
  <si>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</si>
  <si>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</si>
  <si>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</si>
  <si>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</si>
  <si>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</si>
  <si>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</si>
  <si>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</si>
  <si>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</si>
  <si>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</si>
  <si>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</si>
  <si>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</si>
  <si>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</si>
  <si>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</si>
  <si>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</si>
  <si>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</si>
  <si>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</si>
  <si>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</si>
  <si>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</si>
  <si>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</si>
  <si>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</si>
  <si>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</si>
  <si>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</si>
  <si>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</si>
  <si>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</si>
  <si>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</si>
  <si>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</si>
  <si>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</si>
  <si>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</si>
  <si>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</si>
  <si>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</si>
  <si>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</si>
  <si>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</si>
  <si>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</si>
  <si>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</si>
  <si>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</si>
  <si>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</si>
  <si>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</si>
  <si>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</si>
  <si>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</si>
  <si>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</si>
  <si>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</si>
  <si>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</si>
  <si>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</si>
  <si>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</si>
  <si>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</si>
  <si>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</si>
  <si>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</si>
  <si>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</si>
  <si>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</si>
  <si>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</si>
  <si>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</si>
  <si>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</si>
  <si>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</si>
  <si>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</si>
  <si>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</si>
  <si>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</si>
  <si>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</si>
  <si>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</si>
  <si>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</si>
  <si>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</si>
  <si>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</si>
  <si>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</si>
  <si>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</si>
  <si>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</si>
  <si>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</si>
  <si>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</si>
  <si>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</si>
  <si>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</si>
  <si>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</si>
  <si>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</si>
  <si>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</si>
  <si>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</si>
  <si>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</si>
  <si>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</si>
  <si>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</si>
  <si>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</si>
  <si>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</si>
  <si>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</si>
  <si>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</si>
  <si>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</si>
  <si>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</si>
  <si>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</si>
  <si>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</si>
  <si>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</si>
  <si>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</si>
  <si>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</si>
  <si>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</si>
  <si>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</si>
  <si>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</si>
  <si>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</si>
  <si>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</si>
  <si>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</si>
  <si>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</si>
  <si>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</si>
  <si>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</si>
  <si>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</si>
  <si>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</si>
  <si>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</si>
  <si>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</si>
  <si>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</si>
  <si>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</si>
  <si>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</si>
  <si>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</si>
  <si>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</si>
  <si>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</si>
  <si>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</si>
  <si>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</si>
  <si>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</si>
  <si>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</si>
  <si>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</si>
  <si>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</si>
  <si>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</si>
  <si>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</si>
  <si>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</si>
  <si>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</si>
  <si>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</si>
  <si>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</si>
  <si>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</si>
  <si>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</si>
  <si>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</si>
  <si>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</si>
  <si>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</si>
  <si>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</si>
  <si>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</si>
  <si>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</si>
  <si>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</si>
  <si>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</si>
  <si>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</si>
  <si>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</si>
  <si>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</si>
  <si>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</si>
  <si>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</si>
  <si>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</si>
  <si>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</si>
  <si>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</si>
  <si>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</si>
  <si>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</si>
  <si>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</si>
  <si>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</si>
  <si>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</si>
  <si>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</si>
  <si>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</si>
  <si>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</si>
  <si>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</si>
  <si>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</si>
  <si>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</si>
  <si>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</si>
  <si>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</si>
  <si>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</si>
  <si>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</si>
  <si>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</si>
  <si>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</si>
  <si>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</si>
  <si>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</si>
  <si>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</si>
  <si>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</si>
  <si>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</si>
  <si>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</si>
  <si>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</si>
  <si>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</si>
  <si>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</si>
  <si>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</si>
  <si>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</si>
  <si>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</si>
  <si>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</si>
  <si>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</si>
  <si>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</si>
  <si>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</si>
  <si>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</si>
  <si>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</si>
  <si>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</si>
  <si>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</si>
  <si>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</si>
  <si>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</si>
  <si>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</si>
  <si>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</si>
  <si>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</si>
  <si>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</si>
  <si>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</si>
  <si>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</si>
  <si>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</si>
  <si>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</si>
  <si>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</si>
  <si>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</si>
  <si>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</si>
  <si>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</si>
  <si>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</si>
  <si>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</si>
  <si>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</si>
  <si>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</si>
  <si>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</si>
  <si>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</si>
  <si>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</si>
  <si>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</si>
  <si>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</si>
  <si>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</si>
  <si>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</si>
  <si>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</si>
  <si>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</si>
  <si>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</si>
  <si>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</si>
  <si>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</si>
  <si>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</si>
  <si>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</si>
  <si>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</si>
  <si>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</si>
  <si>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</si>
  <si>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</si>
  <si>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</si>
  <si>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</si>
  <si>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</si>
  <si>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</si>
  <si>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</si>
  <si>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</si>
  <si>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</si>
  <si>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</si>
  <si>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</si>
  <si>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</si>
  <si>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</si>
  <si>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</si>
  <si>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</si>
  <si>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</si>
  <si>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</si>
  <si>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</si>
  <si>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</si>
  <si>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</si>
  <si>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</si>
  <si>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</si>
  <si>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</si>
  <si>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</si>
  <si>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</si>
  <si>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</si>
  <si>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</si>
  <si>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</si>
  <si>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</si>
  <si>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</si>
  <si>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</si>
  <si>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</si>
  <si>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</si>
  <si>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</si>
  <si>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</si>
  <si>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</si>
  <si>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</si>
  <si>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</si>
  <si>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</si>
  <si>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</si>
  <si>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</si>
  <si>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</si>
  <si>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</si>
  <si>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</si>
  <si>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</si>
  <si>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</si>
  <si>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</si>
  <si>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</si>
  <si>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</si>
  <si>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</si>
  <si>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</si>
  <si>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</si>
  <si>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</si>
  <si>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</si>
  <si>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</si>
  <si>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</si>
  <si>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</si>
  <si>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</si>
  <si>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</si>
  <si>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</si>
  <si>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</si>
  <si>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</si>
  <si>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</si>
  <si>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</si>
  <si>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</si>
  <si>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</si>
  <si>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</si>
  <si>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</si>
  <si>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</si>
  <si>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</si>
  <si>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</si>
  <si>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</si>
  <si>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</si>
  <si>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</si>
  <si>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</si>
  <si>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</si>
  <si>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</si>
  <si>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</si>
  <si>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</si>
  <si>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</si>
  <si>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</si>
  <si>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</si>
  <si>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</si>
  <si>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</si>
  <si>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</si>
  <si>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</si>
  <si>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</si>
  <si>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</si>
  <si>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</si>
  <si>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</si>
  <si>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</si>
  <si>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</si>
  <si>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</si>
  <si>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</si>
  <si>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</si>
  <si>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</si>
  <si>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</si>
  <si>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</si>
  <si>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</si>
  <si>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</si>
  <si>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</si>
  <si>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</si>
  <si>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</si>
  <si>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</si>
  <si>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</si>
  <si>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</si>
  <si>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</si>
  <si>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</si>
  <si>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</si>
  <si>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</si>
  <si>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</si>
  <si>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</si>
  <si>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</si>
  <si>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</si>
  <si>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</si>
  <si>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</si>
  <si>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</si>
  <si>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</si>
  <si>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</si>
  <si>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</si>
  <si>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</si>
  <si>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</si>
  <si>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</si>
  <si>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</si>
  <si>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</si>
  <si>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</si>
  <si>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</si>
  <si>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</si>
  <si>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</si>
  <si>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</si>
  <si>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</si>
  <si>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</si>
  <si>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</si>
  <si>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</si>
  <si>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</si>
  <si>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</si>
  <si>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</si>
  <si>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</si>
  <si>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</si>
  <si>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</si>
  <si>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</si>
  <si>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</si>
  <si>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</si>
  <si>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</si>
  <si>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</si>
  <si>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</si>
  <si>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</si>
  <si>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</si>
  <si>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</si>
  <si>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</si>
  <si>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</si>
  <si>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</si>
  <si>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</si>
  <si>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</si>
  <si>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</si>
  <si>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</si>
  <si>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</si>
  <si>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</si>
  <si>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</si>
  <si>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</si>
  <si>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</si>
  <si>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</si>
  <si>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</si>
  <si>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</si>
  <si>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</si>
  <si>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</si>
  <si>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</si>
  <si>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</si>
  <si>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</si>
  <si>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</si>
  <si>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</si>
  <si>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</si>
  <si>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</si>
  <si>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</si>
  <si>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</si>
  <si>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</si>
  <si>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</si>
  <si>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</si>
  <si>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</si>
  <si>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</si>
  <si>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</si>
  <si>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</si>
  <si>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</si>
  <si>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</si>
  <si>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</si>
  <si>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</si>
  <si>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</si>
  <si>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</si>
  <si>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</si>
  <si>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</si>
  <si>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</si>
  <si>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</si>
  <si>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</si>
  <si>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</si>
  <si>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</si>
  <si>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</si>
  <si>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</si>
  <si>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</si>
  <si>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</si>
  <si>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</si>
  <si>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</si>
  <si>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</si>
  <si>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</si>
  <si>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</si>
  <si>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</si>
  <si>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</si>
  <si>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</si>
  <si>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</si>
  <si>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</si>
  <si>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</si>
  <si>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</si>
  <si>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</si>
  <si>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</si>
  <si>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</si>
  <si>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</si>
  <si>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</si>
  <si>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</si>
  <si>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</si>
  <si>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</si>
  <si>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</si>
  <si>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</si>
  <si>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</si>
  <si>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</si>
  <si>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</si>
  <si>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</si>
  <si>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</si>
  <si>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</si>
  <si>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</si>
  <si>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</si>
  <si>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</si>
  <si>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</si>
  <si>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</si>
  <si>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</si>
  <si>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</si>
  <si>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</si>
  <si>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</si>
  <si>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</si>
  <si>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</si>
  <si>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</si>
  <si>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</si>
  <si>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</si>
  <si>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</si>
  <si>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</si>
  <si>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</si>
  <si>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</si>
  <si>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</si>
  <si>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</si>
  <si>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</si>
  <si>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</si>
  <si>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</si>
  <si>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</si>
  <si>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</si>
  <si>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</si>
  <si>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</si>
  <si>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</si>
  <si>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</si>
  <si>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</si>
  <si>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</si>
  <si>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</si>
  <si>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</si>
  <si>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</si>
  <si>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</si>
  <si>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</si>
  <si>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</si>
  <si>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</si>
  <si>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</si>
  <si>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</si>
  <si>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</si>
  <si>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</si>
  <si>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</si>
  <si>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</si>
  <si>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</si>
  <si>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</si>
  <si>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</si>
  <si>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</si>
  <si>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</si>
  <si>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</si>
  <si>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</si>
  <si>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</si>
  <si>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</si>
  <si>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</si>
  <si>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</si>
  <si>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</si>
  <si>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</si>
  <si>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</si>
  <si>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</si>
  <si>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</si>
  <si>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</si>
  <si>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</si>
  <si>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</si>
  <si>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</si>
  <si>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</si>
  <si>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</si>
  <si>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</si>
  <si>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</si>
  <si>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</si>
  <si>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</si>
  <si>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</si>
  <si>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</si>
  <si>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</si>
  <si>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</si>
  <si>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</si>
  <si>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</si>
  <si>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</si>
  <si>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</si>
  <si>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</si>
  <si>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</si>
  <si>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</si>
  <si>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</si>
  <si>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</si>
  <si>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</si>
  <si>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</si>
  <si>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</si>
  <si>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</si>
  <si>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</si>
  <si>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</si>
  <si>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</si>
  <si>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</si>
  <si>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</si>
  <si>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</si>
  <si>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</si>
  <si>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</si>
  <si>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</si>
  <si>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</si>
  <si>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</si>
  <si>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</si>
  <si>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</si>
  <si>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</si>
  <si>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</si>
  <si>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</si>
  <si>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</si>
  <si>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</si>
  <si>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</si>
  <si>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</si>
  <si>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</si>
  <si>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</si>
  <si>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</si>
  <si>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</si>
  <si>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</si>
  <si>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</si>
  <si>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</si>
  <si>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</si>
  <si>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</si>
  <si>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</si>
  <si>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</si>
  <si>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</si>
  <si>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</si>
  <si>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</si>
  <si>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</si>
  <si>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</si>
  <si>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</si>
  <si>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</si>
  <si>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</si>
  <si>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</si>
  <si>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</si>
  <si>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</si>
  <si>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</si>
  <si>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</si>
  <si>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</si>
  <si>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</si>
  <si>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</si>
  <si>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</si>
  <si>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</si>
  <si>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</si>
  <si>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</si>
  <si>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</si>
  <si>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</si>
  <si>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</si>
  <si>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</si>
  <si>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</si>
  <si>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</si>
  <si>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</si>
  <si>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</si>
  <si>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</si>
  <si>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</si>
  <si>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</si>
  <si>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</si>
  <si>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</si>
  <si>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</si>
  <si>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</si>
  <si>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</si>
  <si>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</si>
  <si>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</si>
  <si>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</si>
  <si>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</si>
  <si>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</si>
  <si>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</si>
  <si>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</si>
  <si>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</si>
  <si>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</si>
  <si>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</si>
  <si>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</si>
  <si>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</si>
  <si>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</si>
  <si>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</si>
  <si>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</si>
  <si>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</si>
  <si>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</si>
  <si>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</si>
  <si>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</si>
  <si>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</si>
  <si>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</si>
  <si>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</si>
  <si>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</si>
  <si>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</si>
  <si>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</si>
  <si>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</si>
  <si>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</si>
  <si>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</si>
  <si>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</si>
  <si>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</si>
  <si>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</si>
  <si>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</si>
  <si>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</si>
  <si>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</si>
  <si>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</si>
  <si>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</si>
  <si>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</si>
  <si>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</si>
  <si>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</si>
  <si>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</si>
  <si>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</si>
  <si>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</si>
  <si>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</si>
  <si>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</si>
  <si>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</si>
  <si>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</si>
  <si>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</si>
  <si>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</si>
  <si>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</si>
  <si>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</si>
  <si>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</si>
  <si>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</si>
  <si>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</si>
  <si>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</si>
  <si>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</si>
  <si>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</si>
  <si>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</si>
  <si>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</si>
  <si>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</si>
  <si>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</si>
  <si>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</si>
  <si>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</si>
  <si>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</si>
  <si>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</si>
  <si>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</si>
  <si>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</si>
  <si>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</si>
  <si>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</si>
  <si>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</si>
  <si>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</si>
  <si>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</si>
  <si>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</si>
  <si>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</si>
  <si>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</si>
  <si>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</si>
  <si>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</si>
  <si>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</si>
  <si>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</si>
  <si>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</si>
  <si>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</si>
  <si>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</si>
  <si>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</si>
  <si>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</si>
  <si>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</si>
  <si>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</si>
  <si>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</si>
  <si>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</si>
  <si>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</si>
  <si>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</si>
  <si>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</si>
  <si>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</si>
  <si>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</si>
  <si>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</si>
  <si>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</si>
  <si>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</si>
  <si>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</si>
  <si>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</si>
  <si>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</si>
  <si>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</si>
  <si>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</si>
  <si>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</si>
  <si>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</si>
  <si>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</si>
  <si>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</si>
  <si>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</si>
  <si>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</si>
  <si>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</si>
  <si>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</si>
  <si>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</si>
  <si>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</si>
  <si>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</si>
  <si>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</si>
  <si>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</si>
  <si>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</si>
  <si>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</si>
  <si>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</si>
  <si>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</si>
  <si>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</si>
  <si>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</si>
  <si>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</si>
  <si>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</si>
  <si>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</si>
  <si>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</si>
  <si>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</si>
  <si>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</si>
  <si>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</si>
  <si>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</si>
  <si>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</si>
  <si>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</si>
  <si>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</si>
  <si>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</si>
  <si>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</si>
  <si>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</si>
  <si>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</si>
  <si>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</si>
  <si>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</si>
  <si>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</si>
  <si>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</si>
  <si>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</si>
  <si>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</si>
  <si>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</si>
  <si>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</si>
  <si>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</si>
  <si>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</si>
  <si>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</si>
  <si>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</si>
  <si>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</si>
  <si>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</si>
  <si>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</si>
  <si>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</si>
  <si>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</si>
  <si>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</si>
  <si>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</si>
  <si>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</si>
  <si>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</si>
  <si>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</si>
  <si>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</si>
  <si>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</si>
  <si>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</si>
  <si>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</si>
  <si>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</si>
  <si>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</si>
  <si>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</si>
  <si>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</si>
  <si>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</si>
  <si>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</si>
  <si>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</si>
  <si>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</si>
  <si>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</si>
  <si>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</si>
  <si>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</si>
  <si>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</si>
  <si>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</si>
  <si>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</si>
  <si>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</si>
  <si>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</si>
  <si>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</si>
  <si>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</si>
  <si>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</si>
  <si>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</si>
  <si>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</si>
  <si>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</si>
  <si>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</si>
  <si>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</si>
  <si>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</si>
  <si>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</si>
  <si>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</si>
  <si>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</si>
  <si>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</si>
  <si>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</si>
  <si>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</si>
  <si>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</si>
  <si>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</si>
  <si>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</si>
  <si>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</si>
  <si>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</si>
  <si>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</si>
  <si>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</si>
  <si>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</si>
  <si>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</si>
  <si>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</si>
  <si>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</si>
  <si>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</si>
  <si>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</si>
  <si>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</si>
  <si>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</si>
  <si>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</si>
  <si>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</si>
  <si>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</si>
  <si>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</si>
  <si>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</si>
  <si>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</si>
  <si>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</si>
  <si>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</si>
  <si>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</si>
  <si>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</si>
  <si>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</si>
  <si>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</si>
  <si>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</si>
  <si>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</si>
  <si>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</si>
  <si>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</si>
  <si>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</si>
  <si>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</si>
  <si>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</si>
  <si>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</si>
  <si>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</si>
  <si>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</si>
  <si>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</si>
  <si>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</si>
  <si>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</si>
  <si>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</si>
  <si>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</si>
  <si>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</si>
  <si>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</si>
  <si>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</si>
  <si>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</si>
  <si>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</si>
  <si>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</si>
  <si>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</si>
  <si>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</si>
  <si>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</si>
  <si>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</si>
  <si>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</si>
  <si>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</si>
  <si>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</si>
  <si>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</si>
  <si>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</si>
  <si>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</si>
  <si>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</si>
  <si>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</si>
  <si>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</si>
  <si>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</si>
  <si>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</si>
  <si>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</si>
  <si>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</si>
  <si>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</si>
  <si>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</si>
  <si>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</si>
  <si>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</si>
  <si>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</si>
  <si>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</si>
  <si>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</si>
  <si>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</si>
  <si>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</si>
  <si>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</si>
  <si>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</si>
  <si>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</si>
  <si>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</si>
  <si>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</si>
  <si>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</si>
  <si>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</si>
  <si>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</si>
  <si>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</si>
  <si>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</si>
  <si>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</si>
  <si>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</si>
  <si>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</si>
  <si>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</si>
  <si>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</si>
  <si>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</si>
  <si>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</si>
  <si>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</si>
  <si>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</si>
  <si>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</si>
  <si>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</si>
  <si>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</si>
  <si>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</si>
  <si>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</si>
  <si>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</si>
  <si>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</si>
  <si>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</si>
  <si>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</si>
  <si>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</si>
  <si>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</si>
  <si>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</si>
  <si>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</si>
  <si>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</si>
  <si>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</si>
  <si>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</si>
  <si>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</si>
  <si>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</si>
  <si>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</si>
  <si>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</si>
  <si>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</si>
  <si>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</si>
  <si>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</si>
  <si>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</si>
  <si>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</si>
  <si>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</si>
  <si>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</si>
  <si>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</si>
  <si>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</si>
  <si>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</si>
  <si>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</si>
  <si>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</si>
  <si>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</si>
  <si>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</si>
  <si>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</si>
  <si>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</si>
  <si>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</si>
  <si>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</si>
  <si>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</si>
  <si>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</si>
  <si>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</si>
  <si>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</si>
  <si>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</si>
  <si>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</si>
  <si>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</si>
  <si>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</si>
  <si>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</si>
  <si>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</si>
  <si>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</si>
  <si>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</si>
  <si>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</si>
  <si>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</si>
  <si>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</si>
  <si>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</si>
  <si>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</si>
  <si>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</si>
  <si>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</si>
  <si>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</si>
  <si>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</si>
  <si>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</si>
  <si>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</si>
  <si>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</si>
  <si>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</si>
  <si>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</si>
  <si>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</si>
  <si>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</si>
  <si>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</si>
  <si>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</si>
  <si>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</si>
  <si>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</si>
  <si>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</si>
  <si>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</si>
  <si>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</si>
  <si>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</si>
  <si>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</si>
  <si>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</si>
  <si>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</si>
  <si>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</si>
  <si>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</si>
  <si>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</si>
  <si>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</si>
  <si>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</si>
  <si>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</si>
  <si>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</si>
  <si>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</si>
  <si>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</si>
  <si>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</si>
  <si>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</si>
  <si>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</si>
  <si>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</si>
  <si>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</si>
  <si>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</si>
  <si>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</si>
  <si>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</si>
  <si>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</si>
  <si>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</si>
  <si>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</si>
  <si>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</si>
  <si>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</si>
  <si>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</si>
  <si>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</si>
  <si>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</si>
  <si>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</si>
  <si>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</si>
  <si>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</si>
  <si>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</si>
  <si>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</si>
  <si>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</si>
  <si>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</si>
  <si>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</si>
  <si>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</si>
  <si>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</si>
  <si>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</si>
  <si>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</si>
  <si>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</si>
  <si>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</si>
  <si>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</si>
  <si>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</si>
  <si>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</si>
  <si>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</si>
  <si>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</si>
  <si>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</si>
  <si>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</si>
  <si>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</si>
  <si>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</si>
  <si>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</si>
  <si>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</si>
  <si>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</si>
  <si>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</si>
  <si>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</si>
  <si>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</si>
  <si>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</si>
  <si>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</si>
  <si>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</si>
  <si>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</si>
  <si>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</si>
  <si>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</si>
  <si>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</si>
  <si>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</si>
  <si>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</si>
  <si>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</si>
  <si>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</si>
  <si>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</si>
  <si>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</si>
  <si>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</si>
  <si>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</si>
  <si>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</si>
  <si>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</si>
  <si>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</si>
  <si>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</si>
  <si>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</si>
  <si>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</si>
  <si>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</si>
  <si>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</si>
  <si>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</si>
  <si>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</si>
  <si>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</si>
  <si>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</si>
  <si>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</si>
  <si>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</si>
  <si>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</si>
  <si>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</si>
  <si>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</si>
  <si>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</si>
  <si>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</si>
  <si>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</si>
  <si>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</si>
  <si>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</si>
  <si>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</si>
  <si>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</si>
  <si>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</si>
  <si>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</si>
  <si>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</si>
  <si>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</si>
  <si>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</si>
  <si>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</si>
  <si>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</si>
  <si>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</si>
  <si>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</si>
  <si>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</si>
  <si>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</si>
  <si>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</si>
  <si>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</si>
  <si>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</si>
  <si>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</si>
  <si>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</si>
  <si>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</si>
  <si>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</si>
  <si>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</si>
  <si>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</si>
  <si>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</si>
  <si>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</si>
  <si>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</si>
  <si>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</si>
  <si>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</si>
  <si>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</si>
  <si>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</si>
  <si>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</si>
  <si>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</si>
  <si>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</si>
  <si>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</si>
  <si>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</si>
  <si>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</si>
  <si>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</si>
  <si>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</si>
  <si>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</si>
  <si>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</si>
  <si>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</si>
  <si>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</si>
  <si>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</si>
  <si>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</si>
  <si>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</si>
  <si>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</si>
  <si>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</si>
  <si>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</si>
  <si>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</si>
  <si>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</si>
  <si>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</si>
  <si>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</si>
  <si>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</si>
  <si>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</si>
  <si>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</si>
  <si>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</si>
  <si>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</si>
  <si>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</si>
  <si>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</si>
  <si>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</si>
  <si>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</si>
  <si>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</si>
  <si>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</si>
  <si>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</si>
  <si>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</si>
  <si>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</si>
  <si>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</si>
  <si>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</si>
  <si>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</si>
  <si>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</si>
  <si>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</si>
  <si>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</si>
  <si>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</si>
  <si>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</si>
  <si>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</si>
  <si>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</si>
  <si>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</si>
  <si>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</si>
  <si>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</si>
  <si>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</si>
  <si>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</si>
  <si>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</si>
  <si>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</si>
  <si>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</si>
  <si>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</si>
  <si>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</si>
  <si>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</si>
  <si>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</si>
  <si>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</si>
  <si>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</si>
  <si>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</si>
  <si>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</si>
  <si>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</si>
  <si>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</si>
  <si>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</si>
  <si>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</si>
  <si>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</si>
  <si>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</si>
  <si>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</si>
  <si>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</si>
  <si>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</si>
  <si>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</si>
  <si>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</si>
  <si>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</si>
  <si>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</si>
  <si>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</si>
  <si>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</si>
  <si>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</si>
  <si>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</si>
  <si>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</si>
  <si>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</si>
  <si>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</si>
  <si>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</si>
  <si>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</si>
  <si>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</si>
  <si>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</si>
  <si>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</si>
  <si>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</si>
  <si>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</si>
  <si>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</si>
  <si>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</si>
  <si>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</si>
  <si>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</si>
  <si>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</si>
  <si>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</si>
  <si>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</si>
  <si>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</si>
  <si>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</si>
  <si>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</si>
  <si>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</si>
  <si>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</si>
  <si>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</si>
  <si>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</si>
  <si>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</si>
  <si>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</si>
  <si>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</si>
  <si>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</si>
  <si>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</si>
  <si>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</si>
  <si>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</si>
  <si>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</si>
  <si>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</si>
  <si>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</si>
  <si>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</si>
  <si>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</si>
  <si>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</si>
  <si>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</si>
  <si>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</si>
  <si>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</si>
  <si>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</si>
  <si>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</si>
  <si>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</si>
  <si>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</si>
  <si>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</si>
  <si>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</si>
  <si>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</si>
  <si>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</si>
  <si>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</si>
  <si>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</si>
  <si>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</si>
  <si>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</si>
  <si>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</si>
  <si>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</si>
  <si>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</si>
  <si>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</si>
  <si>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</si>
  <si>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</si>
  <si>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</si>
  <si>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</si>
  <si>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</si>
  <si>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</si>
  <si>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</si>
  <si>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</si>
  <si>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</si>
  <si>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</si>
  <si>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</si>
  <si>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</si>
  <si>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</si>
  <si>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</si>
  <si>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</si>
  <si>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</si>
  <si>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</si>
  <si>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</si>
  <si>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</si>
  <si>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</si>
  <si>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</si>
  <si>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</si>
  <si>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</si>
  <si>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</si>
  <si>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</si>
  <si>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</si>
  <si>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</si>
  <si>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</si>
  <si>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</si>
  <si>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</si>
  <si>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</si>
  <si>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</si>
  <si>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</si>
  <si>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</si>
  <si>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</si>
  <si>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</si>
  <si>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</si>
  <si>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</si>
  <si>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</si>
  <si>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</si>
  <si>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</si>
  <si>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</si>
  <si>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</si>
  <si>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</si>
  <si>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</si>
  <si>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</si>
  <si>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</si>
  <si>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</si>
  <si>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</si>
  <si>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</si>
  <si>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</si>
  <si>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</si>
  <si>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</si>
  <si>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</si>
  <si>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</si>
  <si>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</si>
  <si>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</si>
  <si>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</si>
  <si>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</si>
  <si>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</si>
  <si>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</si>
  <si>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</si>
  <si>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</si>
  <si>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</si>
  <si>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</si>
  <si>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</si>
  <si>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</si>
  <si>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</si>
  <si>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</si>
  <si>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</si>
  <si>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</si>
  <si>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</si>
  <si>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</si>
  <si>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</si>
  <si>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</si>
  <si>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</si>
  <si>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</si>
  <si>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</si>
  <si>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</si>
  <si>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</si>
  <si>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</si>
  <si>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</si>
  <si>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</si>
  <si>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</si>
  <si>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</si>
  <si>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</si>
  <si>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</si>
  <si>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</si>
  <si>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</si>
  <si>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</si>
  <si>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</si>
  <si>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</si>
  <si>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</si>
  <si>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</si>
  <si>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</si>
  <si>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</si>
  <si>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</si>
  <si>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</si>
  <si>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</si>
  <si>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</si>
  <si>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</si>
  <si>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</si>
  <si>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</si>
  <si>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</si>
  <si>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</si>
  <si>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</si>
  <si>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</si>
  <si>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</si>
  <si>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</si>
  <si>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</si>
  <si>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</si>
  <si>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</si>
  <si>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</si>
  <si>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</si>
  <si>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</si>
  <si>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</si>
  <si>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</si>
  <si>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</si>
  <si>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</si>
  <si>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</si>
  <si>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</si>
  <si>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</si>
  <si>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</si>
  <si>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</si>
  <si>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</si>
  <si>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</si>
  <si>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</si>
  <si>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</si>
  <si>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</si>
  <si>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</si>
  <si>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</si>
  <si>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</si>
  <si>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</si>
  <si>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</si>
  <si>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</si>
  <si>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</si>
  <si>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</si>
  <si>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</si>
  <si>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</si>
  <si>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</si>
  <si>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</si>
  <si>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</si>
  <si>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</si>
  <si>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</si>
  <si>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</si>
  <si>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</si>
  <si>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</si>
  <si>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</si>
  <si>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</si>
  <si>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</si>
  <si>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</si>
  <si>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</si>
  <si>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</si>
  <si>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</si>
  <si>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</si>
  <si>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</si>
  <si>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</si>
  <si>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</si>
  <si>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</si>
  <si>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</si>
  <si>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</si>
  <si>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</si>
  <si>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</si>
  <si>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</si>
  <si>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</si>
  <si>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</si>
  <si>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</si>
  <si>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</si>
  <si>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</si>
  <si>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</si>
  <si>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</si>
  <si>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</si>
  <si>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</si>
  <si>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</si>
  <si>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</si>
  <si>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</si>
  <si>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</si>
  <si>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</si>
  <si>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</si>
  <si>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</si>
  <si>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</si>
  <si>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</si>
  <si>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</si>
  <si>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</si>
  <si>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</si>
  <si>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</si>
  <si>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</si>
  <si>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</si>
  <si>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</si>
  <si>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</si>
  <si>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</si>
  <si>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</si>
  <si>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</si>
  <si>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</si>
  <si>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</si>
  <si>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</si>
  <si>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</si>
  <si>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</si>
  <si>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</si>
  <si>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</si>
  <si>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</si>
  <si>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</si>
  <si>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</si>
  <si>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</si>
  <si>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</si>
  <si>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</si>
  <si>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</si>
  <si>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</si>
  <si>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</si>
  <si>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</si>
  <si>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</si>
  <si>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</si>
  <si>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</si>
  <si>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</si>
  <si>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</si>
  <si>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</si>
  <si>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</si>
  <si>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</si>
  <si>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</si>
  <si>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</si>
  <si>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</si>
  <si>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</si>
  <si>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</si>
  <si>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</si>
  <si>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</si>
  <si>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</si>
  <si>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</si>
  <si>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</si>
  <si>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</si>
  <si>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</si>
  <si>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</si>
  <si>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</si>
  <si>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</si>
  <si>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</si>
  <si>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</si>
  <si>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</si>
  <si>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</si>
  <si>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</si>
  <si>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</si>
  <si>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</si>
  <si>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</si>
  <si>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</si>
  <si>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</si>
  <si>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</si>
  <si>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</si>
  <si>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</si>
  <si>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</si>
  <si>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</si>
  <si>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</si>
  <si>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</si>
  <si>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</si>
  <si>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</si>
  <si>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</si>
  <si>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</si>
  <si>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</si>
  <si>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</si>
  <si>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</si>
  <si>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</si>
  <si>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</si>
  <si>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</si>
  <si>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</si>
  <si>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</si>
  <si>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</si>
  <si>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</si>
  <si>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</si>
  <si>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</si>
  <si>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</si>
  <si>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</si>
  <si>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</si>
  <si>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</si>
  <si>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</si>
  <si>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</si>
  <si>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</si>
  <si>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</si>
  <si>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</si>
  <si>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</si>
  <si>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</si>
  <si>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</si>
  <si>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</si>
  <si>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</si>
  <si>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</si>
  <si>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</si>
  <si>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</si>
  <si>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</si>
  <si>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</si>
  <si>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</si>
  <si>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</si>
  <si>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</si>
  <si>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</si>
  <si>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</si>
  <si>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</si>
  <si>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</si>
  <si>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</si>
  <si>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</si>
  <si>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</si>
  <si>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</si>
  <si>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</si>
  <si>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</si>
  <si>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</si>
  <si>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</si>
  <si>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</si>
  <si>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</si>
  <si>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</si>
  <si>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</si>
  <si>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</si>
  <si>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</si>
  <si>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</si>
  <si>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</si>
  <si>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</si>
  <si>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</si>
  <si>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</si>
  <si>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</si>
  <si>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</si>
  <si>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</si>
  <si>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</si>
  <si>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</si>
  <si>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</si>
  <si>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</si>
  <si>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</si>
  <si>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</si>
  <si>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</si>
  <si>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</si>
  <si>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</si>
  <si>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</si>
  <si>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</si>
  <si>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</si>
  <si>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</si>
  <si>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</si>
  <si>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</si>
  <si>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</si>
  <si>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</si>
  <si>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</si>
  <si>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</si>
  <si>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</si>
  <si>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</si>
  <si>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</si>
  <si>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</si>
  <si>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</si>
  <si>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</si>
  <si>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</si>
  <si>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</si>
  <si>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</si>
  <si>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</si>
  <si>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</si>
  <si>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</si>
  <si>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</si>
  <si>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</si>
  <si>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</si>
  <si>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</si>
  <si>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</si>
  <si>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</si>
  <si>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</si>
  <si>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</si>
  <si>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</si>
  <si>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</si>
  <si>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</si>
  <si>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</si>
  <si>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</si>
  <si>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</si>
  <si>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</si>
  <si>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</si>
  <si>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</si>
  <si>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</si>
  <si>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</si>
  <si>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</si>
  <si>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</si>
  <si>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</si>
  <si>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</si>
  <si>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</si>
  <si>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</si>
  <si>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</si>
  <si>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</si>
  <si>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</si>
  <si>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</si>
  <si>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</si>
  <si>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</si>
  <si>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</si>
  <si>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</si>
  <si>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</si>
  <si>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</si>
  <si>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</si>
  <si>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</si>
  <si>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</si>
  <si>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</si>
  <si>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</si>
  <si>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</si>
  <si>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</si>
  <si>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</si>
  <si>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</si>
  <si>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</si>
  <si>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</si>
  <si>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</si>
  <si>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</si>
  <si>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</si>
  <si>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</si>
  <si>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</si>
  <si>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</si>
  <si>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</si>
  <si>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</si>
  <si>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</si>
  <si>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</si>
  <si>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</si>
  <si>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</si>
  <si>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</si>
  <si>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</si>
  <si>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</si>
  <si>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</si>
  <si>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</si>
  <si>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</si>
  <si>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</si>
  <si>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</si>
  <si>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</si>
  <si>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</si>
  <si>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</si>
  <si>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</si>
  <si>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</si>
  <si>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</si>
  <si>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</si>
  <si>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</si>
  <si>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</si>
  <si>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</si>
  <si>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</si>
  <si>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</si>
  <si>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</si>
  <si>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</si>
  <si>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</si>
  <si>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</si>
  <si>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</si>
  <si>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</si>
  <si>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</si>
  <si>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</si>
  <si>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</si>
  <si>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</si>
  <si>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</si>
  <si>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</si>
  <si>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</si>
  <si>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</si>
  <si>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</si>
  <si>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</si>
  <si>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</si>
  <si>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</si>
  <si>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</si>
  <si>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</si>
  <si>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</si>
  <si>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</si>
  <si>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</si>
  <si>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</si>
  <si>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</si>
  <si>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</si>
  <si>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</si>
  <si>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</si>
  <si>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</si>
  <si>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</si>
  <si>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</si>
  <si>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</si>
  <si>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</si>
  <si>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</si>
  <si>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</si>
  <si>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</si>
  <si>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</si>
  <si>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</si>
  <si>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</si>
  <si>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</si>
  <si>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</si>
  <si>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</si>
  <si>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</si>
  <si>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</si>
  <si>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</si>
  <si>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</si>
  <si>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</si>
  <si>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</si>
  <si>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</si>
  <si>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</si>
  <si>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</si>
  <si>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</si>
  <si>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</si>
  <si>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</si>
  <si>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</si>
  <si>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</si>
  <si>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</si>
  <si>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</si>
  <si>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</si>
  <si>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</si>
  <si>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</si>
  <si>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</si>
  <si>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</si>
  <si>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</si>
  <si>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</si>
  <si>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</si>
  <si>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</si>
  <si>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</si>
  <si>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</si>
  <si>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</si>
  <si>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</si>
  <si>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</si>
  <si>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</si>
  <si>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</si>
  <si>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</si>
  <si>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</si>
  <si>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</si>
  <si>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</si>
  <si>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</si>
  <si>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</si>
  <si>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</si>
  <si>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</si>
  <si>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</si>
  <si>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</si>
  <si>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</si>
  <si>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</si>
  <si>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</si>
  <si>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</si>
  <si>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</si>
  <si>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</si>
  <si>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</si>
  <si>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</si>
  <si>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</si>
  <si>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</si>
  <si>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</si>
  <si>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</si>
  <si>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</si>
  <si>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</si>
  <si>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</si>
  <si>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</si>
  <si>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</si>
  <si>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</si>
  <si>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</si>
  <si>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</si>
  <si>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</si>
  <si>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</si>
  <si>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</si>
  <si>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</si>
  <si>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</si>
  <si>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</si>
  <si>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</si>
  <si>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</si>
  <si>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</si>
  <si>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</si>
  <si>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</si>
  <si>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</si>
  <si>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</si>
  <si>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</si>
  <si>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</si>
  <si>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</si>
  <si>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</si>
  <si>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</si>
  <si>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</si>
  <si>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</si>
  <si>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</si>
  <si>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</si>
  <si>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</si>
  <si>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</si>
  <si>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</si>
  <si>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</si>
  <si>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</si>
  <si>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</si>
  <si>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</si>
  <si>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</si>
  <si>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</si>
  <si>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</si>
  <si>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</si>
  <si>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</si>
  <si>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</si>
  <si>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</si>
  <si>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</si>
  <si>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</si>
  <si>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</si>
  <si>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</si>
  <si>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</si>
  <si>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</si>
  <si>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</si>
  <si>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</si>
  <si>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</si>
  <si>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</si>
  <si>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</si>
  <si>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</si>
  <si>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</si>
  <si>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</si>
  <si>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</si>
  <si>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</si>
  <si>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</si>
  <si>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</si>
  <si>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</si>
  <si>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</si>
  <si>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</si>
  <si>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</si>
  <si>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</si>
  <si>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</si>
  <si>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</si>
  <si>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</si>
  <si>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</si>
  <si>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</si>
  <si>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</si>
  <si>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</si>
  <si>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</si>
  <si>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</si>
  <si>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</si>
  <si>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</si>
  <si>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</si>
  <si>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</si>
  <si>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</si>
  <si>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</si>
  <si>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</si>
  <si>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</si>
  <si>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</si>
  <si>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</si>
  <si>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</si>
  <si>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</si>
  <si>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</si>
  <si>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</si>
  <si>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</si>
  <si>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</si>
  <si>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</si>
  <si>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</si>
  <si>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</si>
  <si>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</si>
  <si>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</si>
  <si>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</si>
  <si>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</si>
  <si>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</si>
  <si>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</si>
  <si>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</si>
  <si>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</si>
  <si>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</si>
  <si>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</si>
  <si>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</si>
  <si>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</si>
  <si>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</si>
  <si>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</si>
  <si>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</si>
  <si>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</si>
  <si>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</si>
  <si>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</si>
  <si>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</si>
  <si>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</si>
  <si>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</si>
  <si>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</si>
  <si>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</si>
  <si>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</si>
  <si>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</si>
  <si>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</si>
  <si>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</si>
  <si>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</si>
  <si>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</si>
  <si>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</si>
  <si>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</si>
  <si>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</si>
  <si>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</si>
  <si>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</si>
  <si>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</si>
  <si>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</si>
  <si>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</si>
  <si>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</si>
  <si>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</si>
  <si>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</si>
  <si>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</si>
  <si>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</si>
  <si>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</si>
  <si>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</si>
  <si>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</si>
  <si>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</si>
  <si>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</si>
  <si>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</si>
  <si>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</si>
  <si>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</si>
  <si>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</si>
  <si>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</si>
  <si>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</si>
  <si>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</si>
  <si>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</si>
  <si>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</si>
  <si>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</si>
  <si>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</si>
  <si>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</si>
  <si>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</si>
  <si>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</si>
  <si>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</si>
  <si>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</si>
  <si>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</si>
  <si>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</si>
  <si>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</si>
  <si>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</si>
  <si>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</si>
  <si>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</si>
  <si>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</si>
  <si>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</si>
  <si>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</si>
  <si>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</si>
  <si>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</si>
  <si>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</si>
  <si>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</si>
  <si>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</si>
  <si>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</si>
  <si>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</si>
  <si>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</si>
  <si>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</si>
  <si>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</si>
  <si>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</si>
  <si>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</si>
  <si>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</si>
  <si>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</si>
  <si>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</si>
  <si>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</si>
  <si>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</si>
  <si>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</si>
  <si>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</si>
  <si>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</si>
  <si>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</si>
  <si>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</si>
  <si>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</si>
  <si>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</si>
  <si>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</si>
  <si>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</si>
  <si>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</si>
  <si>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</si>
  <si>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</si>
  <si>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</si>
  <si>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</si>
  <si>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</si>
  <si>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</si>
  <si>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</si>
  <si>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</si>
  <si>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</si>
  <si>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</si>
  <si>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</si>
  <si>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</si>
  <si>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</si>
  <si>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</si>
  <si>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</si>
  <si>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</si>
  <si>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</si>
  <si>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</si>
  <si>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</si>
  <si>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</si>
  <si>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</si>
  <si>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</si>
  <si>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</si>
  <si>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</si>
  <si>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</si>
  <si>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</si>
  <si>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</si>
  <si>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</si>
  <si>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</si>
  <si>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</si>
  <si>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</si>
  <si>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</si>
  <si>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</si>
  <si>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</si>
  <si>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</si>
  <si>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</si>
  <si>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</si>
  <si>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</si>
  <si>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</si>
  <si>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</si>
  <si>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</si>
  <si>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</si>
  <si>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</si>
  <si>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</si>
  <si>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</si>
  <si>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</si>
  <si>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</si>
  <si>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</si>
  <si>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</si>
  <si>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</si>
  <si>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</si>
  <si>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</si>
  <si>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</si>
  <si>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</si>
  <si>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</si>
  <si>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</si>
  <si>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</si>
  <si>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</si>
  <si>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</si>
  <si>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</si>
  <si>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</si>
  <si>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</si>
  <si>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</si>
  <si>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</si>
  <si>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</si>
  <si>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</si>
  <si>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</si>
  <si>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</si>
  <si>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</si>
  <si>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</si>
  <si>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</si>
  <si>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</si>
  <si>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</si>
  <si>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</si>
  <si>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</si>
  <si>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</si>
  <si>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</si>
  <si>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</si>
  <si>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</si>
  <si>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</si>
  <si>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</si>
  <si>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</si>
  <si>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</si>
  <si>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</si>
  <si>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</si>
  <si>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</si>
  <si>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</si>
  <si>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</si>
  <si>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</si>
  <si>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</si>
  <si>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</si>
  <si>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</si>
  <si>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</si>
  <si>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</si>
  <si>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</si>
  <si>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</si>
  <si>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</si>
  <si>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</si>
  <si>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</si>
  <si>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</si>
  <si>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</si>
  <si>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</si>
  <si>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</si>
  <si>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</si>
  <si>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</si>
  <si>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</si>
  <si>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</si>
  <si>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</si>
  <si>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</si>
  <si>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</si>
  <si>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</si>
  <si>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</si>
  <si>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</si>
  <si>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</si>
  <si>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</si>
  <si>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</si>
  <si>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</si>
  <si>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</si>
  <si>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</si>
  <si>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</si>
  <si>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</si>
  <si>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</si>
  <si>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</si>
  <si>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</si>
  <si>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</si>
  <si>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</si>
  <si>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</si>
  <si>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</si>
  <si>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</si>
  <si>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</si>
  <si>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</si>
  <si>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</si>
  <si>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</si>
  <si>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</si>
  <si>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</si>
  <si>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</si>
  <si>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</si>
  <si>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</si>
  <si>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</si>
  <si>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</si>
  <si>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</si>
  <si>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</si>
  <si>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</si>
  <si>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</si>
  <si>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</si>
  <si>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</si>
  <si>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</si>
  <si>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</si>
  <si>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</si>
  <si>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</si>
  <si>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</si>
  <si>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</si>
  <si>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</si>
  <si>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</si>
  <si>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</si>
  <si>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</si>
  <si>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</si>
  <si>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</si>
  <si>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</si>
  <si>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</si>
  <si>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</si>
  <si>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</si>
  <si>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</si>
  <si>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</si>
  <si>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</si>
  <si>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</si>
  <si>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</si>
  <si>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</si>
  <si>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</si>
  <si>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</si>
  <si>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</si>
  <si>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</si>
  <si>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</si>
  <si>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</si>
  <si>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</si>
  <si>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</si>
  <si>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</si>
  <si>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</si>
  <si>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</si>
  <si>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</si>
  <si>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</si>
  <si>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</si>
  <si>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</si>
  <si>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</si>
  <si>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</si>
  <si>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</si>
  <si>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</si>
  <si>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</si>
  <si>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</si>
  <si>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</si>
  <si>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</si>
  <si>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</si>
  <si>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</si>
  <si>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</si>
  <si>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</si>
  <si>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</si>
  <si>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</si>
  <si>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</si>
  <si>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</si>
  <si>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</si>
  <si>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</si>
  <si>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</si>
  <si>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</si>
  <si>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</si>
  <si>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</si>
  <si>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</si>
  <si>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</si>
  <si>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</si>
  <si>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</si>
  <si>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</si>
  <si>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</si>
  <si>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</si>
  <si>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</si>
  <si>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</si>
  <si>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</si>
  <si>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</si>
  <si>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</si>
  <si>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</si>
  <si>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</si>
  <si>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</si>
  <si>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</si>
  <si>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</si>
  <si>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</si>
  <si>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</si>
  <si>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</si>
  <si>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</si>
  <si>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</si>
  <si>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</si>
  <si>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</si>
  <si>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</si>
  <si>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</si>
  <si>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</si>
  <si>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</si>
  <si>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</si>
  <si>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</si>
  <si>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</si>
  <si>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</si>
  <si>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</si>
  <si>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</si>
  <si>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</si>
  <si>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</si>
  <si>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</si>
  <si>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</si>
  <si>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</si>
  <si>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</si>
  <si>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</si>
  <si>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</si>
  <si>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</si>
  <si>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</si>
  <si>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</si>
  <si>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</si>
  <si>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</si>
  <si>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</si>
  <si>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</si>
  <si>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</si>
  <si>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</si>
  <si>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</si>
  <si>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</si>
  <si>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</si>
  <si>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</si>
  <si>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</si>
  <si>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</si>
  <si>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</si>
  <si>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</si>
  <si>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</si>
  <si>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</si>
  <si>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</si>
  <si>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</si>
  <si>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</si>
  <si>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</si>
  <si>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</si>
  <si>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</si>
  <si>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</si>
  <si>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</si>
  <si>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</si>
  <si>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</si>
  <si>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</si>
  <si>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</si>
  <si>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</si>
  <si>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</si>
  <si>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</si>
  <si>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</si>
  <si>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</si>
  <si>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</si>
  <si>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</si>
  <si>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</si>
  <si>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</si>
  <si>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</si>
  <si>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</si>
  <si>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</si>
  <si>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</si>
  <si>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</si>
  <si>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</si>
  <si>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</si>
  <si>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</si>
  <si>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</si>
  <si>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</si>
  <si>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</si>
  <si>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</si>
  <si>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</si>
  <si>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</si>
  <si>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</si>
  <si>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</si>
  <si>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</si>
  <si>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</si>
  <si>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</si>
  <si>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</si>
  <si>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</si>
  <si>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</si>
  <si>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</si>
  <si>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</si>
  <si>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</si>
  <si>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</si>
  <si>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</si>
  <si>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</si>
  <si>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</si>
  <si>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</si>
  <si>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</si>
  <si>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</si>
  <si>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</si>
  <si>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</si>
  <si>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</si>
  <si>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</si>
  <si>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</si>
  <si>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</si>
  <si>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</si>
  <si>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</si>
  <si>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</si>
  <si>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</si>
  <si>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</si>
  <si>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</si>
  <si>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</si>
  <si>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</si>
  <si>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</si>
  <si>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</si>
  <si>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</si>
  <si>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</si>
  <si>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</si>
  <si>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</si>
  <si>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</si>
  <si>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</si>
  <si>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</si>
  <si>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</si>
  <si>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</si>
  <si>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</si>
  <si>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</si>
  <si>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</si>
  <si>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</si>
  <si>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</si>
  <si>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</si>
  <si>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</si>
  <si>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</si>
  <si>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</si>
  <si>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</si>
  <si>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</si>
  <si>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</si>
  <si>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</si>
  <si>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</si>
  <si>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</si>
  <si>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</si>
  <si>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</si>
  <si>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</si>
  <si>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</si>
  <si>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</si>
  <si>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</si>
  <si>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</si>
  <si>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</si>
  <si>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</si>
  <si>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</si>
  <si>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</si>
  <si>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</si>
  <si>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</si>
  <si>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</si>
  <si>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</si>
  <si>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</si>
  <si>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</si>
  <si>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</si>
  <si>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</si>
  <si>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</si>
  <si>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</si>
  <si>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</si>
  <si>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</si>
  <si>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</si>
  <si>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</si>
  <si>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</si>
  <si>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</si>
  <si>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</si>
  <si>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</si>
  <si>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</si>
  <si>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</si>
  <si>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</si>
  <si>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</si>
  <si>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</si>
  <si>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</si>
  <si>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</si>
  <si>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</si>
  <si>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</si>
  <si>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</si>
  <si>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</si>
  <si>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</si>
  <si>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</si>
  <si>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</si>
  <si>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</si>
  <si>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</si>
  <si>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</si>
  <si>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</si>
  <si>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</si>
  <si>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</si>
  <si>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</si>
  <si>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</si>
  <si>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</si>
  <si>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</si>
  <si>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</si>
  <si>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</si>
  <si>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</si>
  <si>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</si>
  <si>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</si>
  <si>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</si>
  <si>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</si>
  <si>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</si>
  <si>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</si>
  <si>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</si>
  <si>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</si>
  <si>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</si>
  <si>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</si>
  <si>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</si>
  <si>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</si>
  <si>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</si>
  <si>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</si>
  <si>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</si>
  <si>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</si>
  <si>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</si>
  <si>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</si>
  <si>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</si>
  <si>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</si>
  <si>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</si>
  <si>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</si>
  <si>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</si>
  <si>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</si>
  <si>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</si>
  <si>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</si>
  <si>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</si>
  <si>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</si>
  <si>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</si>
  <si>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</si>
  <si>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</si>
  <si>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</si>
  <si>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</si>
  <si>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</si>
  <si>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</si>
  <si>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</si>
  <si>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</si>
  <si>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</si>
  <si>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</si>
  <si>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</si>
  <si>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</si>
  <si>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</si>
  <si>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</si>
  <si>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</si>
  <si>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</si>
  <si>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</si>
  <si>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</si>
  <si>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</si>
  <si>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</si>
  <si>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</si>
  <si>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</si>
  <si>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</si>
  <si>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</si>
  <si>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</si>
  <si>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</si>
  <si>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</si>
  <si>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</si>
  <si>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</si>
  <si>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</si>
  <si>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</si>
  <si>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</si>
  <si>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</si>
  <si>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</si>
  <si>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</si>
  <si>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</si>
  <si>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</si>
  <si>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</si>
  <si>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</si>
  <si>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</si>
  <si>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</si>
  <si>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</si>
  <si>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</si>
  <si>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</si>
  <si>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</si>
  <si>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</si>
  <si>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</si>
  <si>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</si>
  <si>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</si>
  <si>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</si>
  <si>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</si>
  <si>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</si>
  <si>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</si>
  <si>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</si>
  <si>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</si>
  <si>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</si>
  <si>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</si>
  <si>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</si>
  <si>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</si>
  <si>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</si>
  <si>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</si>
  <si>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</si>
  <si>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</si>
  <si>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</si>
  <si>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</si>
  <si>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</si>
  <si>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</si>
  <si>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</si>
  <si>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</si>
  <si>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</si>
  <si>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</si>
  <si>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</si>
  <si>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</si>
  <si>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</si>
  <si>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</si>
  <si>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</si>
  <si>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</si>
  <si>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</si>
  <si>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</si>
  <si>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</si>
  <si>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</si>
  <si>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</si>
  <si>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</si>
  <si>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</si>
  <si>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</si>
  <si>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</si>
  <si>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</si>
  <si>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</si>
  <si>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</si>
  <si>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</si>
  <si>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</si>
  <si>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</si>
  <si>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</si>
  <si>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</si>
  <si>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</si>
  <si>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</si>
  <si>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</si>
  <si>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</si>
  <si>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</si>
  <si>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</si>
  <si>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</si>
  <si>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</si>
  <si>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</si>
  <si>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</si>
  <si>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</si>
  <si>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</si>
  <si>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</si>
  <si>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</si>
  <si>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</si>
  <si>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</si>
  <si>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</si>
  <si>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</si>
  <si>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</si>
  <si>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</si>
  <si>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</si>
  <si>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</si>
  <si>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</si>
  <si>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</si>
  <si>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</si>
  <si>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</si>
  <si>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</si>
  <si>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</si>
  <si>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</si>
  <si>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</si>
  <si>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</si>
  <si>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</si>
  <si>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</si>
  <si>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</si>
  <si>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</si>
  <si>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</si>
  <si>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</si>
  <si>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</si>
  <si>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</si>
  <si>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</si>
  <si>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</si>
  <si>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</si>
  <si>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</si>
  <si>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</si>
  <si>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</si>
  <si>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</si>
  <si>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</si>
  <si>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</si>
  <si>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</si>
  <si>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</si>
  <si>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</si>
  <si>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</si>
  <si>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</si>
  <si>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</si>
  <si>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</si>
  <si>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</si>
  <si>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</si>
  <si>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</si>
  <si>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</si>
  <si>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</si>
  <si>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</si>
  <si>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</si>
  <si>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</si>
  <si>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</si>
  <si>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</si>
  <si>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</si>
  <si>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</si>
  <si>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</si>
  <si>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</si>
  <si>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</si>
  <si>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</si>
  <si>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</si>
  <si>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</si>
  <si>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</si>
  <si>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</si>
  <si>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</si>
  <si>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</si>
  <si>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</si>
  <si>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</si>
  <si>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</si>
  <si>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</si>
  <si>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</si>
  <si>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</si>
  <si>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</si>
  <si>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</si>
  <si>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</si>
  <si>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</si>
  <si>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</si>
  <si>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</si>
  <si>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</si>
  <si>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</si>
  <si>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</si>
  <si>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</si>
  <si>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</si>
  <si>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</si>
  <si>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</si>
  <si>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</si>
  <si>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</si>
  <si>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</si>
  <si>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</si>
  <si>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</si>
  <si>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</si>
  <si>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</si>
  <si>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</si>
  <si>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</si>
  <si>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</si>
  <si>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</si>
  <si>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</si>
  <si>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</si>
  <si>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</si>
  <si>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</si>
  <si>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</si>
  <si>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</si>
  <si>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</si>
  <si>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</si>
  <si>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</si>
  <si>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</si>
  <si>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</si>
  <si>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</si>
  <si>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</si>
  <si>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</si>
  <si>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</si>
  <si>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</si>
  <si>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</si>
  <si>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</si>
  <si>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</si>
  <si>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</si>
  <si>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</si>
  <si>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</si>
  <si>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</si>
  <si>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</si>
  <si>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</si>
  <si>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</si>
  <si>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</si>
  <si>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</si>
  <si>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</si>
  <si>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</si>
  <si>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</si>
  <si>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</si>
  <si>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</si>
  <si>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</si>
  <si>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</si>
  <si>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</si>
  <si>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</si>
  <si>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</si>
  <si>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</si>
  <si>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</si>
  <si>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</si>
  <si>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</si>
  <si>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</si>
  <si>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</si>
  <si>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</si>
  <si>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</si>
  <si>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</si>
  <si>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</si>
  <si>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</si>
  <si>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</si>
  <si>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</si>
  <si>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</si>
  <si>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</si>
  <si>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</si>
  <si>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</si>
  <si>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</si>
  <si>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</si>
  <si>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</si>
  <si>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</si>
  <si>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</si>
  <si>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</si>
  <si>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</si>
  <si>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</si>
  <si>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</si>
  <si>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</si>
  <si>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</si>
  <si>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</si>
  <si>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</si>
  <si>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</si>
  <si>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</si>
  <si>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</si>
  <si>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</si>
  <si>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</si>
  <si>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</si>
  <si>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</si>
  <si>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</si>
  <si>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</si>
  <si>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</si>
  <si>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</si>
  <si>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</si>
  <si>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</si>
  <si>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</si>
  <si>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</si>
  <si>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</si>
  <si>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</si>
  <si>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</si>
  <si>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</si>
  <si>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</si>
  <si>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</si>
  <si>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</si>
  <si>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</si>
  <si>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</si>
  <si>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</si>
  <si>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</si>
  <si>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</si>
  <si>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</si>
  <si>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</si>
  <si>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</si>
  <si>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</si>
  <si>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</si>
  <si>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</si>
  <si>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</si>
  <si>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</si>
  <si>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</si>
  <si>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</si>
  <si>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</si>
  <si>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</si>
  <si>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</si>
  <si>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</si>
  <si>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</si>
  <si>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</si>
  <si>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</si>
  <si>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</si>
  <si>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</si>
  <si>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</si>
  <si>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</si>
  <si>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</si>
  <si>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</si>
  <si>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</si>
  <si>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</si>
  <si>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</si>
  <si>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</si>
  <si>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</si>
  <si>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</si>
  <si>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</si>
  <si>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</si>
  <si>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</si>
  <si>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</si>
  <si>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</si>
  <si>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</si>
  <si>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</si>
  <si>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</si>
  <si>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</si>
  <si>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</si>
  <si>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</si>
  <si>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</si>
  <si>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</si>
  <si>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</si>
  <si>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</si>
  <si>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</si>
  <si>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</si>
  <si>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</si>
  <si>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</si>
  <si>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</si>
  <si>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</si>
  <si>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</si>
  <si>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</si>
  <si>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</si>
  <si>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</si>
  <si>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</si>
  <si>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</si>
  <si>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</si>
  <si>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</si>
  <si>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</si>
  <si>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</si>
  <si>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</si>
  <si>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</si>
  <si>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</si>
  <si>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</si>
  <si>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</si>
  <si>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</si>
  <si>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</si>
  <si>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</si>
  <si>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</si>
  <si>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</si>
  <si>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</si>
  <si>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</si>
  <si>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</si>
  <si>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</si>
  <si>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</si>
  <si>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</si>
  <si>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</si>
  <si>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</si>
  <si>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</si>
  <si>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</si>
  <si>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</si>
  <si>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</si>
  <si>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</si>
  <si>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</si>
  <si>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</si>
  <si>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</si>
  <si>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</si>
  <si>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</si>
  <si>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</si>
  <si>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</si>
  <si>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</si>
  <si>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</si>
  <si>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</si>
  <si>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</si>
  <si>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</si>
  <si>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</si>
  <si>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</si>
  <si>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</si>
  <si>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</si>
  <si>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</si>
  <si>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</si>
  <si>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</si>
  <si>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</si>
  <si>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</si>
  <si>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</si>
  <si>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</si>
  <si>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</si>
  <si>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</si>
  <si>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</si>
  <si>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</si>
  <si>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</si>
  <si>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</si>
  <si>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</si>
  <si>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</si>
  <si>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</si>
  <si>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</si>
  <si>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</si>
  <si>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</si>
  <si>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</si>
  <si>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</si>
  <si>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</si>
  <si>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</si>
  <si>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</si>
  <si>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</si>
  <si>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</si>
  <si>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</si>
  <si>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</si>
  <si>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</si>
  <si>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</si>
  <si>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</si>
  <si>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</si>
  <si>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</si>
  <si>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</si>
  <si>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</si>
  <si>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</si>
  <si>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</si>
  <si>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</si>
  <si>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</si>
  <si>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</si>
  <si>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</si>
  <si>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</si>
  <si>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</si>
  <si>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</si>
  <si>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</si>
  <si>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</si>
  <si>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</si>
  <si>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</si>
  <si>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</si>
  <si>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</si>
  <si>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</si>
  <si>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</si>
  <si>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</si>
  <si>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</si>
  <si>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</si>
  <si>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</si>
  <si>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</si>
  <si>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</si>
  <si>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</si>
  <si>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</si>
  <si>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</si>
  <si>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</si>
  <si>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</si>
  <si>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</si>
  <si>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</si>
  <si>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</si>
  <si>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</si>
  <si>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</si>
  <si>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</si>
  <si>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</si>
  <si>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</si>
  <si>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</si>
  <si>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</si>
  <si>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</si>
  <si>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</si>
  <si>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</si>
  <si>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</si>
  <si>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</si>
  <si>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</si>
  <si>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</si>
  <si>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</si>
  <si>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</si>
  <si>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</si>
  <si>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</si>
  <si>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</si>
  <si>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</si>
  <si>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</si>
  <si>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</si>
  <si>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</si>
  <si>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</si>
  <si>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</si>
  <si>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</si>
  <si>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</si>
  <si>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</si>
  <si>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</si>
  <si>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</si>
  <si>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</si>
  <si>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</si>
  <si>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</si>
  <si>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</si>
  <si>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</si>
  <si>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</si>
  <si>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</si>
  <si>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</si>
  <si>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</si>
  <si>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</si>
  <si>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</si>
  <si>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</si>
  <si>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</si>
  <si>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</si>
  <si>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</si>
  <si>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</si>
  <si>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</si>
  <si>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</si>
  <si>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</si>
  <si>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</si>
  <si>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</si>
  <si>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</si>
  <si>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</si>
  <si>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</si>
  <si>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</si>
  <si>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</si>
  <si>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</si>
  <si>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</si>
  <si>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</si>
  <si>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</si>
  <si>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</si>
  <si>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</si>
  <si>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</si>
  <si>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</si>
  <si>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</si>
  <si>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</si>
  <si>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</si>
  <si>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</si>
  <si>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</si>
  <si>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</si>
  <si>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</si>
  <si>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</si>
  <si>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</si>
  <si>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</si>
  <si>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</si>
  <si>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</si>
  <si>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</si>
  <si>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</si>
  <si>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</si>
  <si>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</si>
  <si>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</si>
  <si>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</si>
  <si>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</si>
  <si>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</si>
  <si>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</si>
  <si>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</si>
  <si>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</si>
  <si>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</si>
  <si>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</si>
  <si>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</si>
  <si>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</si>
  <si>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</si>
  <si>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</si>
  <si>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</si>
  <si>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</si>
  <si>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</si>
  <si>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</si>
  <si>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</si>
  <si>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</si>
  <si>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</si>
  <si>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</si>
  <si>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</si>
  <si>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</si>
  <si>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</si>
  <si>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</si>
  <si>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</si>
  <si>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</si>
  <si>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</si>
  <si>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</si>
  <si>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</si>
  <si>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</si>
  <si>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</si>
  <si>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</si>
  <si>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</si>
  <si>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</si>
  <si>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</si>
  <si>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</si>
  <si>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</si>
  <si>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</si>
  <si>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</si>
  <si>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</si>
  <si>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</si>
  <si>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</si>
  <si>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</si>
  <si>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</si>
  <si>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</si>
  <si>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</si>
  <si>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</si>
  <si>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</si>
  <si>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</si>
  <si>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</si>
  <si>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</si>
  <si>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</si>
  <si>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</si>
  <si>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</si>
  <si>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</si>
  <si>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</si>
  <si>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</si>
  <si>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</si>
  <si>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</si>
  <si>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</si>
  <si>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</si>
  <si>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</si>
  <si>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</si>
  <si>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</si>
  <si>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</si>
  <si>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</si>
  <si>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</si>
  <si>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</si>
  <si>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</si>
  <si>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</si>
  <si>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</si>
  <si>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</si>
  <si>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</si>
  <si>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</si>
  <si>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</si>
  <si>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</si>
  <si>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</si>
  <si>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</si>
  <si>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</si>
  <si>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</si>
  <si>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</si>
  <si>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</si>
  <si>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</si>
  <si>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</si>
  <si>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</si>
  <si>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</si>
  <si>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</si>
  <si>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</si>
  <si>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</si>
  <si>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</si>
  <si>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</si>
  <si>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</si>
  <si>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</si>
  <si>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</si>
  <si>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</si>
  <si>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</si>
  <si>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</si>
  <si>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</si>
  <si>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</si>
  <si>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</si>
  <si>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</si>
  <si>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</si>
  <si>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</si>
  <si>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</si>
  <si>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</si>
  <si>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</si>
  <si>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</si>
  <si>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</si>
  <si>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</si>
  <si>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</si>
  <si>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</si>
  <si>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</si>
  <si>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</si>
  <si>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</si>
  <si>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</si>
  <si>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</si>
  <si>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</si>
  <si>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</si>
  <si>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</si>
  <si>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</si>
  <si>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</si>
  <si>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</si>
  <si>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</si>
  <si>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</si>
  <si>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</si>
  <si>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</si>
  <si>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</si>
  <si>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</si>
  <si>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</si>
  <si>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</si>
  <si>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</si>
  <si>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</si>
  <si>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</si>
  <si>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</si>
  <si>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</si>
  <si>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</si>
  <si>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</si>
  <si>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</si>
  <si>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</si>
  <si>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</si>
  <si>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</si>
  <si>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</si>
  <si>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</si>
  <si>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</si>
  <si>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</si>
  <si>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</si>
  <si>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</si>
  <si>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</si>
  <si>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</si>
  <si>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</si>
  <si>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</si>
  <si>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</si>
  <si>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</si>
  <si>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</si>
  <si>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</si>
  <si>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</si>
  <si>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</si>
  <si>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</si>
  <si>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</si>
  <si>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</si>
  <si>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</si>
  <si>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</si>
  <si>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</si>
  <si>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</si>
  <si>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</si>
  <si>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</si>
  <si>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</si>
  <si>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</si>
  <si>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</si>
  <si>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</si>
  <si>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</si>
  <si>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</si>
  <si>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</si>
  <si>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</si>
  <si>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</si>
  <si>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</si>
  <si>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</si>
  <si>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</si>
  <si>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</si>
  <si>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</si>
  <si>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</si>
  <si>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</si>
  <si>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</si>
  <si>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</si>
  <si>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</si>
  <si>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</si>
  <si>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</si>
  <si>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</si>
  <si>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</si>
  <si>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</si>
  <si>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</si>
  <si>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</si>
  <si>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</si>
  <si>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</si>
  <si>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</si>
  <si>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</si>
  <si>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</si>
  <si>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</si>
  <si>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</si>
  <si>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</si>
  <si>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</si>
  <si>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</si>
  <si>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</si>
  <si>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</si>
  <si>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</si>
  <si>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</si>
  <si>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</si>
  <si>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</si>
  <si>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</si>
  <si>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</si>
  <si>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</si>
  <si>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</si>
  <si>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</si>
  <si>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</si>
  <si>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</si>
  <si>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</si>
  <si>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</si>
  <si>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</si>
  <si>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</si>
  <si>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</si>
  <si>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</si>
  <si>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</si>
  <si>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</si>
  <si>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</si>
  <si>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</si>
  <si>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</si>
  <si>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</si>
  <si>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</si>
  <si>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</si>
  <si>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</si>
  <si>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</si>
  <si>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</si>
  <si>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</si>
  <si>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</si>
  <si>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</si>
  <si>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</si>
  <si>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</si>
  <si>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</si>
  <si>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</si>
  <si>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</si>
  <si>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</si>
  <si>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</si>
  <si>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</si>
  <si>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</si>
  <si>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</si>
  <si>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</si>
  <si>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</si>
  <si>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</si>
  <si>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</si>
  <si>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</si>
  <si>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</si>
  <si>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</si>
  <si>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</si>
  <si>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</si>
  <si>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</si>
  <si>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</si>
  <si>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</si>
  <si>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</si>
  <si>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</si>
  <si>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</si>
  <si>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</si>
  <si>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</si>
  <si>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</si>
  <si>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</si>
  <si>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</si>
  <si>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</si>
  <si>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</si>
  <si>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</si>
  <si>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</si>
  <si>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</si>
  <si>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</si>
  <si>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</si>
  <si>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</si>
  <si>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</si>
  <si>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</si>
  <si>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</si>
  <si>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</si>
  <si>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</si>
  <si>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</si>
  <si>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</si>
  <si>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</si>
  <si>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</si>
  <si>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</si>
  <si>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</si>
  <si>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</si>
  <si>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</si>
  <si>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</si>
  <si>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</si>
  <si>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</si>
  <si>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</si>
  <si>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</si>
  <si>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</si>
  <si>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</si>
  <si>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</si>
  <si>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</si>
  <si>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</si>
  <si>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</si>
  <si>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</si>
  <si>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</si>
  <si>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</si>
  <si>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</si>
  <si>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</si>
  <si>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</si>
  <si>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</si>
  <si>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</si>
  <si>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</si>
  <si>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</si>
  <si>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</si>
  <si>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</si>
  <si>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</si>
  <si>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</si>
  <si>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</si>
  <si>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</si>
  <si>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</si>
  <si>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</si>
  <si>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</si>
  <si>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</si>
  <si>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</si>
  <si>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</si>
  <si>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</si>
  <si>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</si>
  <si>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</si>
  <si>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</si>
  <si>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</si>
  <si>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</si>
  <si>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</si>
  <si>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</si>
  <si>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</si>
  <si>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</si>
  <si>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</si>
  <si>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</si>
  <si>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</si>
  <si>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</si>
  <si>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</si>
  <si>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</si>
  <si>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</si>
  <si>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</si>
  <si>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</si>
  <si>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</si>
  <si>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</si>
  <si>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</si>
  <si>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</si>
  <si>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</si>
  <si>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</si>
  <si>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</si>
  <si>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</si>
  <si>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</si>
  <si>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</si>
  <si>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</si>
  <si>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</si>
  <si>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</si>
  <si>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</si>
  <si>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</si>
  <si>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</si>
  <si>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</si>
  <si>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</si>
  <si>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</si>
  <si>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</si>
  <si>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</si>
  <si>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</si>
  <si>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</si>
  <si>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</si>
  <si>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</si>
  <si>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</si>
  <si>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</si>
  <si>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</si>
  <si>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</si>
  <si>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</si>
  <si>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</si>
  <si>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</si>
  <si>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</si>
  <si>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</si>
  <si>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</si>
  <si>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</si>
  <si>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</si>
  <si>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</si>
  <si>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</si>
  <si>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</si>
  <si>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</si>
  <si>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</si>
  <si>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</si>
  <si>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</si>
  <si>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</si>
  <si>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</si>
  <si>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</si>
  <si>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</si>
  <si>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</si>
  <si>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</si>
  <si>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</si>
  <si>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</si>
  <si>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</si>
  <si>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</si>
  <si>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</si>
  <si>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</si>
  <si>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</si>
  <si>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</si>
  <si>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</si>
  <si>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</si>
  <si>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</si>
  <si>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</si>
  <si>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</si>
  <si>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</si>
  <si>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</si>
  <si>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</si>
  <si>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</si>
  <si>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</si>
  <si>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</si>
  <si>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</si>
  <si>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</si>
  <si>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</si>
  <si>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</si>
  <si>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</si>
  <si>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</si>
  <si>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</si>
  <si>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</si>
  <si>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</si>
  <si>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</si>
  <si>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</si>
  <si>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</si>
  <si>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</si>
  <si>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</si>
  <si>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</si>
  <si>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</si>
  <si>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</si>
  <si>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</si>
  <si>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</si>
  <si>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</si>
  <si>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</si>
  <si>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</si>
  <si>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</si>
  <si>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</si>
  <si>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</si>
  <si>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</si>
  <si>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</si>
  <si>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</si>
  <si>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</si>
  <si>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</si>
  <si>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</si>
  <si>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</si>
  <si>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</si>
  <si>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</si>
  <si>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</si>
  <si>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</si>
  <si>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</si>
  <si>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</si>
  <si>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</si>
  <si>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</si>
  <si>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</si>
  <si>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</si>
  <si>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</si>
  <si>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</si>
  <si>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</si>
  <si>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</si>
  <si>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</si>
  <si>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</si>
  <si>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</si>
  <si>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</si>
  <si>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</si>
  <si>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</si>
  <si>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</si>
  <si>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</si>
  <si>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</si>
  <si>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</si>
  <si>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</si>
  <si>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</si>
  <si>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</si>
  <si>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</si>
  <si>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</si>
  <si>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</si>
  <si>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</si>
  <si>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</si>
  <si>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</si>
  <si>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</si>
  <si>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</si>
  <si>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</si>
  <si>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</si>
  <si>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</si>
  <si>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</si>
  <si>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</si>
  <si>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</si>
  <si>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</si>
  <si>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</si>
  <si>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</si>
  <si>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</si>
  <si>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</si>
  <si>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</si>
  <si>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</si>
  <si>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</si>
  <si>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</si>
  <si>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</si>
  <si>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</si>
  <si>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</si>
  <si>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</si>
  <si>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</si>
  <si>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</si>
  <si>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</si>
  <si>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</si>
  <si>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</si>
  <si>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</si>
  <si>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</si>
  <si>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</si>
  <si>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</si>
  <si>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</si>
  <si>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</si>
  <si>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</si>
  <si>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</si>
  <si>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</si>
  <si>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</si>
  <si>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</si>
  <si>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</si>
  <si>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</si>
  <si>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</si>
  <si>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</si>
  <si>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</si>
  <si>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</si>
  <si>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</si>
  <si>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</si>
  <si>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</si>
  <si>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</si>
  <si>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</si>
  <si>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</si>
  <si>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</si>
  <si>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</si>
  <si>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</si>
  <si>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</si>
  <si>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</si>
  <si>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</si>
  <si>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</si>
  <si>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</si>
  <si>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</si>
  <si>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</si>
  <si>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</si>
  <si>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</si>
  <si>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</si>
  <si>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</si>
  <si>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</si>
  <si>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</si>
  <si>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</si>
  <si>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</si>
  <si>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</si>
  <si>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</si>
  <si>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</si>
  <si>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</si>
  <si>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</si>
  <si>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</si>
  <si>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</si>
  <si>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</si>
  <si>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</si>
  <si>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</si>
  <si>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</si>
  <si>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</si>
  <si>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</si>
  <si>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</si>
  <si>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</si>
  <si>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</si>
  <si>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</si>
  <si>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</si>
  <si>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</si>
  <si>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</si>
  <si>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</si>
  <si>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</si>
  <si>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</si>
  <si>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</si>
  <si>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</si>
  <si>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</si>
  <si>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</si>
  <si>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</si>
  <si>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</si>
  <si>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</si>
  <si>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</si>
  <si>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</si>
  <si>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</si>
  <si>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</si>
  <si>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</si>
  <si>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</si>
  <si>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</si>
  <si>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</si>
  <si>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</si>
  <si>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</si>
  <si>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</si>
  <si>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</si>
  <si>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</si>
  <si>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</si>
  <si>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</si>
  <si>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</si>
  <si>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</si>
  <si>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</si>
  <si>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</si>
  <si>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</si>
  <si>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</si>
  <si>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</si>
  <si>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</si>
  <si>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</si>
  <si>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</si>
  <si>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</si>
  <si>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</si>
  <si>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</si>
  <si>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</si>
  <si>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</si>
  <si>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</si>
  <si>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</si>
  <si>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</si>
  <si>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</si>
  <si>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</si>
  <si>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</si>
  <si>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</si>
  <si>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</si>
  <si>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</si>
  <si>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</si>
  <si>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</si>
  <si>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</si>
  <si>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</si>
  <si>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</si>
  <si>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</si>
  <si>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</si>
  <si>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</si>
  <si>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</si>
  <si>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</si>
  <si>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</si>
  <si>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</si>
  <si>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</si>
  <si>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</si>
  <si>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</si>
  <si>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</si>
  <si>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</si>
  <si>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</si>
  <si>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</si>
  <si>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</si>
  <si>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</si>
  <si>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</si>
  <si>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</si>
  <si>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</si>
  <si>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</si>
  <si>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</si>
  <si>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</si>
  <si>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</si>
  <si>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</si>
  <si>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</si>
  <si>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</si>
  <si>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</si>
  <si>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</si>
  <si>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</si>
  <si>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</si>
  <si>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</si>
  <si>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</si>
  <si>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</si>
  <si>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</si>
  <si>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</si>
  <si>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</si>
  <si>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</si>
  <si>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</si>
  <si>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</si>
  <si>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</si>
  <si>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</si>
  <si>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</si>
  <si>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</si>
  <si>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</si>
  <si>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</si>
  <si>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</si>
  <si>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</si>
  <si>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</si>
  <si>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</si>
  <si>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</si>
  <si>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</si>
  <si>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</si>
  <si>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</si>
  <si>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</si>
  <si>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</si>
  <si>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</si>
  <si>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</si>
  <si>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</si>
  <si>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</si>
  <si>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</si>
  <si>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</si>
  <si>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</si>
  <si>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</si>
  <si>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</si>
  <si>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</si>
  <si>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</si>
  <si>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</si>
  <si>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</si>
  <si>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</si>
  <si>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</si>
  <si>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</si>
  <si>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</si>
  <si>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</si>
  <si>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</si>
  <si>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</si>
  <si>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</si>
  <si>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</si>
  <si>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</si>
  <si>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</si>
  <si>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</si>
  <si>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</si>
  <si>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</si>
  <si>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</si>
  <si>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</si>
  <si>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</si>
  <si>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</si>
  <si>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</si>
  <si>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</si>
  <si>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</si>
  <si>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</si>
  <si>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</si>
  <si>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</si>
  <si>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</si>
  <si>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</si>
  <si>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</si>
  <si>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</si>
  <si>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</si>
  <si>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</si>
  <si>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</si>
  <si>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</si>
  <si>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</si>
  <si>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</si>
  <si>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</si>
  <si>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</si>
  <si>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</si>
  <si>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</si>
  <si>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</si>
  <si>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</si>
  <si>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</si>
  <si>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</si>
  <si>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</si>
  <si>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</si>
  <si>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</si>
  <si>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</si>
  <si>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</si>
  <si>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</si>
  <si>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</si>
  <si>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</si>
  <si>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</si>
  <si>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</si>
  <si>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</si>
  <si>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</si>
  <si>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</si>
  <si>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</si>
  <si>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</si>
  <si>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</si>
  <si>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</si>
  <si>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</si>
  <si>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</si>
  <si>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</si>
  <si>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</si>
  <si>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</si>
  <si>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</si>
  <si>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</si>
  <si>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</si>
  <si>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</si>
  <si>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</si>
  <si>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</si>
  <si>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</si>
  <si>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</si>
  <si>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</si>
  <si>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</si>
  <si>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</si>
  <si>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</si>
  <si>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</si>
  <si>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</si>
  <si>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</si>
  <si>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</si>
  <si>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</si>
  <si>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</si>
  <si>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</si>
  <si>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</si>
  <si>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</si>
  <si>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</si>
  <si>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</si>
  <si>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</si>
  <si>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</si>
  <si>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</si>
  <si>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</si>
  <si>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</si>
  <si>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</si>
  <si>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</si>
  <si>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</si>
  <si>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</si>
  <si>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</si>
  <si>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</si>
  <si>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</si>
  <si>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</si>
  <si>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</si>
  <si>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</si>
  <si>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</si>
  <si>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</si>
  <si>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</si>
  <si>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</si>
  <si>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</si>
  <si>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</si>
  <si>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</si>
  <si>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</si>
  <si>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</si>
  <si>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</si>
  <si>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</si>
  <si>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</si>
  <si>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</si>
  <si>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</si>
  <si>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</si>
  <si>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</si>
  <si>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</si>
  <si>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</si>
  <si>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</si>
  <si>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</si>
  <si>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</si>
  <si>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</si>
  <si>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</si>
  <si>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</si>
  <si>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</si>
  <si>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</si>
  <si>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</si>
  <si>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</si>
  <si>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</si>
  <si>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</si>
  <si>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</si>
  <si>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</si>
  <si>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</si>
  <si>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</si>
  <si>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</si>
  <si>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</si>
  <si>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</si>
  <si>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</si>
  <si>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</si>
  <si>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</si>
  <si>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</si>
  <si>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</si>
  <si>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</si>
  <si>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</si>
  <si>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</si>
  <si>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</si>
  <si>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</si>
  <si>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</si>
  <si>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</si>
  <si>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</si>
  <si>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</si>
  <si>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</si>
  <si>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</si>
  <si>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</si>
  <si>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</si>
  <si>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</si>
  <si>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</si>
  <si>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</si>
  <si>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</si>
  <si>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</si>
  <si>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</si>
  <si>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</si>
  <si>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</si>
  <si>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</si>
  <si>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</si>
  <si>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</si>
  <si>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</si>
  <si>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</si>
  <si>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</si>
  <si>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</si>
  <si>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</si>
  <si>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</si>
  <si>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</si>
  <si>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</si>
  <si>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</si>
  <si>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</si>
  <si>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</si>
  <si>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</si>
  <si>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</si>
  <si>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</si>
  <si>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</si>
  <si>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</si>
  <si>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</si>
  <si>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</si>
  <si>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</si>
  <si>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</si>
  <si>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</si>
  <si>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</si>
  <si>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</si>
  <si>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</si>
  <si>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</si>
  <si>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</si>
  <si>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</si>
  <si>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</si>
  <si>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</si>
  <si>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</si>
  <si>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</si>
  <si>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</si>
  <si>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</si>
  <si>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</si>
  <si>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</si>
  <si>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</si>
  <si>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</si>
  <si>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</si>
  <si>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</si>
  <si>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</si>
  <si>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</si>
  <si>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</si>
  <si>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</si>
  <si>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</si>
  <si>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</si>
  <si>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</si>
  <si>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</si>
  <si>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</si>
  <si>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</si>
  <si>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</si>
  <si>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</si>
  <si>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</si>
  <si>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</si>
  <si>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</si>
  <si>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</si>
  <si>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</si>
  <si>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</si>
  <si>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</si>
  <si>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</si>
  <si>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</si>
  <si>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</si>
  <si>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</si>
  <si>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</si>
  <si>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</si>
  <si>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</si>
  <si>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</si>
  <si>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</si>
  <si>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</si>
  <si>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</si>
  <si>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</si>
  <si>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</si>
  <si>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</si>
  <si>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</si>
  <si>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</si>
  <si>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</si>
  <si>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</si>
  <si>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</si>
  <si>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</si>
  <si>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</si>
  <si>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</si>
  <si>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</si>
  <si>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</si>
  <si>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</si>
  <si>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</si>
  <si>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</si>
  <si>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</si>
  <si>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</si>
  <si>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</si>
  <si>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</si>
  <si>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</si>
  <si>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</si>
  <si>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</si>
  <si>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</si>
  <si>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</si>
  <si>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</si>
  <si>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</si>
  <si>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</si>
  <si>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</si>
  <si>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</si>
  <si>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</si>
  <si>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</si>
  <si>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</si>
  <si>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</si>
  <si>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</si>
  <si>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</si>
  <si>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</si>
  <si>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</si>
  <si>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</si>
  <si>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</si>
  <si>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</si>
  <si>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</si>
  <si>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</si>
  <si>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</si>
  <si>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</si>
  <si>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</si>
  <si>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</si>
  <si>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</si>
  <si>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</si>
  <si>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</si>
  <si>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</si>
  <si>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</si>
  <si>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</si>
  <si>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</si>
  <si>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</si>
  <si>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</si>
  <si>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</si>
  <si>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</si>
  <si>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</si>
  <si>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</si>
  <si>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</si>
  <si>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</si>
  <si>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</si>
  <si>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</si>
  <si>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</si>
  <si>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</si>
  <si>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</si>
  <si>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</si>
  <si>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</si>
  <si>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</si>
  <si>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</si>
  <si>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</si>
  <si>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</si>
  <si>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</si>
  <si>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</si>
  <si>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</si>
  <si>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</si>
  <si>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</si>
  <si>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</si>
  <si>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</si>
  <si>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</si>
  <si>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</si>
  <si>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</si>
  <si>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</si>
  <si>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</si>
  <si>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</si>
  <si>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</si>
  <si>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</si>
  <si>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</si>
  <si>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</si>
  <si>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</si>
  <si>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</si>
  <si>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</si>
  <si>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</si>
  <si>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</si>
  <si>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</si>
  <si>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</si>
  <si>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</si>
  <si>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</si>
  <si>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</si>
  <si>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</si>
  <si>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</si>
  <si>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</si>
  <si>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</si>
  <si>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</si>
  <si>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</si>
  <si>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</si>
  <si>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</si>
  <si>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</si>
  <si>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</si>
  <si>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</si>
  <si>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</si>
  <si>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</si>
  <si>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</si>
  <si>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</si>
  <si>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</si>
  <si>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</si>
  <si>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</si>
  <si>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</si>
  <si>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</si>
  <si>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</si>
  <si>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</si>
  <si>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</si>
  <si>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</si>
  <si>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</si>
  <si>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</si>
  <si>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</si>
  <si>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</si>
  <si>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</si>
  <si>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</si>
  <si>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</si>
  <si>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</si>
  <si>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</si>
  <si>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</si>
  <si>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</si>
  <si>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</si>
  <si>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</si>
  <si>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</si>
  <si>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</si>
  <si>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</si>
  <si>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</si>
  <si>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</si>
  <si>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</si>
  <si>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</si>
  <si>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</si>
  <si>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</si>
  <si>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</si>
  <si>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</si>
  <si>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</si>
  <si>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</si>
  <si>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</si>
  <si>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</si>
  <si>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</si>
  <si>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</si>
  <si>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</si>
  <si>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</si>
  <si>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</si>
  <si>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</si>
  <si>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</si>
  <si>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</si>
  <si>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</si>
  <si>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</si>
  <si>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</si>
  <si>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</si>
  <si>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</si>
  <si>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</si>
  <si>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</si>
  <si>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</si>
  <si>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</si>
  <si>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</si>
  <si>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</si>
  <si>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</si>
  <si>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</si>
  <si>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</si>
  <si>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</si>
  <si>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</si>
  <si>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</si>
  <si>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</si>
  <si>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</si>
  <si>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</si>
  <si>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</si>
  <si>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</si>
  <si>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</si>
  <si>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</si>
  <si>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</si>
  <si>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</si>
  <si>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</si>
  <si>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</si>
  <si>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</si>
  <si>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</si>
  <si>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</si>
  <si>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</si>
  <si>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</si>
  <si>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</si>
  <si>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</si>
  <si>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</si>
  <si>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</si>
  <si>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</si>
  <si>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</si>
  <si>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</si>
  <si>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</si>
  <si>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</si>
  <si>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</si>
  <si>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</si>
  <si>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</si>
  <si>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</si>
  <si>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</si>
  <si>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</si>
  <si>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</si>
  <si>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</si>
  <si>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</si>
  <si>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</si>
  <si>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</si>
  <si>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</si>
  <si>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</si>
  <si>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</si>
  <si>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</si>
  <si>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</si>
  <si>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</si>
  <si>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</si>
  <si>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</si>
  <si>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</si>
  <si>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</si>
  <si>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</si>
  <si>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</si>
  <si>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</si>
  <si>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</si>
  <si>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</si>
  <si>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</si>
  <si>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</si>
  <si>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</si>
  <si>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</si>
  <si>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</si>
  <si>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</si>
  <si>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</si>
  <si>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</si>
  <si>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</si>
  <si>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</si>
  <si>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</si>
  <si>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</si>
  <si>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</si>
  <si>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</si>
  <si>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</si>
  <si>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</si>
  <si>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</si>
  <si>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</si>
  <si>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</si>
  <si>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</si>
  <si>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</si>
  <si>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</si>
  <si>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</si>
  <si>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</si>
  <si>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</si>
  <si>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</si>
  <si>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</si>
  <si>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</si>
  <si>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</si>
  <si>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</si>
  <si>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</si>
  <si>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</si>
  <si>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</si>
  <si>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</si>
  <si>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</si>
  <si>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</si>
  <si>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</si>
  <si>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</si>
  <si>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</si>
  <si>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</si>
  <si>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</si>
  <si>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</si>
  <si>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</si>
  <si>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</si>
  <si>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</si>
  <si>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</si>
  <si>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</si>
  <si>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</si>
  <si>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</si>
  <si>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</si>
  <si>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</si>
  <si>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</si>
  <si>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</si>
  <si>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</si>
  <si>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</si>
  <si>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</si>
  <si>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</si>
  <si>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</si>
  <si>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</si>
  <si>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</si>
  <si>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</si>
  <si>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</si>
  <si>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</si>
  <si>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</si>
  <si>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</si>
  <si>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</si>
  <si>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</si>
  <si>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</si>
  <si>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</si>
  <si>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</si>
  <si>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</si>
  <si>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</si>
  <si>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</si>
  <si>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</si>
  <si>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</si>
  <si>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</si>
  <si>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</si>
  <si>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</si>
  <si>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</si>
  <si>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</si>
  <si>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</si>
  <si>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</si>
  <si>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</si>
  <si>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</si>
  <si>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</si>
  <si>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</si>
  <si>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</si>
  <si>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</si>
  <si>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</si>
  <si>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</si>
  <si>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</si>
  <si>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</si>
  <si>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</si>
  <si>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</si>
  <si>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</si>
  <si>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</si>
  <si>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</si>
  <si>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</si>
  <si>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</si>
  <si>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</si>
  <si>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</si>
  <si>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</si>
  <si>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</si>
  <si>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</si>
  <si>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</si>
  <si>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</si>
  <si>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</si>
  <si>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</si>
  <si>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</si>
  <si>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</si>
  <si>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</si>
  <si>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</si>
  <si>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</si>
  <si>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</si>
  <si>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</si>
  <si>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</si>
  <si>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</si>
  <si>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</si>
  <si>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</si>
  <si>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</si>
  <si>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</si>
  <si>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</si>
  <si>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</si>
  <si>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</si>
  <si>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</si>
  <si>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</si>
  <si>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</si>
  <si>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</si>
  <si>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</si>
  <si>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</si>
  <si>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</si>
  <si>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</si>
  <si>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</si>
  <si>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</si>
  <si>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</si>
  <si>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</si>
  <si>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</si>
  <si>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</si>
  <si>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</si>
  <si>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</si>
  <si>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</si>
  <si>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</si>
  <si>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</si>
  <si>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</si>
  <si>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</si>
  <si>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</si>
  <si>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</si>
  <si>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</si>
  <si>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</si>
  <si>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</si>
  <si>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</si>
  <si>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</si>
  <si>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</si>
  <si>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</si>
  <si>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</si>
  <si>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</si>
  <si>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</si>
  <si>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</si>
  <si>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</si>
  <si>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</si>
  <si>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</si>
  <si>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</si>
  <si>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</si>
  <si>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</si>
  <si>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</si>
  <si>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</si>
  <si>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</si>
  <si>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</si>
  <si>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</si>
  <si>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</si>
  <si>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</si>
  <si>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</si>
  <si>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</si>
  <si>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</si>
  <si>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</si>
  <si>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</si>
  <si>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</si>
  <si>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</si>
  <si>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</si>
  <si>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</si>
  <si>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</si>
  <si>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</si>
  <si>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</si>
  <si>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</si>
  <si>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</si>
  <si>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</si>
  <si>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</si>
  <si>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</si>
  <si>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</si>
  <si>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</si>
  <si>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</si>
  <si>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</si>
  <si>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</si>
  <si>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</si>
  <si>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</si>
  <si>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</si>
  <si>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</si>
  <si>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</si>
  <si>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</si>
  <si>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</si>
  <si>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</si>
  <si>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</si>
  <si>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</si>
  <si>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</si>
  <si>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</si>
  <si>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</si>
  <si>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</si>
  <si>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</si>
  <si>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</si>
  <si>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</si>
  <si>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</si>
  <si>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</si>
  <si>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</si>
  <si>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</si>
  <si>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</si>
  <si>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</si>
  <si>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</si>
  <si>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</si>
  <si>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</si>
  <si>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</si>
  <si>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</si>
  <si>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</si>
  <si>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</si>
  <si>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</si>
  <si>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</si>
  <si>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</si>
  <si>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</si>
  <si>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</si>
  <si>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</si>
  <si>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</si>
  <si>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</si>
  <si>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</si>
  <si>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</si>
  <si>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</si>
  <si>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</si>
  <si>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</si>
  <si>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</si>
  <si>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</si>
  <si>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</si>
  <si>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</si>
  <si>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</si>
  <si>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</si>
  <si>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</si>
  <si>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</si>
  <si>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</si>
  <si>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</si>
  <si>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</si>
  <si>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</si>
  <si>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</si>
  <si>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</si>
  <si>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</si>
  <si>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</si>
  <si>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</si>
  <si>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</si>
  <si>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</si>
  <si>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</si>
  <si>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</si>
  <si>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</si>
  <si>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</si>
  <si>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</si>
  <si>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</si>
  <si>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</si>
  <si>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</si>
  <si>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</si>
  <si>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</si>
  <si>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</si>
  <si>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</si>
  <si>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</si>
  <si>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</si>
  <si>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</si>
  <si>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</si>
  <si>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</si>
  <si>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</si>
  <si>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</si>
  <si>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</si>
  <si>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</si>
  <si>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</si>
  <si>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</si>
  <si>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</si>
  <si>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</si>
  <si>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</si>
  <si>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</si>
  <si>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</si>
  <si>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</si>
  <si>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</si>
  <si>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</si>
  <si>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</si>
  <si>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</si>
  <si>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</si>
  <si>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</si>
  <si>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</si>
  <si>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</si>
  <si>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</si>
  <si>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</si>
  <si>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</si>
  <si>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</si>
  <si>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</si>
  <si>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</si>
  <si>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</si>
  <si>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</si>
  <si>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</si>
  <si>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</si>
  <si>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</si>
  <si>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</si>
  <si>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</si>
  <si>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</si>
  <si>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</si>
  <si>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</si>
  <si>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</si>
  <si>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</si>
  <si>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</si>
  <si>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</si>
  <si>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</si>
  <si>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</si>
  <si>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</si>
  <si>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</si>
  <si>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</si>
  <si>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</si>
  <si>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</si>
  <si>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</si>
  <si>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</si>
  <si>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</si>
  <si>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</si>
  <si>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</si>
  <si>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</si>
  <si>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</si>
  <si>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</si>
  <si>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</si>
  <si>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</si>
  <si>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</si>
  <si>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</si>
  <si>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</si>
  <si>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</si>
  <si>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</si>
  <si>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</si>
  <si>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</si>
  <si>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</si>
  <si>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</si>
  <si>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</si>
  <si>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</si>
  <si>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</si>
  <si>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</si>
  <si>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</si>
  <si>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</si>
  <si>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</si>
  <si>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</si>
  <si>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</si>
  <si>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</si>
  <si>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</si>
  <si>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</si>
  <si>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</si>
  <si>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</si>
  <si>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</si>
  <si>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</si>
  <si>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</si>
  <si>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</si>
  <si>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</si>
  <si>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</si>
  <si>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</si>
  <si>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</si>
  <si>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</si>
  <si>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</si>
  <si>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</si>
  <si>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</si>
  <si>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</si>
  <si>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</si>
  <si>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</si>
  <si>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</si>
  <si>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</si>
  <si>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</si>
  <si>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</si>
  <si>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</si>
  <si>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</si>
  <si>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</si>
  <si>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</si>
  <si>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</si>
  <si>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</si>
  <si>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</si>
  <si>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</si>
  <si>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</si>
  <si>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</si>
  <si>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</si>
  <si>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</si>
  <si>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</si>
  <si>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</si>
  <si>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</si>
  <si>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</si>
  <si>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</si>
  <si>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</si>
  <si>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</si>
  <si>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</si>
  <si>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</si>
  <si>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</si>
  <si>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</si>
  <si>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</si>
  <si>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</si>
  <si>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</si>
  <si>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</si>
  <si>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</si>
  <si>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</si>
  <si>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</si>
  <si>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</si>
  <si>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</si>
  <si>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</si>
  <si>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</si>
  <si>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</si>
  <si>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</si>
  <si>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</si>
  <si>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</si>
  <si>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</si>
  <si>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</si>
  <si>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</si>
  <si>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</si>
  <si>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</si>
  <si>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</si>
  <si>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</si>
  <si>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</si>
  <si>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</si>
  <si>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</si>
  <si>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</si>
  <si>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</si>
  <si>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</si>
  <si>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</si>
  <si>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</si>
  <si>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</si>
  <si>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</si>
  <si>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</si>
  <si>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</si>
  <si>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</si>
  <si>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</si>
  <si>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</si>
  <si>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</si>
  <si>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</si>
  <si>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</si>
  <si>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</si>
  <si>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</si>
  <si>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</si>
  <si>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</si>
  <si>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</si>
  <si>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</si>
  <si>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</si>
  <si>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</si>
  <si>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</si>
  <si>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</si>
  <si>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</si>
  <si>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</si>
  <si>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</si>
  <si>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</si>
  <si>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</si>
  <si>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</si>
  <si>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</si>
  <si>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</si>
  <si>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</si>
  <si>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</si>
  <si>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</si>
  <si>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</si>
  <si>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</si>
  <si>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</si>
  <si>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</si>
  <si>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</si>
  <si>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</si>
  <si>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</si>
  <si>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</si>
  <si>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</si>
  <si>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</si>
  <si>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</si>
  <si>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</si>
  <si>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</si>
  <si>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</si>
  <si>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</si>
  <si>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</si>
  <si>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</si>
  <si>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</si>
  <si>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</si>
  <si>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</si>
  <si>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</si>
  <si>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</si>
  <si>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</si>
  <si>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</si>
  <si>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</si>
  <si>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</si>
  <si>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</si>
  <si>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</si>
  <si>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</si>
  <si>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</si>
  <si>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</si>
  <si>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</si>
  <si>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</si>
  <si>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</si>
  <si>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</si>
  <si>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</si>
  <si>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</si>
  <si>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</si>
  <si>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</si>
  <si>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</si>
  <si>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</si>
  <si>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</si>
  <si>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</si>
  <si>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</si>
  <si>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</si>
  <si>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</si>
  <si>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</si>
  <si>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</si>
  <si>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</si>
  <si>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</si>
  <si>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</si>
  <si>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</si>
  <si>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</si>
  <si>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</si>
  <si>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</si>
  <si>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</si>
  <si>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</si>
  <si>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</si>
  <si>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</si>
  <si>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</si>
  <si>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</si>
  <si>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</si>
  <si>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</si>
  <si>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</si>
  <si>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</si>
  <si>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</si>
  <si>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</si>
  <si>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</si>
  <si>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</si>
  <si>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</si>
  <si>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</si>
  <si>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</si>
  <si>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</si>
  <si>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</si>
  <si>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</si>
  <si>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</si>
  <si>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</si>
  <si>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</si>
  <si>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</si>
  <si>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</si>
  <si>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</si>
  <si>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</si>
  <si>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</si>
  <si>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</si>
  <si>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</si>
  <si>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</si>
  <si>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</si>
  <si>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</si>
  <si>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</si>
  <si>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</si>
  <si>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</si>
  <si>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</si>
  <si>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</si>
  <si>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</si>
  <si>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</si>
  <si>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</si>
  <si>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</si>
  <si>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</si>
  <si>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</si>
  <si>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</si>
  <si>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</si>
  <si>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</si>
  <si>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</si>
  <si>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</si>
  <si>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</si>
  <si>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</si>
  <si>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</si>
  <si>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</si>
  <si>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</si>
  <si>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</si>
  <si>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</si>
  <si>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</si>
  <si>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</si>
  <si>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</si>
  <si>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</si>
  <si>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</si>
  <si>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</si>
  <si>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</si>
  <si>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</si>
  <si>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</si>
  <si>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</si>
  <si>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</si>
  <si>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</si>
  <si>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</si>
  <si>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</si>
  <si>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</si>
  <si>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</si>
  <si>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</si>
  <si>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</si>
  <si>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</si>
  <si>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</si>
  <si>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</si>
  <si>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</si>
  <si>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</si>
  <si>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</si>
  <si>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</si>
  <si>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</si>
  <si>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</si>
  <si>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</si>
  <si>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</si>
  <si>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</si>
  <si>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</si>
  <si>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</si>
  <si>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</si>
  <si>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</si>
  <si>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</si>
  <si>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</si>
  <si>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</si>
  <si>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</si>
  <si>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</si>
  <si>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</si>
  <si>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</si>
  <si>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</si>
  <si>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</si>
  <si>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</si>
  <si>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</si>
  <si>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</si>
  <si>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</si>
  <si>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</si>
  <si>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</si>
  <si>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</si>
  <si>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</si>
  <si>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</si>
  <si>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</si>
  <si>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</si>
  <si>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</si>
  <si>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</si>
  <si>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</si>
  <si>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</si>
  <si>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</si>
  <si>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</si>
  <si>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</si>
  <si>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</si>
  <si>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</si>
  <si>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</si>
  <si>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</si>
  <si>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</si>
  <si>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</si>
  <si>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</si>
  <si>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</si>
  <si>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</si>
  <si>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</si>
  <si>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</si>
  <si>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</si>
  <si>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</si>
  <si>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</si>
  <si>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</si>
  <si>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</si>
  <si>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</si>
  <si>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</si>
  <si>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</si>
  <si>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</si>
  <si>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</si>
  <si>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</si>
  <si>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</si>
  <si>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</si>
  <si>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</si>
  <si>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</si>
  <si>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</si>
  <si>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</si>
  <si>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</si>
  <si>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</si>
  <si>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</si>
  <si>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</si>
  <si>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</si>
  <si>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</si>
  <si>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</si>
  <si>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</si>
  <si>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</si>
  <si>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</si>
  <si>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</si>
  <si>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</si>
  <si>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</si>
  <si>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</si>
  <si>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</si>
  <si>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</si>
  <si>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</si>
  <si>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</si>
  <si>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</si>
  <si>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</si>
  <si>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</si>
  <si>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</si>
  <si>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</si>
  <si>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</si>
  <si>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</si>
  <si>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</si>
  <si>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</si>
  <si>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</si>
  <si>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</si>
  <si>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</si>
  <si>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</si>
  <si>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</si>
  <si>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</si>
  <si>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</si>
  <si>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</si>
  <si>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</si>
  <si>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</si>
  <si>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</si>
  <si>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</si>
  <si>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</si>
  <si>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</si>
  <si>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</si>
  <si>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</si>
  <si>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</si>
  <si>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</si>
  <si>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</si>
  <si>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</si>
  <si>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</si>
  <si>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</si>
  <si>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</si>
  <si>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</si>
  <si>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</si>
  <si>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</si>
  <si>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</si>
  <si>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</si>
  <si>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</si>
  <si>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</si>
  <si>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</si>
  <si>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</si>
  <si>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</si>
  <si>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</si>
  <si>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</si>
  <si>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</si>
  <si>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</si>
  <si>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</si>
  <si>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</si>
  <si>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</si>
  <si>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</si>
  <si>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</si>
  <si>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</si>
  <si>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</si>
  <si>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</si>
  <si>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</si>
  <si>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</si>
  <si>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</si>
  <si>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</si>
  <si>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</si>
  <si>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</si>
  <si>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</si>
  <si>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</si>
  <si>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</si>
  <si>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</si>
  <si>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</si>
  <si>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</si>
  <si>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</si>
  <si>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</si>
  <si>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</si>
  <si>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</si>
  <si>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</si>
  <si>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</si>
  <si>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</si>
  <si>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</si>
  <si>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</si>
  <si>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</si>
  <si>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</si>
  <si>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</si>
  <si>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</si>
  <si>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</si>
  <si>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</si>
  <si>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</si>
  <si>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</si>
  <si>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</si>
  <si>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</si>
  <si>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</si>
  <si>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</si>
  <si>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</si>
  <si>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</si>
  <si>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</si>
  <si>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</si>
  <si>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</si>
  <si>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</si>
  <si>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</si>
  <si>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</si>
  <si>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</si>
  <si>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</si>
  <si>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</si>
  <si>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</si>
  <si>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</si>
  <si>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</si>
  <si>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</si>
  <si>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</si>
  <si>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</si>
  <si>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</si>
  <si>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</si>
  <si>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</si>
  <si>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</si>
  <si>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</si>
  <si>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</si>
  <si>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</si>
  <si>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</si>
  <si>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</si>
  <si>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</si>
  <si>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</si>
  <si>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</si>
  <si>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</si>
  <si>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</si>
  <si>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</si>
  <si>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</si>
  <si>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</si>
  <si>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</si>
  <si>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</si>
  <si>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</si>
  <si>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</si>
  <si>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</si>
  <si>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</si>
  <si>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</si>
  <si>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</si>
  <si>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</si>
  <si>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</si>
  <si>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</si>
  <si>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</si>
  <si>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</si>
  <si>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</si>
  <si>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</si>
  <si>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</si>
  <si>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</si>
  <si>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</si>
  <si>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</si>
  <si>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</si>
  <si>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</si>
  <si>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</si>
  <si>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</si>
  <si>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</si>
  <si>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</si>
  <si>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</si>
  <si>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</si>
  <si>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</si>
  <si>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</si>
  <si>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</si>
  <si>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</si>
  <si>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</si>
  <si>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</si>
  <si>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</si>
  <si>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</si>
  <si>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</si>
  <si>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</si>
  <si>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</si>
  <si>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</si>
  <si>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</si>
  <si>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</si>
  <si>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</si>
  <si>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</si>
  <si>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</si>
  <si>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</si>
  <si>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</si>
  <si>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</si>
  <si>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</si>
  <si>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</si>
  <si>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</si>
  <si>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</si>
  <si>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</si>
  <si>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</si>
  <si>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</si>
  <si>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</si>
  <si>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</si>
  <si>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</si>
  <si>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</si>
  <si>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</si>
  <si>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</si>
  <si>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</si>
  <si>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</si>
  <si>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</si>
  <si>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</si>
  <si>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</si>
  <si>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</si>
  <si>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</si>
  <si>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</si>
  <si>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</si>
  <si>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</si>
  <si>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</si>
  <si>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</si>
  <si>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</si>
  <si>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</si>
  <si>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</si>
  <si>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</si>
  <si>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</si>
  <si>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</si>
  <si>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</si>
  <si>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</si>
  <si>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</si>
  <si>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</si>
  <si>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</si>
  <si>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</si>
  <si>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</si>
  <si>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</si>
  <si>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</si>
  <si>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</si>
  <si>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</si>
  <si>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</si>
  <si>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</si>
  <si>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</si>
  <si>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</si>
  <si>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</si>
  <si>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</si>
  <si>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</si>
  <si>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</si>
  <si>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</si>
  <si>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</si>
  <si>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</si>
  <si>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</si>
  <si>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</si>
  <si>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</si>
  <si>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</si>
  <si>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</si>
  <si>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</si>
  <si>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</si>
  <si>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</si>
  <si>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</si>
  <si>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</si>
  <si>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</si>
  <si>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</si>
  <si>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</si>
  <si>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</si>
  <si>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</si>
  <si>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</si>
  <si>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</si>
  <si>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</si>
  <si>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</si>
  <si>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</si>
  <si>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</si>
  <si>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</si>
  <si>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</si>
  <si>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</si>
  <si>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</si>
  <si>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</si>
  <si>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</si>
  <si>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</si>
  <si>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</si>
  <si>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</si>
  <si>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</si>
  <si>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</si>
  <si>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</si>
  <si>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</si>
  <si>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</si>
  <si>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</si>
  <si>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</si>
  <si>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</si>
  <si>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</si>
  <si>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</si>
  <si>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</si>
  <si>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</si>
  <si>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</si>
  <si>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</si>
  <si>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</si>
  <si>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</si>
  <si>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</si>
  <si>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</si>
  <si>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</si>
  <si>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</si>
  <si>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</si>
  <si>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</si>
  <si>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</si>
  <si>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</si>
  <si>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</si>
  <si>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</si>
  <si>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</si>
  <si>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</si>
  <si>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</si>
  <si>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</si>
  <si>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</si>
  <si>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</si>
  <si>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</si>
  <si>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</si>
  <si>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</si>
  <si>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</si>
  <si>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</si>
  <si>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</si>
  <si>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</si>
  <si>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</si>
  <si>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</si>
  <si>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</si>
  <si>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</si>
  <si>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</si>
  <si>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</si>
  <si>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</si>
  <si>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</si>
  <si>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</si>
  <si>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</si>
  <si>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</si>
  <si>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</si>
  <si>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</si>
  <si>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</si>
  <si>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</si>
  <si>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</si>
  <si>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</si>
  <si>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</si>
  <si>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</si>
  <si>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</si>
  <si>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</si>
  <si>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</si>
  <si>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</si>
  <si>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</si>
  <si>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</si>
  <si>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</si>
  <si>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</si>
  <si>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</si>
  <si>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</si>
  <si>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</si>
  <si>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</si>
  <si>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</si>
  <si>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</si>
  <si>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</si>
  <si>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</si>
  <si>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</si>
  <si>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</si>
  <si>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</si>
  <si>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</si>
  <si>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</si>
  <si>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</si>
  <si>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</si>
  <si>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</si>
  <si>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</si>
  <si>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</si>
  <si>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</si>
  <si>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</si>
  <si>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</si>
  <si>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</si>
  <si>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</si>
  <si>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</si>
  <si>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</si>
  <si>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</si>
  <si>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</si>
  <si>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</si>
  <si>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</si>
  <si>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</si>
  <si>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</si>
  <si>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</si>
  <si>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</si>
  <si>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</si>
  <si>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</si>
  <si>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</si>
  <si>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</si>
  <si>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</si>
  <si>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</si>
  <si>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</si>
  <si>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</si>
  <si>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</si>
  <si>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</si>
  <si>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</si>
  <si>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</si>
  <si>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</si>
  <si>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</si>
  <si>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</si>
  <si>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</si>
  <si>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</si>
  <si>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</si>
  <si>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</si>
  <si>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</si>
  <si>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</si>
  <si>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</si>
  <si>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</si>
  <si>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</si>
  <si>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</si>
  <si>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</si>
  <si>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</si>
  <si>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</si>
  <si>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</si>
  <si>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</si>
  <si>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</si>
  <si>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</si>
  <si>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</si>
  <si>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</si>
  <si>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</si>
  <si>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</si>
  <si>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</si>
  <si>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</si>
  <si>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</si>
  <si>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</si>
  <si>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</si>
  <si>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</si>
  <si>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</si>
  <si>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</si>
  <si>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</si>
  <si>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</si>
  <si>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</si>
  <si>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</si>
  <si>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</si>
  <si>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</si>
  <si>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</si>
  <si>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</si>
  <si>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</si>
  <si>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</si>
  <si>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</si>
  <si>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</si>
  <si>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</si>
  <si>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</si>
  <si>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</si>
  <si>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</si>
  <si>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</si>
  <si>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</si>
  <si>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</si>
  <si>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</si>
  <si>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</si>
  <si>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</si>
  <si>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</si>
  <si>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</si>
  <si>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</si>
  <si>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</si>
  <si>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</si>
  <si>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</si>
  <si>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</si>
  <si>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</si>
  <si>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</si>
  <si>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</si>
  <si>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</si>
  <si>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</si>
  <si>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</si>
  <si>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</si>
  <si>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</si>
  <si>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</si>
  <si>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</si>
  <si>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</si>
  <si>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</si>
  <si>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</si>
  <si>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</si>
  <si>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</si>
  <si>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</si>
  <si>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</si>
  <si>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</si>
  <si>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</si>
  <si>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</si>
  <si>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</si>
  <si>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</si>
  <si>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</si>
  <si>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</si>
  <si>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</si>
  <si>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</si>
  <si>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</si>
  <si>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</si>
  <si>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</si>
  <si>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</si>
  <si>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</si>
  <si>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</si>
  <si>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</si>
  <si>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</si>
  <si>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</si>
  <si>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</si>
  <si>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</si>
  <si>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</si>
  <si>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</si>
  <si>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</si>
  <si>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</si>
  <si>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</si>
  <si>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</si>
  <si>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</si>
  <si>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</si>
  <si>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</si>
  <si>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</si>
  <si>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</si>
  <si>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</si>
  <si>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</si>
  <si>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</si>
  <si>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</si>
  <si>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</si>
  <si>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</si>
  <si>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</si>
  <si>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</si>
  <si>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</si>
  <si>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</si>
  <si>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</si>
  <si>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</si>
  <si>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</si>
  <si>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</si>
  <si>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</si>
  <si>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</si>
  <si>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</si>
  <si>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</si>
  <si>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</si>
  <si>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</si>
  <si>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</si>
  <si>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</si>
  <si>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</si>
  <si>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</si>
  <si>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</si>
  <si>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</si>
  <si>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</si>
  <si>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</si>
  <si>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</si>
  <si>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</si>
  <si>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</si>
  <si>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</si>
  <si>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</si>
  <si>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</si>
  <si>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</si>
  <si>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</si>
  <si>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</si>
  <si>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</si>
  <si>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</si>
  <si>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</si>
  <si>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</si>
  <si>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</si>
  <si>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</si>
  <si>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</si>
  <si>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</si>
  <si>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</si>
  <si>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</si>
  <si>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</si>
  <si>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</si>
  <si>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</si>
  <si>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</si>
  <si>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</si>
  <si>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</si>
  <si>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</si>
  <si>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</si>
  <si>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</si>
  <si>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</si>
  <si>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</si>
  <si>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</si>
  <si>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</si>
  <si>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</si>
  <si>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</si>
  <si>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</si>
  <si>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</si>
  <si>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</si>
  <si>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</si>
  <si>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</si>
  <si>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</si>
  <si>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</si>
  <si>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</si>
  <si>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</si>
  <si>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</si>
  <si>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</si>
  <si>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</si>
  <si>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</si>
  <si>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</si>
  <si>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</si>
  <si>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</si>
  <si>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</si>
  <si>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</si>
  <si>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</si>
  <si>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</si>
  <si>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</si>
  <si>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</si>
  <si>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</si>
  <si>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</si>
  <si>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</si>
  <si>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</si>
  <si>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</si>
  <si>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</si>
  <si>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</si>
  <si>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</si>
  <si>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</si>
  <si>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</si>
  <si>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</si>
  <si>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</si>
  <si>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</si>
  <si>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</si>
  <si>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</si>
  <si>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</si>
  <si>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</si>
  <si>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</si>
  <si>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</si>
  <si>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</si>
  <si>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</si>
  <si>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</si>
  <si>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</si>
  <si>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</si>
  <si>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</si>
  <si>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</si>
  <si>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</si>
  <si>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</si>
  <si>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</si>
  <si>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</si>
  <si>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</si>
  <si>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</si>
  <si>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</si>
  <si>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</si>
  <si>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</si>
  <si>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</si>
  <si>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</si>
  <si>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</si>
  <si>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</si>
  <si>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</si>
  <si>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</si>
  <si>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</si>
  <si>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</si>
  <si>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</si>
  <si>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</si>
  <si>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</si>
  <si>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</si>
  <si>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</si>
  <si>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</si>
  <si>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</si>
  <si>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</si>
  <si>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</si>
  <si>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</si>
  <si>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</si>
  <si>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</si>
  <si>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</si>
  <si>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</si>
  <si>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</si>
  <si>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</si>
  <si>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</si>
  <si>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</si>
  <si>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</si>
  <si>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</si>
  <si>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</si>
  <si>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</si>
  <si>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</si>
  <si>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</si>
  <si>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</si>
  <si>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</si>
  <si>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</si>
  <si>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</si>
  <si>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</si>
  <si>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</si>
  <si>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</si>
  <si>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</si>
  <si>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</si>
  <si>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</si>
  <si>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</si>
  <si>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</si>
  <si>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</si>
  <si>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</si>
  <si>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</si>
  <si>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</si>
  <si>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</si>
  <si>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</si>
  <si>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</si>
  <si>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</si>
  <si>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</si>
  <si>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</si>
  <si>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</si>
  <si>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</si>
  <si>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</si>
  <si>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</si>
  <si>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</si>
  <si>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</si>
  <si>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</si>
  <si>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</si>
  <si>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</si>
  <si>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</si>
  <si>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</si>
  <si>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</si>
  <si>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</si>
  <si>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</si>
  <si>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</si>
  <si>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</si>
  <si>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</si>
  <si>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</si>
  <si>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</si>
  <si>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</si>
  <si>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</si>
  <si>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</si>
  <si>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</si>
  <si>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</si>
  <si>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</si>
  <si>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</si>
  <si>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</si>
  <si>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</si>
  <si>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</si>
  <si>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</si>
  <si>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</si>
  <si>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</si>
  <si>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</si>
  <si>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</si>
  <si>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</si>
  <si>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</si>
  <si>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</si>
  <si>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</si>
  <si>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</si>
  <si>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</si>
  <si>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</si>
  <si>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</si>
  <si>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</si>
  <si>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</si>
  <si>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</si>
  <si>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</si>
  <si>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</si>
  <si>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</si>
  <si>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</si>
  <si>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</si>
  <si>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</si>
  <si>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</si>
  <si>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</si>
  <si>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</si>
  <si>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</si>
  <si>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</si>
  <si>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</si>
  <si>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</si>
  <si>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</si>
  <si>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</si>
  <si>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</si>
  <si>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</si>
  <si>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</si>
  <si>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</si>
  <si>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</si>
  <si>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</si>
  <si>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</si>
  <si>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</si>
  <si>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</si>
  <si>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</si>
  <si>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</si>
  <si>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</si>
  <si>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</si>
  <si>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</si>
  <si>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</si>
  <si>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</si>
  <si>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</si>
  <si>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</si>
  <si>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</si>
  <si>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</si>
  <si>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</si>
  <si>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</si>
  <si>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</si>
  <si>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</si>
  <si>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</si>
  <si>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</si>
  <si>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</si>
  <si>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</si>
  <si>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</si>
  <si>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</si>
  <si>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</si>
  <si>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</si>
  <si>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</si>
  <si>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</si>
  <si>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</si>
  <si>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</si>
  <si>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</si>
  <si>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</si>
  <si>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</si>
  <si>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</si>
  <si>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</si>
  <si>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</si>
  <si>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</si>
  <si>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</si>
  <si>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</si>
  <si>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</si>
  <si>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</si>
  <si>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</si>
  <si>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</si>
  <si>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</si>
  <si>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</si>
  <si>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</si>
  <si>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</si>
  <si>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</si>
  <si>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</si>
  <si>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</si>
  <si>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</si>
  <si>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</si>
  <si>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</si>
  <si>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</si>
  <si>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</si>
  <si>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</si>
  <si>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</si>
  <si>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</si>
  <si>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</si>
  <si>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</si>
  <si>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</si>
  <si>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</si>
  <si>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</si>
  <si>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</si>
  <si>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</si>
  <si>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</si>
  <si>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</si>
  <si>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</si>
  <si>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</si>
  <si>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</si>
  <si>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</si>
  <si>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</si>
  <si>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</si>
  <si>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</si>
  <si>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</si>
  <si>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</si>
  <si>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</si>
  <si>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</si>
  <si>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</si>
  <si>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</si>
  <si>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</si>
  <si>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</si>
  <si>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</si>
  <si>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</si>
  <si>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</si>
  <si>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</si>
  <si>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</si>
  <si>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</si>
  <si>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</si>
  <si>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</si>
  <si>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</si>
  <si>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</si>
  <si>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</si>
  <si>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</si>
  <si>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</si>
  <si>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</si>
  <si>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</si>
  <si>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</si>
  <si>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</si>
  <si>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</si>
  <si>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</si>
  <si>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</si>
  <si>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</si>
  <si>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</si>
  <si>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</si>
  <si>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</si>
  <si>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</si>
  <si>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</si>
  <si>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</si>
  <si>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</si>
  <si>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</si>
  <si>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</si>
  <si>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</si>
  <si>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</si>
  <si>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</si>
  <si>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</si>
  <si>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</si>
  <si>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</si>
  <si>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</si>
  <si>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</si>
  <si>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</si>
  <si>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</si>
  <si>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</si>
  <si>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</si>
  <si>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</si>
  <si>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</si>
  <si>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</si>
  <si>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</si>
  <si>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</si>
  <si>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</si>
  <si>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</si>
  <si>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</si>
  <si>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</si>
  <si>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</si>
  <si>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</si>
  <si>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</si>
  <si>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</si>
  <si>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</si>
  <si>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</si>
  <si>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</si>
  <si>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</si>
  <si>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</si>
  <si>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</si>
  <si>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</si>
  <si>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</si>
  <si>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</si>
  <si>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</si>
  <si>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</si>
  <si>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</si>
  <si>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</si>
  <si>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</si>
  <si>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</si>
  <si>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</si>
  <si>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</si>
  <si>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</si>
  <si>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</si>
  <si>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</si>
  <si>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</si>
  <si>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</si>
  <si>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</si>
  <si>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</si>
  <si>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</si>
  <si>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</si>
  <si>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</si>
  <si>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</si>
  <si>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</si>
  <si>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</si>
  <si>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</si>
  <si>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</si>
  <si>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</si>
  <si>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</si>
  <si>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</si>
  <si>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</si>
  <si>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</si>
  <si>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</si>
  <si>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</si>
  <si>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</si>
  <si>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</si>
  <si>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</si>
  <si>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</si>
  <si>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</si>
  <si>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</si>
  <si>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</si>
  <si>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</si>
  <si>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</si>
  <si>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</si>
  <si>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</si>
  <si>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</si>
  <si>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</si>
  <si>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</si>
  <si>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</si>
  <si>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</si>
  <si>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</si>
  <si>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</si>
  <si>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</si>
  <si>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</si>
  <si>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</si>
  <si>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</si>
  <si>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</si>
  <si>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</si>
  <si>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</si>
  <si>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</si>
  <si>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</si>
  <si>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</si>
  <si>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</si>
  <si>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</si>
  <si>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</si>
  <si>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</si>
  <si>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</si>
  <si>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</si>
  <si>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</si>
  <si>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</si>
  <si>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</si>
  <si>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</si>
  <si>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</si>
  <si>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</si>
  <si>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</si>
  <si>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</si>
  <si>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</si>
  <si>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</si>
  <si>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</si>
  <si>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</si>
  <si>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</si>
  <si>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</si>
  <si>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</si>
  <si>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</si>
  <si>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</si>
  <si>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</si>
  <si>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</si>
  <si>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</si>
  <si>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</si>
  <si>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</si>
  <si>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</si>
  <si>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</si>
  <si>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</si>
  <si>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</si>
  <si>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</si>
  <si>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</si>
  <si>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</si>
  <si>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</si>
  <si>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</si>
  <si>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</si>
  <si>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</si>
  <si>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</si>
  <si>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</si>
  <si>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</si>
  <si>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</si>
  <si>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</si>
  <si>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</si>
  <si>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</si>
  <si>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</si>
  <si>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</si>
  <si>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</si>
  <si>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</si>
  <si>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</si>
  <si>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</si>
  <si>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</si>
  <si>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</si>
  <si>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</si>
  <si>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</si>
  <si>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</si>
  <si>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</si>
  <si>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</si>
  <si>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</si>
  <si>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</si>
  <si>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</si>
  <si>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</si>
  <si>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</si>
  <si>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</si>
  <si>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</si>
  <si>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</si>
  <si>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</si>
  <si>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</si>
  <si>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</si>
  <si>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</si>
  <si>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</si>
  <si>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</si>
  <si>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</si>
  <si>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</si>
  <si>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</si>
  <si>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</si>
  <si>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</si>
  <si>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</si>
  <si>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</si>
  <si>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</si>
  <si>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</si>
  <si>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</si>
  <si>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</si>
  <si>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</si>
  <si>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</si>
  <si>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</si>
  <si>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</si>
  <si>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</si>
  <si>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</si>
  <si>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</si>
  <si>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</si>
  <si>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</si>
  <si>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</si>
  <si>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</si>
  <si>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</si>
  <si>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</si>
  <si>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</si>
  <si>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</si>
  <si>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</si>
  <si>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</si>
  <si>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</si>
  <si>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</si>
  <si>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</si>
  <si>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</si>
  <si>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</si>
  <si>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</si>
  <si>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</si>
  <si>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</si>
  <si>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</si>
  <si>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</si>
  <si>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</si>
  <si>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</si>
  <si>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</si>
  <si>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</si>
  <si>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</si>
  <si>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</si>
  <si>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</si>
  <si>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</si>
  <si>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</si>
  <si>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</si>
  <si>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</si>
  <si>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</si>
  <si>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</si>
  <si>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</si>
  <si>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</si>
  <si>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</si>
  <si>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</si>
  <si>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</si>
  <si>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</si>
  <si>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</si>
  <si>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</si>
  <si>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</si>
  <si>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</si>
  <si>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</si>
  <si>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</si>
  <si>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</si>
  <si>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</si>
  <si>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</si>
  <si>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</si>
  <si>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</si>
  <si>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</si>
  <si>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</si>
  <si>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</si>
  <si>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</si>
  <si>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</si>
  <si>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</si>
  <si>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</si>
  <si>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</si>
  <si>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</si>
  <si>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</si>
  <si>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</si>
  <si>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</si>
  <si>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</si>
  <si>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</si>
  <si>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</si>
  <si>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</si>
  <si>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</si>
  <si>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</si>
  <si>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</si>
  <si>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</si>
  <si>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</si>
  <si>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</si>
  <si>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</si>
  <si>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</si>
  <si>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</si>
  <si>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</si>
  <si>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</si>
  <si>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</si>
  <si>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</si>
  <si>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</si>
  <si>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</si>
  <si>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</si>
  <si>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</si>
  <si>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</si>
  <si>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</si>
  <si>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</si>
  <si>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</si>
  <si>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</si>
  <si>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</si>
  <si>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</si>
  <si>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</si>
  <si>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</si>
  <si>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</si>
  <si>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</si>
  <si>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</si>
  <si>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</si>
  <si>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</si>
  <si>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</si>
  <si>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</si>
  <si>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</si>
  <si>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</si>
  <si>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</si>
  <si>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</si>
  <si>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</si>
  <si>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</si>
  <si>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</si>
  <si>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</si>
  <si>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</si>
  <si>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</si>
  <si>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</si>
  <si>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</si>
  <si>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</si>
  <si>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</si>
  <si>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</si>
  <si>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</si>
  <si>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</si>
  <si>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</si>
  <si>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</si>
  <si>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</si>
  <si>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</si>
  <si>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</si>
  <si>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</si>
  <si>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</si>
  <si>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</si>
  <si>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</si>
  <si>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</si>
  <si>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</si>
  <si>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</si>
  <si>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</si>
  <si>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</si>
  <si>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</si>
  <si>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</si>
  <si>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</si>
  <si>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</si>
  <si>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</si>
  <si>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</si>
  <si>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</si>
  <si>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</si>
  <si>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</si>
  <si>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</si>
  <si>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</si>
  <si>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</si>
  <si>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</si>
  <si>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</si>
  <si>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</si>
  <si>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</si>
  <si>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</si>
  <si>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</si>
  <si>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</si>
  <si>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</si>
  <si>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</si>
  <si>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</si>
  <si>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</si>
  <si>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</si>
  <si>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</si>
  <si>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</si>
  <si>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</si>
  <si>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</si>
  <si>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</si>
  <si>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</si>
  <si>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</si>
  <si>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</si>
  <si>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</si>
  <si>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</si>
  <si>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</si>
  <si>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</si>
  <si>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</si>
  <si>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</si>
  <si>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</si>
  <si>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</si>
  <si>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</si>
  <si>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</si>
  <si>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</si>
  <si>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</si>
  <si>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</si>
  <si>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</si>
  <si>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</si>
  <si>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</si>
  <si>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</si>
  <si>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</si>
  <si>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</si>
  <si>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</si>
  <si>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</si>
  <si>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</si>
  <si>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</si>
  <si>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</si>
  <si>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</si>
  <si>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</si>
  <si>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</si>
  <si>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</si>
  <si>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</si>
  <si>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</si>
  <si>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</si>
  <si>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</si>
  <si>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</si>
  <si>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</si>
  <si>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</si>
  <si>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</si>
  <si>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</si>
  <si>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</si>
  <si>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</si>
  <si>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</si>
  <si>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</si>
  <si>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</si>
  <si>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</si>
  <si>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</si>
  <si>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</si>
  <si>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</si>
  <si>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</si>
  <si>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</si>
  <si>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</si>
  <si>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</si>
  <si>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</si>
  <si>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</si>
  <si>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</si>
  <si>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</si>
  <si>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</si>
  <si>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</si>
  <si>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</si>
  <si>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</si>
  <si>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</si>
  <si>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</si>
  <si>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</si>
  <si>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</si>
  <si>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</si>
  <si>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</si>
  <si>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</si>
  <si>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</si>
  <si>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</si>
  <si>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</si>
  <si>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</si>
  <si>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</si>
  <si>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</si>
  <si>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</si>
  <si>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</si>
  <si>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</si>
  <si>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</si>
  <si>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</si>
  <si>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</si>
  <si>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</si>
  <si>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</si>
  <si>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</si>
  <si>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</si>
  <si>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</si>
  <si>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</si>
  <si>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</si>
  <si>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</si>
  <si>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</si>
  <si>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</si>
  <si>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</si>
  <si>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</si>
  <si>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</si>
  <si>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</si>
  <si>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</si>
  <si>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</si>
  <si>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</si>
  <si>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</si>
  <si>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</si>
  <si>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</si>
  <si>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</si>
  <si>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</si>
  <si>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</si>
  <si>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</si>
  <si>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</si>
  <si>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</si>
  <si>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</si>
  <si>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</si>
  <si>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</si>
  <si>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</si>
  <si>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</si>
  <si>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</si>
  <si>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</si>
  <si>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</si>
  <si>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</si>
  <si>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</si>
  <si>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</si>
  <si>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</si>
  <si>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</si>
  <si>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</si>
  <si>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</si>
  <si>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</si>
  <si>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</si>
  <si>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</si>
  <si>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</si>
  <si>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</si>
  <si>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</si>
  <si>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</si>
  <si>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</si>
  <si>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</si>
  <si>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</si>
  <si>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</si>
  <si>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</si>
  <si>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</si>
  <si>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</si>
  <si>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</si>
  <si>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</si>
  <si>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</si>
  <si>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</si>
  <si>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</si>
  <si>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</si>
  <si>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</si>
  <si>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</si>
  <si>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</si>
  <si>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</si>
  <si>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</si>
  <si>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</si>
  <si>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</si>
  <si>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</si>
  <si>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</si>
  <si>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</si>
  <si>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</si>
  <si>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</si>
  <si>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</si>
  <si>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</si>
  <si>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</si>
  <si>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</si>
  <si>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</si>
  <si>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</si>
  <si>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</si>
  <si>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</si>
  <si>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</si>
  <si>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</si>
  <si>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</si>
  <si>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</si>
  <si>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</si>
  <si>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</si>
  <si>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</si>
  <si>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</si>
  <si>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</si>
  <si>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</si>
  <si>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</si>
  <si>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</si>
  <si>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</si>
  <si>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</si>
  <si>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</si>
  <si>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</si>
  <si>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</si>
  <si>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</si>
  <si>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</si>
  <si>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</si>
  <si>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</si>
  <si>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</si>
  <si>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</si>
  <si>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</si>
  <si>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</si>
  <si>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</si>
  <si>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</si>
  <si>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</si>
  <si>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</si>
  <si>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</si>
  <si>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</si>
  <si>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</si>
  <si>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</si>
  <si>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</si>
  <si>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</si>
  <si>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</si>
  <si>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</si>
  <si>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</si>
  <si>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</si>
  <si>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</si>
  <si>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</si>
  <si>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</si>
  <si>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</si>
  <si>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</si>
  <si>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</si>
  <si>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</si>
  <si>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</si>
  <si>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</si>
  <si>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</si>
  <si>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</si>
  <si>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</si>
  <si>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</si>
  <si>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</si>
  <si>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</si>
  <si>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</si>
  <si>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</si>
  <si>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</si>
  <si>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</si>
  <si>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</si>
  <si>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</si>
  <si>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</si>
  <si>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</si>
  <si>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</si>
  <si>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</si>
  <si>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</si>
  <si>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</si>
  <si>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</si>
  <si>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</si>
  <si>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</si>
  <si>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</si>
  <si>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</si>
  <si>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</si>
  <si>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</si>
  <si>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</si>
  <si>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</si>
  <si>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</si>
  <si>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</si>
  <si>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</si>
  <si>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</si>
  <si>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</si>
  <si>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</si>
  <si>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</si>
  <si>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</si>
  <si>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</si>
  <si>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</si>
  <si>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</si>
  <si>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</si>
  <si>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</si>
  <si>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</si>
  <si>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</si>
  <si>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</si>
  <si>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</si>
  <si>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</si>
  <si>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</si>
  <si>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</si>
  <si>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</si>
  <si>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</si>
  <si>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</si>
  <si>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</si>
  <si>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</si>
  <si>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</si>
  <si>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</si>
  <si>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</si>
  <si>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</si>
  <si>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</si>
  <si>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</si>
  <si>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</si>
  <si>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</si>
  <si>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</si>
  <si>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</si>
  <si>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</si>
  <si>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</si>
  <si>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</si>
  <si>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</si>
  <si>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</si>
  <si>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</si>
  <si>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</si>
  <si>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</si>
  <si>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</si>
  <si>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</si>
  <si>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</si>
  <si>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</si>
  <si>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</si>
  <si>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</si>
  <si>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</si>
  <si>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</si>
  <si>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</si>
  <si>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</si>
  <si>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</si>
  <si>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</si>
  <si>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</si>
  <si>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</si>
  <si>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</si>
  <si>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</si>
  <si>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</si>
  <si>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</si>
  <si>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</si>
  <si>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</si>
  <si>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</si>
  <si>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</si>
  <si>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</si>
  <si>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</si>
  <si>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</si>
  <si>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</si>
  <si>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</si>
  <si>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</si>
  <si>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</si>
  <si>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</si>
  <si>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</si>
  <si>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</si>
  <si>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</si>
  <si>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</si>
  <si>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</si>
  <si>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</si>
  <si>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</si>
  <si>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</si>
  <si>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</si>
  <si>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</si>
  <si>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</si>
  <si>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</si>
  <si>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</si>
  <si>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</si>
  <si>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</si>
  <si>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</si>
  <si>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</si>
  <si>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</si>
  <si>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</si>
  <si>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</si>
  <si>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</si>
  <si>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</si>
  <si>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</si>
  <si>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</si>
  <si>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</si>
  <si>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</si>
  <si>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</si>
  <si>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</si>
  <si>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</si>
  <si>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</si>
  <si>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</si>
  <si>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</si>
  <si>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</si>
  <si>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</si>
  <si>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</si>
  <si>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</si>
  <si>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</si>
  <si>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</si>
  <si>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</si>
  <si>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</si>
  <si>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</si>
  <si>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</si>
  <si>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</si>
  <si>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</si>
  <si>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</si>
  <si>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</si>
  <si>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</si>
  <si>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</si>
  <si>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</si>
  <si>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</si>
  <si>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</si>
  <si>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</si>
  <si>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</si>
  <si>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</si>
  <si>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</si>
  <si>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</si>
  <si>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</si>
  <si>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</si>
  <si>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</si>
  <si>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</si>
  <si>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</si>
  <si>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</si>
  <si>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</si>
  <si>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</si>
  <si>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</si>
  <si>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</si>
  <si>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</si>
  <si>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</si>
  <si>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</si>
  <si>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</si>
  <si>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</si>
  <si>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</si>
  <si>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</si>
  <si>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</si>
  <si>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</si>
  <si>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</si>
  <si>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</si>
  <si>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</si>
  <si>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</si>
  <si>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</si>
  <si>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</si>
  <si>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</si>
  <si>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</si>
  <si>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</si>
  <si>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</si>
  <si>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</si>
  <si>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</si>
  <si>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</si>
  <si>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</si>
  <si>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</si>
  <si>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</si>
  <si>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</si>
  <si>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</si>
  <si>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</si>
  <si>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</si>
  <si>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</si>
  <si>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</si>
  <si>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</si>
  <si>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</si>
  <si>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</si>
  <si>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</si>
  <si>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</si>
  <si>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</si>
  <si>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</si>
  <si>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</si>
  <si>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</si>
  <si>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</si>
  <si>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</si>
  <si>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</si>
  <si>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</si>
  <si>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</si>
  <si>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</si>
  <si>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</si>
  <si>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</si>
  <si>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</si>
  <si>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</si>
  <si>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</si>
  <si>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</si>
  <si>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</si>
  <si>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</si>
  <si>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</si>
  <si>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</si>
  <si>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</si>
  <si>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</si>
  <si>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</si>
  <si>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</si>
  <si>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</si>
  <si>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</si>
  <si>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</si>
  <si>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</si>
  <si>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</si>
  <si>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</si>
  <si>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</si>
  <si>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</si>
  <si>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</si>
  <si>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</si>
  <si>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</si>
  <si>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</si>
  <si>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</si>
  <si>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</si>
  <si>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</si>
  <si>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</si>
  <si>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</si>
  <si>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</si>
  <si>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</si>
  <si>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</si>
  <si>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</si>
  <si>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</si>
  <si>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</si>
  <si>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</si>
  <si>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</si>
  <si>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</si>
  <si>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</si>
  <si>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</si>
  <si>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</si>
  <si>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</si>
  <si>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</si>
  <si>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</si>
  <si>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</si>
  <si>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</si>
  <si>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</si>
  <si>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</si>
  <si>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</si>
  <si>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</si>
  <si>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</si>
  <si>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</si>
  <si>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</si>
  <si>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</si>
  <si>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</si>
  <si>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</si>
  <si>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</si>
  <si>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</si>
  <si>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</si>
  <si>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</si>
  <si>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</si>
  <si>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</si>
  <si>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</si>
  <si>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</si>
  <si>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</si>
  <si>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</si>
  <si>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</si>
  <si>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</si>
  <si>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</si>
  <si>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</si>
  <si>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</si>
  <si>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</si>
  <si>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</si>
  <si>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</si>
  <si>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</si>
  <si>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</si>
  <si>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</si>
  <si>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</si>
  <si>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</si>
  <si>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</si>
  <si>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</si>
  <si>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</si>
  <si>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</si>
  <si>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</si>
  <si>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</si>
  <si>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</si>
  <si>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</si>
  <si>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</si>
  <si>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</si>
  <si>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</si>
  <si>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</si>
  <si>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</si>
  <si>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</si>
  <si>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</si>
  <si>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</si>
  <si>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</si>
  <si>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</si>
  <si>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</si>
  <si>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</si>
  <si>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</si>
  <si>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</si>
  <si>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</si>
  <si>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</si>
  <si>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</si>
  <si>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</si>
  <si>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</si>
  <si>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</si>
  <si>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</si>
  <si>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</si>
  <si>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</si>
  <si>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</si>
  <si>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</si>
  <si>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</si>
  <si>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</si>
  <si>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</si>
  <si>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</si>
  <si>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</si>
  <si>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</si>
  <si>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</si>
  <si>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</si>
  <si>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</si>
  <si>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</si>
  <si>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</si>
  <si>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</si>
  <si>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</si>
  <si>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</si>
  <si>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</si>
  <si>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</si>
  <si>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</si>
  <si>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</si>
  <si>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</si>
  <si>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</si>
  <si>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</si>
  <si>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</si>
  <si>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</si>
  <si>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</si>
  <si>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</si>
  <si>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</si>
  <si>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</si>
  <si>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</si>
  <si>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</si>
  <si>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</si>
  <si>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</si>
  <si>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</si>
  <si>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</si>
  <si>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</si>
  <si>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</si>
  <si>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</si>
  <si>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</si>
  <si>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</si>
  <si>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</si>
  <si>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</si>
  <si>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</si>
  <si>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</si>
  <si>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</si>
  <si>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</si>
  <si>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</si>
  <si>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</si>
  <si>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</si>
  <si>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</si>
  <si>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</si>
  <si>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</si>
  <si>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</si>
  <si>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</si>
  <si>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</si>
  <si>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</si>
  <si>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</si>
  <si>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</si>
  <si>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</si>
  <si>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</si>
  <si>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</si>
  <si>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</si>
  <si>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</si>
  <si>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</si>
  <si>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</si>
  <si>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</si>
  <si>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</si>
  <si>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</si>
  <si>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</si>
  <si>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</si>
  <si>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</si>
  <si>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</si>
  <si>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</si>
  <si>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</si>
  <si>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</si>
  <si>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</si>
  <si>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</si>
  <si>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</si>
  <si>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</si>
  <si>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</si>
  <si>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</si>
  <si>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</si>
  <si>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</si>
  <si>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</si>
  <si>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</si>
  <si>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</si>
  <si>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</si>
  <si>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</si>
  <si>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</si>
  <si>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</si>
  <si>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</si>
  <si>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</si>
  <si>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</si>
  <si>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</si>
  <si>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</si>
  <si>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</si>
  <si>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</si>
  <si>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</si>
  <si>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</si>
  <si>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</si>
  <si>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</si>
  <si>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</si>
  <si>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</si>
  <si>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</si>
  <si>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</si>
  <si>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</si>
  <si>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</si>
  <si>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</si>
  <si>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</si>
  <si>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</si>
  <si>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</si>
  <si>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</si>
  <si>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</si>
  <si>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</si>
  <si>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</si>
  <si>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</si>
  <si>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</si>
  <si>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</si>
  <si>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</si>
  <si>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</si>
  <si>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</si>
  <si>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</si>
  <si>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</si>
  <si>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</si>
  <si>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</si>
  <si>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</si>
  <si>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</si>
  <si>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</si>
  <si>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</si>
  <si>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</si>
  <si>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</si>
  <si>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</si>
  <si>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</si>
  <si>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</si>
  <si>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</si>
  <si>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</si>
  <si>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</si>
  <si>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</si>
  <si>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</si>
  <si>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</si>
  <si>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</si>
  <si>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</si>
  <si>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</si>
  <si>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</si>
  <si>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</si>
  <si>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</si>
  <si>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</si>
  <si>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</si>
  <si>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</si>
  <si>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</si>
  <si>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</si>
  <si>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</si>
  <si>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</si>
  <si>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</si>
  <si>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</si>
  <si>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</si>
  <si>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</si>
  <si>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</si>
  <si>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</si>
  <si>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</si>
  <si>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</si>
  <si>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</si>
  <si>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</si>
  <si>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</si>
  <si>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</si>
  <si>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</si>
  <si>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</si>
  <si>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</si>
  <si>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</si>
  <si>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</si>
  <si>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</si>
  <si>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</si>
  <si>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</si>
  <si>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</si>
  <si>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</si>
  <si>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</si>
  <si>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</si>
  <si>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</si>
  <si>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</si>
  <si>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</si>
  <si>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</si>
  <si>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</si>
  <si>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</si>
  <si>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</si>
  <si>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</si>
  <si>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</si>
  <si>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</si>
  <si>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</si>
  <si>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</si>
  <si>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</si>
  <si>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</si>
  <si>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</si>
  <si>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</si>
  <si>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</si>
  <si>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</si>
  <si>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</si>
  <si>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</si>
  <si>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</si>
  <si>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</si>
  <si>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</si>
  <si>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</si>
  <si>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</si>
  <si>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</si>
  <si>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</si>
  <si>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</si>
  <si>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</si>
  <si>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</si>
  <si>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</si>
  <si>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</si>
  <si>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</si>
  <si>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</si>
  <si>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</si>
  <si>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</si>
  <si>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</si>
  <si>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</si>
  <si>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</si>
  <si>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</si>
  <si>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</si>
  <si>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</si>
  <si>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</si>
  <si>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</si>
  <si>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</si>
  <si>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</si>
  <si>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</si>
  <si>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</si>
  <si>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</si>
  <si>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</si>
  <si>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</si>
  <si>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</si>
  <si>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</si>
  <si>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</si>
  <si>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</si>
  <si>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</si>
  <si>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</si>
  <si>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</si>
  <si>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</si>
  <si>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</si>
  <si>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</si>
  <si>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</si>
  <si>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</si>
  <si>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</si>
  <si>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</si>
  <si>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</si>
  <si>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</si>
  <si>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</si>
  <si>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</si>
  <si>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</si>
  <si>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</si>
  <si>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</si>
  <si>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</si>
  <si>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</si>
  <si>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</si>
  <si>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</si>
  <si>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</si>
  <si>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</si>
  <si>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</si>
  <si>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</si>
  <si>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</si>
  <si>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</si>
  <si>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</si>
  <si>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</si>
  <si>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</si>
  <si>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</si>
  <si>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</si>
  <si>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</si>
  <si>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</si>
  <si>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</si>
  <si>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</si>
  <si>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</si>
  <si>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</si>
  <si>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</si>
  <si>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</si>
  <si>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</si>
  <si>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</si>
  <si>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</si>
  <si>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</si>
  <si>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</si>
  <si>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</si>
  <si>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</si>
  <si>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</si>
  <si>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</si>
  <si>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</si>
  <si>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</si>
  <si>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</si>
  <si>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</si>
  <si>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</si>
  <si>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</si>
  <si>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</si>
  <si>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</si>
  <si>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</si>
  <si>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</si>
  <si>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</si>
  <si>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</si>
  <si>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</si>
  <si>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</si>
  <si>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</si>
  <si>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</si>
  <si>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</si>
  <si>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</si>
  <si>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</si>
  <si>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</si>
  <si>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</si>
  <si>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</si>
  <si>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</si>
  <si>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</si>
  <si>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</si>
  <si>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</si>
  <si>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</si>
  <si>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</si>
  <si>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</si>
  <si>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</si>
  <si>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</si>
  <si>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</si>
  <si>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</si>
  <si>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</si>
  <si>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</si>
  <si>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</si>
  <si>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</si>
  <si>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</si>
  <si>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</si>
  <si>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</si>
  <si>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</si>
  <si>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</si>
  <si>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</si>
  <si>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</si>
  <si>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</si>
  <si>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</si>
  <si>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</si>
  <si>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</si>
  <si>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</si>
  <si>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</si>
  <si>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</si>
  <si>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</si>
  <si>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</si>
  <si>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</si>
  <si>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</si>
  <si>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</si>
  <si>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</si>
  <si>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</si>
  <si>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</si>
  <si>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</si>
  <si>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</si>
  <si>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</si>
  <si>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</si>
  <si>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</si>
  <si>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</si>
  <si>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</si>
  <si>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</si>
  <si>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</si>
  <si>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</si>
  <si>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</si>
  <si>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</si>
  <si>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</si>
  <si>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</si>
  <si>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</si>
  <si>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</si>
  <si>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</si>
  <si>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</si>
  <si>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</si>
  <si>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</si>
  <si>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</si>
  <si>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</si>
  <si>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</si>
  <si>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</si>
  <si>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</si>
  <si>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</si>
  <si>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</si>
  <si>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</si>
  <si>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</si>
  <si>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</si>
  <si>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</si>
  <si>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</si>
  <si>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</si>
  <si>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</si>
  <si>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</si>
  <si>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</si>
  <si>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</si>
  <si>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</si>
  <si>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</si>
  <si>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</si>
  <si>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</si>
  <si>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</si>
  <si>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</si>
  <si>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</si>
  <si>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</si>
  <si>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</si>
  <si>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</si>
  <si>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</si>
  <si>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</si>
  <si>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</si>
  <si>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</si>
  <si>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</si>
  <si>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</si>
  <si>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</si>
  <si>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</si>
  <si>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</si>
  <si>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</si>
  <si>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</si>
  <si>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</si>
  <si>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</si>
  <si>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</si>
  <si>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</si>
  <si>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</si>
  <si>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</si>
  <si>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</si>
  <si>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</si>
  <si>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</si>
  <si>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</si>
  <si>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</si>
  <si>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</si>
  <si>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</si>
  <si>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</si>
  <si>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</si>
  <si>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</si>
  <si>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</si>
  <si>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</si>
  <si>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</si>
  <si>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</si>
  <si>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</si>
  <si>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</si>
  <si>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</si>
  <si>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</si>
  <si>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</si>
  <si>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</si>
  <si>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</si>
  <si>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</si>
  <si>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</si>
  <si>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</si>
  <si>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</si>
  <si>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</si>
  <si>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</si>
  <si>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</si>
  <si>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</si>
  <si>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</si>
  <si>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</si>
  <si>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</si>
  <si>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</si>
  <si>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</si>
  <si>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</si>
  <si>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</si>
  <si>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</si>
  <si>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</si>
  <si>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</si>
  <si>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</si>
  <si>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</si>
  <si>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</si>
  <si>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</si>
  <si>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</si>
  <si>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</si>
  <si>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</si>
  <si>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</si>
  <si>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</si>
  <si>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</si>
  <si>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</si>
  <si>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</si>
  <si>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</si>
  <si>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</si>
  <si>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</si>
  <si>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</si>
  <si>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</si>
  <si>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</si>
  <si>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</si>
  <si>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</si>
  <si>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</si>
  <si>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</si>
  <si>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</si>
  <si>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</si>
  <si>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</si>
  <si>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</si>
  <si>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</si>
  <si>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</si>
  <si>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</si>
  <si>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</si>
  <si>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</si>
  <si>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</si>
  <si>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</si>
  <si>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</si>
  <si>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</si>
  <si>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</si>
  <si>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</si>
  <si>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</si>
  <si>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</si>
  <si>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</si>
  <si>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</si>
  <si>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</si>
  <si>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</si>
  <si>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</si>
  <si>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</si>
  <si>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</si>
  <si>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</si>
  <si>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</si>
  <si>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</si>
  <si>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</si>
  <si>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</si>
  <si>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</si>
  <si>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</si>
  <si>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</si>
  <si>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</si>
  <si>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</si>
  <si>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</si>
  <si>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</si>
  <si>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</si>
  <si>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</si>
  <si>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</si>
  <si>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</si>
  <si>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</si>
  <si>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</si>
  <si>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</si>
  <si>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</si>
  <si>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</si>
  <si>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</si>
  <si>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</si>
  <si>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</si>
  <si>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</si>
  <si>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</si>
  <si>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</si>
  <si>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</si>
  <si>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</si>
  <si>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</si>
  <si>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</si>
  <si>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</si>
  <si>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</si>
  <si>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</si>
  <si>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</si>
  <si>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</si>
  <si>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</si>
  <si>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</si>
  <si>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</si>
  <si>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</si>
  <si>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</si>
  <si>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</si>
  <si>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</si>
  <si>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</si>
  <si>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</si>
  <si>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</si>
  <si>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</si>
  <si>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</si>
  <si>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</si>
  <si>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</si>
  <si>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</si>
  <si>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</si>
  <si>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</si>
  <si>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</si>
  <si>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</si>
  <si>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</si>
  <si>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</si>
  <si>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</si>
  <si>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</si>
  <si>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</si>
  <si>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</si>
  <si>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</si>
  <si>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</si>
  <si>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</si>
  <si>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</si>
  <si>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</si>
  <si>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</si>
  <si>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</si>
  <si>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</si>
  <si>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</si>
  <si>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</si>
  <si>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</si>
  <si>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</si>
  <si>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</si>
  <si>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</si>
  <si>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</si>
  <si>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</si>
  <si>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</si>
  <si>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</si>
  <si>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</si>
  <si>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</si>
  <si>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</si>
  <si>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</si>
  <si>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</si>
  <si>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</si>
  <si>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</si>
  <si>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</si>
  <si>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</si>
  <si>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</si>
  <si>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</si>
  <si>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</si>
  <si>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</si>
  <si>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</si>
  <si>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</si>
  <si>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</si>
  <si>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</si>
  <si>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</si>
  <si>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</si>
  <si>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</si>
  <si>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</si>
  <si>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</si>
  <si>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</si>
  <si>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</si>
  <si>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</si>
  <si>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</si>
  <si>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</si>
  <si>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</si>
  <si>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</si>
  <si>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</si>
  <si>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</si>
  <si>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</si>
  <si>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</si>
  <si>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</si>
  <si>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</si>
  <si>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</si>
  <si>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</si>
  <si>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</si>
  <si>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</si>
  <si>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</si>
  <si>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</si>
  <si>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</si>
  <si>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</si>
  <si>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</si>
  <si>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</si>
  <si>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</si>
  <si>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</si>
  <si>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</si>
  <si>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</si>
  <si>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</si>
  <si>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</si>
  <si>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</si>
  <si>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</si>
  <si>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</si>
  <si>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</si>
  <si>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</si>
  <si>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</si>
  <si>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</si>
  <si>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</si>
  <si>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</si>
  <si>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</si>
  <si>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</si>
  <si>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</si>
  <si>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</si>
  <si>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</si>
  <si>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</si>
  <si>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</si>
  <si>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</si>
  <si>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</si>
  <si>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</si>
  <si>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</si>
  <si>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</si>
  <si>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</si>
  <si>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</si>
  <si>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</si>
  <si>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</si>
  <si>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</si>
  <si>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</si>
  <si>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</si>
  <si>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</si>
  <si>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</si>
  <si>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</si>
  <si>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</si>
  <si>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</si>
  <si>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</si>
  <si>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</si>
  <si>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</si>
  <si>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</si>
  <si>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</si>
  <si>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</si>
  <si>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</si>
  <si>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</si>
  <si>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</si>
  <si>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</si>
  <si>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</si>
  <si>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</si>
  <si>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</si>
  <si>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</si>
  <si>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</si>
  <si>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</si>
  <si>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</si>
  <si>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</si>
  <si>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</si>
  <si>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</si>
  <si>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</si>
  <si>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</si>
  <si>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</si>
  <si>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</si>
  <si>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</si>
  <si>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</si>
  <si>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</si>
  <si>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</si>
  <si>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</si>
  <si>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</si>
  <si>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</si>
  <si>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</si>
  <si>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</si>
  <si>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</si>
  <si>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</si>
  <si>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</si>
  <si>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</si>
  <si>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</si>
  <si>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</si>
  <si>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</si>
  <si>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</si>
  <si>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</si>
  <si>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</si>
  <si>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</si>
  <si>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</si>
  <si>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</si>
  <si>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</si>
  <si>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</si>
  <si>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</si>
  <si>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</si>
  <si>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</si>
  <si>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</si>
  <si>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</si>
  <si>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</si>
  <si>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</si>
  <si>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</si>
  <si>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</si>
  <si>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</si>
  <si>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</si>
  <si>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</si>
  <si>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</si>
  <si>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</si>
  <si>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</si>
  <si>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</si>
  <si>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</si>
  <si>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</si>
  <si>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</si>
  <si>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</si>
  <si>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</si>
  <si>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</si>
  <si>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</si>
  <si>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</si>
  <si>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</si>
  <si>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</si>
  <si>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</si>
  <si>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</si>
  <si>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</si>
  <si>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</si>
  <si>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</si>
  <si>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</si>
  <si>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</si>
  <si>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</si>
  <si>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</si>
  <si>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</si>
  <si>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</si>
  <si>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</si>
  <si>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</si>
  <si>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</si>
  <si>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</si>
  <si>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</si>
  <si>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</si>
  <si>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</si>
  <si>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</si>
  <si>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</si>
  <si>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</si>
  <si>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</si>
  <si>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</si>
  <si>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</si>
  <si>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</si>
  <si>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</si>
  <si>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</si>
  <si>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</si>
  <si>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</si>
  <si>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</si>
  <si>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</si>
  <si>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</si>
  <si>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</si>
  <si>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</si>
  <si>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</si>
  <si>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</si>
  <si>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</si>
  <si>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</si>
  <si>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</si>
  <si>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</si>
  <si>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</si>
  <si>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</si>
  <si>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</si>
  <si>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</si>
  <si>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</si>
  <si>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</si>
  <si>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</si>
  <si>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</si>
  <si>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</si>
  <si>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</si>
  <si>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</si>
  <si>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</si>
  <si>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</si>
  <si>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</si>
  <si>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</si>
  <si>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</si>
  <si>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</si>
  <si>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</si>
  <si>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</si>
  <si>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</si>
  <si>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</si>
  <si>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</si>
  <si>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</si>
  <si>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</si>
  <si>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</si>
  <si>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</si>
  <si>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</si>
  <si>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</si>
  <si>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</si>
  <si>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</si>
  <si>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</si>
  <si>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</si>
  <si>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</si>
  <si>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</si>
  <si>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</si>
  <si>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</si>
  <si>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</si>
  <si>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</si>
  <si>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</si>
  <si>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</si>
  <si>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</si>
  <si>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</si>
  <si>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</si>
  <si>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</si>
  <si>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</si>
  <si>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</si>
  <si>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</si>
  <si>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</si>
  <si>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</si>
  <si>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</si>
  <si>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</si>
  <si>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</si>
  <si>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</si>
  <si>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</si>
  <si>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</si>
  <si>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</si>
  <si>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</si>
  <si>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</si>
  <si>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</si>
  <si>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</si>
  <si>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</si>
  <si>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</si>
  <si>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</si>
  <si>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</si>
  <si>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</si>
  <si>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</si>
  <si>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</si>
  <si>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</si>
  <si>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</si>
  <si>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</si>
  <si>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</si>
  <si>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</si>
  <si>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</si>
  <si>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</si>
  <si>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</si>
  <si>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</si>
  <si>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</si>
  <si>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</si>
  <si>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</si>
  <si>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</si>
  <si>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</si>
  <si>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</si>
  <si>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</si>
  <si>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</si>
  <si>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</si>
  <si>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</si>
  <si>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</si>
  <si>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</si>
  <si>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</si>
  <si>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</si>
  <si>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</si>
  <si>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</si>
  <si>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</si>
  <si>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</si>
  <si>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</si>
  <si>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</si>
  <si>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</si>
  <si>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</si>
  <si>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</si>
  <si>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</si>
  <si>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</si>
  <si>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</si>
  <si>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</si>
  <si>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</si>
  <si>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</si>
  <si>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</si>
  <si>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</si>
  <si>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</si>
  <si>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</si>
  <si>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</si>
  <si>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</si>
  <si>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</si>
  <si>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</si>
  <si>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</si>
  <si>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</si>
  <si>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</si>
  <si>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</si>
  <si>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</si>
  <si>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</si>
  <si>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</si>
  <si>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</si>
  <si>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</si>
  <si>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</si>
  <si>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</si>
  <si>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</si>
  <si>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</si>
  <si>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</si>
  <si>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</si>
  <si>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</si>
  <si>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</si>
  <si>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</si>
  <si>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</si>
  <si>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</si>
  <si>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</si>
  <si>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</si>
  <si>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</si>
  <si>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</si>
  <si>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</si>
  <si>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</si>
  <si>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</si>
  <si>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</si>
  <si>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</si>
  <si>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</si>
  <si>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</si>
  <si>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</si>
  <si>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</si>
  <si>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</si>
  <si>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</si>
  <si>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</si>
  <si>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</si>
  <si>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</si>
  <si>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</si>
  <si>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</si>
  <si>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</si>
  <si>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</si>
  <si>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</si>
  <si>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</si>
  <si>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</si>
  <si>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</si>
  <si>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</si>
  <si>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</si>
  <si>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</si>
  <si>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</si>
  <si>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</si>
  <si>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</si>
  <si>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</si>
  <si>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</si>
  <si>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</si>
  <si>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</si>
  <si>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</si>
  <si>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</si>
  <si>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</si>
  <si>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</si>
  <si>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</si>
  <si>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</si>
  <si>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</si>
  <si>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</si>
  <si>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</si>
  <si>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</si>
  <si>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</si>
  <si>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</si>
  <si>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</si>
  <si>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</si>
  <si>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</si>
  <si>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</si>
  <si>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</si>
  <si>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</si>
  <si>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</si>
  <si>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</si>
  <si>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</si>
  <si>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</si>
  <si>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</si>
  <si>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</si>
  <si>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</si>
  <si>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</si>
  <si>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</si>
  <si>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</si>
  <si>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</si>
  <si>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</si>
  <si>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</si>
  <si>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</si>
  <si>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</si>
  <si>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</si>
  <si>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</si>
  <si>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</si>
  <si>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</si>
  <si>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</si>
  <si>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</si>
  <si>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</si>
  <si>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</si>
  <si>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</si>
  <si>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</si>
  <si>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</si>
  <si>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</si>
  <si>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</si>
  <si>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</si>
  <si>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</si>
  <si>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</si>
  <si>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</si>
  <si>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</si>
  <si>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</si>
  <si>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</si>
  <si>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</si>
  <si>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</si>
  <si>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</si>
  <si>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</si>
  <si>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</si>
  <si>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</si>
  <si>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</si>
  <si>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</si>
  <si>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</si>
  <si>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</si>
  <si>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</si>
  <si>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</si>
  <si>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</si>
  <si>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</si>
  <si>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</si>
  <si>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</si>
  <si>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</si>
  <si>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</si>
  <si>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</si>
  <si>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</si>
  <si>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</si>
  <si>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</si>
  <si>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</si>
  <si>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</si>
  <si>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</si>
  <si>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</si>
  <si>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</si>
  <si>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</si>
  <si>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</si>
  <si>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</si>
  <si>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</si>
  <si>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</si>
  <si>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</si>
  <si>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</si>
  <si>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</si>
  <si>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</si>
  <si>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</si>
  <si>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</si>
  <si>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</si>
  <si>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</si>
  <si>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</si>
  <si>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</si>
  <si>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</si>
  <si>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</si>
  <si>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</si>
  <si>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</si>
  <si>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</si>
  <si>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</si>
  <si>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</si>
  <si>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</si>
  <si>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</si>
  <si>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</si>
  <si>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</si>
  <si>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</si>
  <si>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</si>
  <si>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</si>
  <si>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</si>
  <si>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</si>
  <si>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</si>
  <si>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</si>
  <si>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</si>
  <si>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</si>
  <si>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</si>
  <si>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</si>
  <si>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</si>
  <si>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</si>
  <si>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</si>
  <si>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</si>
  <si>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</si>
  <si>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</si>
  <si>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</si>
  <si>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</si>
  <si>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</si>
  <si>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</si>
  <si>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</si>
  <si>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</si>
  <si>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</si>
  <si>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</si>
  <si>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</si>
  <si>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</si>
  <si>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</si>
  <si>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</si>
  <si>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</si>
  <si>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</si>
  <si>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</si>
  <si>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</si>
  <si>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</si>
  <si>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</si>
  <si>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</si>
  <si>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</si>
  <si>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</si>
  <si>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</si>
  <si>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</si>
  <si>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</si>
  <si>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</si>
  <si>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</si>
  <si>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</si>
  <si>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</si>
  <si>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</si>
  <si>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</si>
  <si>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</si>
  <si>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</si>
  <si>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</si>
  <si>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</si>
  <si>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</si>
  <si>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</si>
  <si>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</si>
  <si>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</si>
  <si>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</si>
  <si>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</si>
  <si>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</si>
  <si>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</si>
  <si>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</si>
  <si>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</si>
  <si>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</si>
  <si>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</si>
  <si>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</si>
  <si>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</si>
  <si>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</si>
  <si>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</si>
  <si>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</si>
  <si>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</si>
  <si>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</si>
  <si>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</si>
  <si>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</si>
  <si>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</si>
  <si>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</si>
  <si>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</si>
  <si>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</si>
  <si>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</si>
  <si>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</si>
  <si>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</si>
  <si>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</si>
  <si>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</si>
  <si>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</si>
  <si>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</si>
  <si>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</si>
  <si>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</si>
  <si>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</si>
  <si>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</si>
  <si>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</si>
  <si>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</si>
  <si>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</si>
  <si>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</si>
  <si>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</si>
  <si>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</si>
  <si>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</si>
  <si>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</si>
  <si>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</si>
  <si>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</si>
  <si>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</si>
  <si>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</si>
  <si>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</si>
  <si>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</si>
  <si>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</si>
  <si>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</si>
  <si>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</si>
  <si>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</si>
  <si>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</si>
  <si>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</si>
  <si>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</si>
  <si>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</si>
  <si>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</si>
  <si>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</si>
  <si>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</si>
  <si>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</si>
  <si>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</si>
  <si>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</si>
  <si>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</si>
  <si>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</si>
  <si>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</si>
  <si>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</si>
  <si>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</si>
  <si>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</si>
  <si>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</si>
  <si>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</si>
  <si>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</si>
  <si>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</si>
  <si>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</si>
  <si>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</si>
  <si>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</si>
  <si>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</si>
  <si>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</si>
  <si>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</si>
  <si>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</si>
  <si>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</si>
  <si>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</si>
  <si>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</si>
  <si>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</si>
  <si>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</si>
  <si>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</si>
  <si>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</si>
  <si>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</si>
  <si>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</si>
  <si>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</si>
  <si>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</si>
  <si>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</si>
  <si>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</si>
  <si>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</si>
  <si>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</si>
  <si>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</si>
  <si>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</si>
  <si>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</si>
  <si>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</si>
  <si>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</si>
  <si>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</si>
  <si>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</si>
  <si>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</si>
  <si>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</si>
  <si>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</si>
  <si>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</si>
  <si>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</si>
  <si>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</si>
  <si>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</si>
  <si>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</si>
  <si>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</si>
  <si>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</si>
  <si>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</si>
  <si>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</si>
  <si>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</si>
  <si>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</si>
  <si>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</si>
  <si>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</si>
  <si>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</si>
  <si>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</si>
  <si>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</si>
  <si>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</si>
  <si>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</si>
  <si>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</si>
  <si>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</si>
  <si>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</si>
  <si>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</si>
  <si>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</si>
  <si>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</si>
  <si>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</si>
  <si>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</si>
  <si>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</si>
  <si>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</si>
  <si>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</si>
  <si>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</si>
  <si>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</si>
  <si>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</si>
  <si>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</si>
  <si>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</si>
  <si>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</si>
  <si>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</si>
  <si>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</si>
  <si>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</si>
  <si>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</si>
  <si>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</si>
  <si>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</si>
  <si>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</si>
  <si>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</si>
  <si>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</si>
  <si>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</si>
  <si>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</si>
  <si>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</si>
  <si>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</si>
  <si>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</si>
  <si>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</si>
  <si>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</si>
  <si>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</si>
  <si>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</si>
  <si>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</si>
  <si>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</si>
  <si>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</si>
  <si>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</si>
  <si>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</si>
  <si>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</si>
  <si>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</si>
  <si>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</si>
  <si>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</si>
  <si>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</si>
  <si>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</si>
  <si>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</si>
  <si>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</si>
  <si>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</si>
  <si>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</si>
  <si>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</si>
  <si>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</si>
  <si>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</si>
  <si>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</si>
  <si>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</si>
  <si>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</si>
  <si>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</si>
  <si>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</si>
  <si>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</si>
  <si>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</si>
  <si>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</si>
  <si>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</si>
  <si>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</si>
  <si>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</si>
  <si>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</si>
  <si>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</si>
  <si>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</si>
  <si>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</si>
  <si>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</si>
  <si>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</si>
  <si>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</si>
  <si>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</si>
  <si>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</si>
  <si>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</si>
  <si>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</si>
  <si>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</si>
  <si>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</si>
  <si>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</si>
  <si>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</si>
  <si>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</si>
  <si>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</si>
  <si>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</si>
  <si>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</si>
  <si>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</si>
  <si>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</si>
  <si>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</si>
  <si>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</si>
  <si>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</si>
  <si>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</si>
  <si>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</si>
  <si>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</si>
  <si>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</si>
  <si>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</si>
  <si>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</si>
  <si>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</si>
  <si>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</si>
  <si>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</si>
  <si>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</si>
  <si>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</si>
  <si>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</si>
  <si>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</si>
  <si>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</si>
  <si>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</si>
  <si>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</si>
  <si>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</si>
  <si>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</si>
  <si>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</si>
  <si>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</si>
  <si>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</si>
  <si>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</si>
  <si>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</si>
  <si>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</si>
  <si>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</si>
  <si>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</si>
  <si>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</si>
  <si>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</si>
  <si>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</si>
  <si>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</si>
  <si>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</si>
  <si>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</si>
  <si>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</si>
  <si>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</si>
  <si>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</si>
  <si>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</si>
  <si>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</si>
  <si>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</si>
  <si>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</si>
  <si>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</si>
  <si>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</si>
  <si>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</si>
  <si>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</si>
  <si>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</si>
  <si>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</si>
  <si>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</si>
  <si>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</si>
  <si>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</si>
  <si>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</si>
  <si>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</si>
  <si>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</si>
  <si>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</si>
  <si>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</si>
  <si>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</si>
  <si>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</si>
  <si>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</si>
  <si>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</si>
  <si>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</si>
  <si>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</si>
  <si>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</si>
  <si>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</si>
  <si>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</si>
  <si>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</si>
  <si>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</si>
  <si>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</si>
  <si>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</si>
  <si>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</si>
  <si>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</si>
  <si>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</si>
  <si>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</si>
  <si>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</si>
  <si>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</si>
  <si>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</si>
  <si>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</si>
  <si>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</si>
  <si>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</si>
  <si>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</si>
  <si>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</si>
  <si>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</si>
  <si>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</si>
  <si>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</si>
  <si>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</si>
  <si>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</si>
  <si>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</si>
  <si>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</si>
  <si>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</si>
  <si>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</si>
  <si>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</si>
  <si>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</si>
  <si>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</si>
  <si>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</si>
  <si>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</si>
  <si>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</si>
  <si>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</si>
  <si>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</si>
  <si>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</si>
  <si>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</si>
  <si>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</si>
  <si>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</si>
  <si>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</si>
  <si>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</si>
  <si>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</si>
  <si>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</si>
  <si>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</si>
  <si>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</si>
  <si>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</si>
  <si>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</si>
  <si>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</si>
  <si>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</si>
  <si>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</si>
  <si>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</si>
  <si>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</si>
  <si>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</si>
  <si>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</si>
  <si>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</si>
  <si>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</si>
  <si>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</si>
  <si>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</si>
  <si>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</si>
  <si>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</si>
  <si>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</si>
  <si>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</si>
  <si>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</si>
  <si>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</si>
  <si>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</si>
  <si>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</si>
  <si>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</si>
  <si>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</si>
  <si>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</si>
  <si>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</si>
  <si>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</si>
  <si>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</si>
  <si>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</si>
  <si>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</si>
  <si>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</si>
  <si>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</si>
  <si>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</si>
  <si>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</si>
  <si>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</si>
  <si>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</si>
  <si>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</si>
  <si>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</si>
  <si>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</si>
  <si>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</si>
  <si>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</si>
  <si>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</si>
  <si>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</si>
  <si>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</si>
  <si>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</si>
  <si>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</si>
  <si>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</si>
  <si>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</si>
  <si>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</si>
  <si>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</si>
  <si>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</si>
  <si>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</si>
  <si>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</si>
  <si>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</si>
  <si>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</si>
  <si>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</si>
  <si>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</si>
  <si>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</si>
  <si>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</si>
  <si>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</si>
  <si>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</si>
  <si>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</si>
  <si>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</si>
  <si>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</si>
  <si>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</si>
  <si>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</si>
  <si>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</si>
  <si>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</si>
  <si>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</si>
  <si>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</si>
  <si>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</si>
  <si>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</si>
  <si>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</si>
  <si>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</si>
  <si>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</si>
  <si>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</si>
  <si>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</si>
  <si>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</si>
  <si>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</si>
  <si>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</si>
  <si>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</si>
  <si>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</si>
  <si>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</si>
  <si>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</si>
  <si>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</si>
  <si>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</si>
  <si>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</si>
  <si>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</si>
  <si>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</si>
  <si>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</si>
  <si>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</si>
  <si>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</si>
  <si>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</si>
  <si>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</si>
  <si>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</si>
  <si>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</si>
  <si>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</si>
  <si>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</si>
  <si>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</si>
  <si>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</si>
  <si>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</si>
  <si>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</si>
  <si>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</si>
  <si>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</si>
  <si>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</si>
  <si>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</si>
  <si>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</si>
  <si>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</si>
  <si>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</si>
  <si>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</si>
  <si>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</si>
  <si>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</si>
  <si>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</si>
  <si>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</si>
  <si>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</si>
  <si>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</si>
  <si>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</si>
  <si>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</si>
  <si>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</si>
  <si>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</si>
  <si>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</si>
  <si>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</si>
  <si>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</si>
  <si>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</si>
  <si>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</si>
  <si>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</si>
  <si>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</si>
  <si>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</si>
  <si>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</si>
  <si>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</si>
  <si>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</si>
  <si>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</si>
  <si>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</si>
  <si>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</si>
  <si>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</si>
  <si>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</si>
  <si>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</si>
  <si>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</si>
  <si>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</si>
  <si>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</si>
  <si>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</si>
  <si>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</si>
  <si>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</si>
  <si>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</si>
  <si>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</si>
  <si>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</si>
  <si>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</si>
  <si>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</si>
  <si>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</si>
  <si>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</si>
  <si>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</si>
  <si>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</si>
  <si>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</si>
  <si>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</si>
  <si>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</si>
  <si>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</si>
  <si>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</si>
  <si>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</si>
  <si>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</si>
  <si>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</si>
  <si>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</si>
  <si>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</si>
  <si>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</si>
  <si>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</si>
  <si>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</si>
  <si>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</si>
  <si>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</si>
  <si>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</si>
  <si>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</si>
  <si>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</si>
  <si>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</si>
  <si>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</si>
  <si>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</si>
  <si>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</si>
  <si>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</si>
  <si>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</si>
  <si>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</si>
  <si>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</si>
  <si>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</si>
  <si>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</si>
  <si>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</si>
  <si>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</si>
  <si>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</si>
  <si>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</si>
  <si>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</si>
  <si>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</si>
  <si>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</si>
  <si>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</si>
  <si>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</si>
  <si>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</si>
  <si>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</si>
  <si>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</si>
  <si>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</si>
  <si>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</si>
  <si>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</si>
  <si>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</si>
  <si>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</si>
  <si>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</si>
  <si>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</si>
  <si>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</si>
  <si>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</si>
  <si>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</si>
  <si>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</si>
  <si>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</si>
  <si>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</si>
  <si>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</si>
  <si>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</si>
  <si>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</si>
  <si>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</si>
  <si>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</si>
  <si>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</si>
  <si>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</si>
  <si>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</si>
  <si>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</si>
  <si>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</si>
  <si>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</si>
  <si>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</si>
  <si>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</si>
  <si>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</si>
  <si>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</si>
  <si>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</si>
  <si>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</si>
  <si>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</si>
  <si>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</si>
  <si>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</si>
  <si>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</si>
  <si>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</si>
  <si>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</si>
  <si>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</si>
  <si>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</si>
  <si>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</si>
  <si>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</si>
  <si>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</si>
  <si>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</si>
  <si>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</si>
  <si>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</si>
  <si>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</si>
  <si>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</si>
  <si>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</si>
  <si>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</si>
  <si>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</si>
  <si>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</si>
  <si>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</si>
  <si>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</si>
  <si>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</si>
  <si>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</si>
  <si>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</si>
  <si>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</si>
  <si>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</si>
  <si>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</si>
  <si>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</si>
  <si>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</si>
  <si>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</si>
  <si>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</si>
  <si>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</si>
  <si>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</si>
  <si>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</si>
  <si>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</si>
  <si>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</si>
  <si>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</si>
  <si>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</si>
  <si>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</si>
  <si>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</si>
  <si>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</si>
  <si>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</si>
  <si>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</si>
  <si>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</si>
  <si>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</si>
  <si>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</si>
  <si>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</si>
  <si>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</si>
  <si>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</si>
  <si>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</si>
  <si>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</si>
  <si>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</si>
  <si>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</si>
  <si>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</si>
  <si>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</si>
  <si>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</si>
  <si>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</si>
  <si>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</si>
  <si>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</si>
  <si>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</si>
  <si>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</si>
  <si>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</si>
  <si>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</si>
  <si>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</si>
  <si>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</si>
  <si>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</si>
  <si>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</si>
  <si>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</si>
  <si>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</si>
  <si>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</si>
  <si>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</si>
  <si>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</si>
  <si>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</si>
  <si>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</si>
  <si>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</si>
  <si>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</si>
  <si>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</si>
  <si>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</si>
  <si>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</si>
  <si>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</si>
  <si>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</si>
  <si>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</si>
  <si>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</si>
  <si>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</si>
  <si>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</si>
  <si>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</si>
  <si>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</si>
  <si>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</si>
  <si>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</si>
  <si>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</si>
  <si>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</si>
  <si>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</si>
  <si>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</si>
  <si>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</si>
  <si>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</si>
  <si>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</si>
  <si>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</si>
  <si>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</si>
  <si>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</si>
  <si>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</si>
  <si>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</si>
  <si>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</si>
  <si>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</si>
  <si>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</si>
  <si>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</si>
  <si>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</si>
  <si>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</si>
  <si>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</si>
  <si>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</si>
  <si>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</si>
  <si>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</si>
  <si>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</si>
  <si>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</si>
  <si>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</si>
  <si>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</si>
  <si>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</si>
  <si>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</si>
  <si>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</si>
  <si>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</si>
  <si>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</si>
  <si>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</si>
  <si>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</si>
  <si>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</si>
  <si>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</si>
  <si>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</si>
  <si>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</si>
  <si>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</si>
  <si>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</si>
  <si>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</si>
  <si>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</si>
  <si>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</si>
  <si>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</si>
  <si>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</si>
  <si>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</si>
  <si>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</si>
  <si>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</si>
  <si>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</si>
  <si>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</si>
  <si>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</si>
  <si>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</si>
  <si>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</si>
  <si>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</si>
  <si>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</si>
  <si>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</si>
  <si>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</si>
  <si>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</si>
  <si>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</si>
  <si>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</si>
  <si>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</si>
  <si>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</si>
  <si>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</si>
  <si>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</si>
  <si>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</si>
  <si>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</si>
  <si>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</si>
  <si>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</si>
  <si>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</si>
  <si>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</si>
  <si>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</si>
  <si>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</si>
  <si>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</si>
  <si>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</si>
  <si>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</si>
  <si>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</si>
  <si>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</si>
  <si>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</si>
  <si>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</si>
  <si>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</si>
  <si>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</si>
  <si>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</si>
  <si>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</si>
  <si>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</si>
  <si>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</si>
  <si>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</si>
  <si>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</si>
  <si>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</si>
  <si>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</si>
  <si>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</si>
  <si>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</si>
  <si>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</si>
  <si>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</si>
  <si>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</si>
  <si>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</si>
  <si>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</si>
  <si>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</si>
  <si>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</si>
  <si>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</si>
  <si>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</si>
  <si>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</si>
  <si>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</si>
  <si>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</si>
  <si>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</si>
  <si>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</si>
  <si>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</si>
  <si>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</si>
  <si>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</si>
  <si>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</si>
  <si>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</si>
  <si>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</si>
  <si>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</si>
  <si>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</si>
  <si>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</si>
  <si>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</si>
  <si>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</si>
  <si>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</si>
  <si>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</si>
  <si>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</si>
  <si>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</si>
  <si>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</si>
  <si>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</si>
  <si>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</si>
  <si>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</si>
  <si>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</si>
  <si>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</si>
  <si>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</si>
  <si>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</si>
  <si>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</si>
  <si>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</si>
  <si>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</si>
  <si>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</si>
  <si>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</si>
  <si>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</si>
  <si>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</si>
  <si>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</si>
  <si>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</si>
  <si>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</si>
  <si>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</si>
  <si>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</si>
  <si>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</si>
  <si>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</si>
  <si>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</si>
  <si>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</si>
  <si>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</si>
  <si>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</si>
  <si>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</si>
  <si>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</si>
  <si>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</si>
  <si>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</si>
  <si>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</si>
  <si>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</si>
  <si>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</si>
  <si>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</si>
  <si>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</si>
  <si>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</si>
  <si>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</si>
  <si>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</si>
  <si>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</si>
  <si>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</si>
  <si>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</si>
  <si>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</si>
  <si>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</si>
  <si>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</si>
  <si>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</si>
  <si>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</si>
  <si>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</si>
  <si>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</si>
  <si>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</si>
  <si>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</si>
  <si>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</si>
  <si>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</si>
  <si>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</si>
  <si>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</si>
  <si>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</si>
  <si>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</si>
  <si>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</si>
  <si>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</si>
  <si>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</si>
  <si>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</si>
  <si>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</si>
  <si>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</si>
  <si>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</si>
  <si>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</si>
  <si>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</si>
  <si>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</si>
  <si>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</si>
  <si>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</si>
  <si>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</si>
  <si>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</si>
  <si>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</si>
  <si>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</si>
  <si>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</si>
  <si>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</si>
  <si>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</si>
  <si>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</si>
  <si>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</si>
  <si>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</si>
  <si>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</si>
  <si>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</si>
  <si>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</si>
  <si>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</si>
  <si>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</si>
  <si>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</si>
  <si>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</si>
  <si>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</si>
  <si>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</si>
  <si>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</si>
  <si>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</si>
  <si>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</si>
  <si>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</si>
  <si>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</si>
  <si>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</si>
  <si>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</si>
  <si>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</si>
  <si>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</si>
  <si>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</si>
  <si>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</si>
  <si>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</si>
  <si>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</si>
  <si>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</si>
  <si>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</si>
  <si>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</si>
  <si>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</si>
  <si>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</si>
  <si>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</si>
  <si>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</si>
  <si>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</si>
  <si>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</si>
  <si>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</si>
  <si>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</si>
  <si>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</si>
  <si>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</si>
  <si>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</si>
  <si>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</si>
  <si>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</si>
  <si>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</si>
  <si>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</si>
  <si>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</si>
  <si>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</si>
  <si>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</si>
  <si>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</si>
  <si>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</si>
  <si>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</si>
  <si>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</si>
  <si>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</si>
  <si>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</si>
  <si>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</si>
  <si>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</si>
  <si>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</si>
  <si>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</si>
  <si>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</si>
  <si>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</si>
  <si>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</si>
  <si>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</si>
  <si>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</si>
  <si>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</si>
  <si>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</si>
  <si>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</si>
  <si>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</si>
  <si>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</si>
  <si>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</si>
  <si>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</si>
  <si>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</si>
  <si>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</si>
  <si>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</si>
  <si>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</si>
  <si>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</si>
  <si>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</si>
  <si>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</si>
  <si>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</si>
  <si>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</si>
  <si>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</si>
  <si>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</si>
  <si>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</si>
  <si>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</si>
  <si>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</si>
  <si>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</si>
  <si>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</si>
  <si>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</si>
  <si>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</si>
  <si>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</si>
  <si>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</si>
  <si>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</si>
  <si>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</si>
  <si>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</si>
  <si>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</si>
  <si>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</si>
  <si>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</si>
  <si>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</si>
  <si>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</si>
  <si>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</si>
  <si>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</si>
  <si>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</si>
  <si>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</si>
  <si>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</si>
  <si>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</si>
  <si>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</si>
  <si>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</si>
  <si>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</si>
  <si>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</si>
  <si>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</si>
  <si>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</si>
  <si>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</si>
  <si>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</si>
  <si>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</si>
  <si>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</si>
  <si>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</si>
  <si>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</si>
  <si>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</si>
  <si>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</si>
  <si>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</si>
  <si>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</si>
  <si>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</si>
  <si>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</si>
  <si>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</si>
  <si>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</si>
  <si>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</si>
  <si>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</si>
  <si>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</si>
  <si>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</si>
  <si>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</si>
  <si>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</si>
  <si>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</si>
  <si>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</si>
  <si>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</si>
  <si>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</si>
  <si>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</si>
  <si>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</si>
  <si>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</si>
  <si>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</si>
  <si>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</si>
  <si>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</si>
  <si>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</si>
  <si>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</si>
  <si>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</si>
  <si>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</si>
  <si>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</si>
  <si>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</si>
  <si>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</si>
  <si>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</si>
  <si>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</si>
  <si>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</si>
  <si>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</si>
  <si>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</si>
  <si>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</si>
  <si>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</si>
  <si>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</si>
  <si>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</si>
  <si>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</si>
  <si>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</si>
  <si>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</si>
  <si>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</si>
  <si>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</si>
  <si>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</si>
  <si>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</si>
  <si>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</si>
  <si>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</si>
  <si>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</si>
  <si>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</si>
  <si>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</si>
  <si>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</si>
  <si>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</si>
  <si>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</si>
  <si>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</si>
  <si>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</si>
  <si>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</si>
  <si>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</si>
  <si>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</si>
  <si>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</si>
  <si>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</si>
  <si>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</si>
  <si>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</si>
  <si>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</si>
  <si>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</si>
  <si>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</si>
  <si>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</si>
  <si>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</si>
  <si>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</si>
  <si>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</si>
  <si>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</si>
  <si>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</si>
  <si>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</si>
  <si>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</si>
  <si>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</si>
  <si>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</si>
  <si>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</si>
  <si>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</si>
  <si>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</si>
  <si>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</si>
  <si>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</si>
  <si>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</si>
  <si>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</si>
  <si>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</si>
  <si>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</si>
  <si>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</si>
  <si>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</si>
  <si>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</si>
  <si>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</si>
  <si>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</si>
  <si>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</si>
  <si>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</si>
  <si>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</si>
  <si>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</si>
  <si>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</si>
  <si>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</si>
  <si>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</si>
  <si>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</si>
  <si>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</si>
  <si>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</si>
  <si>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</si>
  <si>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</si>
  <si>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</si>
  <si>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</si>
  <si>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</si>
  <si>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</si>
  <si>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</si>
  <si>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</si>
  <si>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</si>
  <si>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</si>
  <si>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</si>
  <si>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</si>
  <si>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</si>
  <si>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</si>
  <si>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</si>
  <si>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</si>
  <si>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</si>
  <si>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</si>
  <si>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</si>
  <si>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</si>
  <si>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</si>
  <si>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</si>
  <si>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</si>
  <si>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</si>
  <si>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</si>
  <si>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</si>
  <si>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</si>
  <si>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</si>
  <si>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</si>
  <si>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</si>
  <si>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</si>
  <si>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</si>
  <si>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</si>
  <si>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</si>
  <si>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</si>
  <si>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</si>
  <si>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</si>
  <si>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</si>
  <si>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</si>
  <si>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</si>
  <si>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</si>
  <si>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</si>
  <si>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</si>
  <si>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</si>
  <si>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</si>
  <si>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</si>
  <si>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</si>
  <si>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</si>
  <si>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</si>
  <si>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</si>
  <si>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</si>
  <si>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</si>
  <si>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</si>
  <si>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</si>
  <si>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</si>
  <si>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</si>
  <si>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</si>
  <si>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</si>
  <si>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</si>
  <si>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</si>
  <si>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</si>
  <si>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</si>
  <si>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</si>
  <si>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</si>
  <si>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</si>
  <si>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</si>
  <si>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</si>
  <si>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</si>
  <si>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</si>
  <si>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</si>
  <si>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</si>
  <si>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</si>
  <si>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</si>
  <si>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</si>
  <si>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</si>
  <si>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</si>
  <si>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</si>
  <si>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</si>
  <si>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</si>
  <si>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</si>
  <si>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</si>
  <si>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</si>
  <si>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</si>
  <si>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</si>
  <si>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</si>
  <si>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</si>
  <si>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</si>
  <si>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</si>
  <si>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</si>
  <si>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</si>
  <si>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</si>
  <si>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</si>
  <si>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</si>
  <si>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</si>
  <si>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</si>
  <si>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</si>
  <si>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</si>
  <si>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</si>
  <si>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</si>
  <si>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</si>
  <si>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</si>
  <si>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</si>
  <si>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</si>
  <si>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</si>
  <si>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</si>
  <si>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</si>
  <si>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</si>
  <si>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</si>
  <si>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</si>
  <si>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</si>
  <si>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</si>
  <si>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</si>
  <si>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</si>
  <si>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</si>
  <si>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</si>
  <si>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</si>
  <si>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</si>
  <si>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</si>
  <si>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</si>
  <si>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</si>
  <si>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</si>
  <si>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</si>
  <si>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</si>
  <si>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</si>
  <si>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</si>
  <si>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</si>
  <si>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</si>
  <si>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</si>
  <si>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</si>
  <si>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</si>
  <si>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</si>
  <si>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</si>
  <si>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</si>
  <si>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</si>
  <si>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</si>
  <si>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</si>
  <si>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</si>
  <si>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</si>
  <si>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</si>
  <si>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</si>
  <si>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</si>
  <si>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</si>
  <si>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</si>
  <si>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</si>
  <si>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</si>
  <si>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</si>
  <si>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</si>
  <si>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</si>
  <si>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</si>
  <si>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</si>
  <si>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</si>
  <si>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</si>
  <si>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</si>
  <si>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</si>
  <si>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</si>
  <si>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</si>
  <si>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</si>
  <si>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</si>
  <si>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</si>
  <si>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</si>
  <si>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</si>
  <si>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</si>
  <si>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</si>
  <si>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</si>
  <si>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</si>
  <si>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</si>
  <si>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</si>
  <si>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</si>
  <si>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</si>
  <si>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</si>
  <si>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</si>
  <si>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</si>
  <si>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</si>
  <si>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</si>
  <si>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</si>
  <si>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</si>
  <si>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</si>
  <si>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</si>
  <si>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</si>
  <si>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</si>
  <si>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</si>
  <si>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</si>
  <si>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</si>
  <si>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</si>
  <si>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</si>
  <si>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</si>
  <si>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</si>
  <si>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</si>
  <si>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</si>
  <si>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</si>
  <si>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</si>
  <si>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</si>
  <si>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</si>
  <si>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</si>
  <si>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</si>
  <si>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</si>
  <si>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</si>
  <si>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</si>
  <si>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</si>
  <si>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</si>
  <si>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</si>
  <si>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</si>
  <si>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</si>
  <si>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</si>
  <si>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</si>
  <si>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</si>
  <si>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</si>
  <si>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</si>
  <si>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</si>
  <si>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</si>
  <si>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</si>
  <si>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</si>
  <si>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</si>
  <si>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</si>
  <si>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</si>
  <si>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</si>
  <si>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</si>
  <si>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</si>
  <si>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</si>
  <si>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</si>
  <si>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</si>
  <si>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</si>
  <si>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</si>
  <si>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</si>
  <si>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</si>
  <si>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</si>
  <si>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</si>
  <si>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</si>
  <si>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</si>
  <si>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</si>
  <si>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</si>
  <si>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</si>
  <si>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</si>
  <si>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</si>
  <si>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</si>
  <si>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</si>
  <si>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</si>
  <si>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</si>
  <si>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</si>
  <si>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</si>
  <si>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</si>
  <si>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</si>
  <si>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</si>
  <si>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</si>
  <si>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</si>
  <si>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</si>
  <si>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</si>
  <si>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</si>
  <si>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</si>
  <si>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</si>
  <si>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</si>
  <si>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</si>
  <si>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</si>
  <si>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</si>
  <si>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</si>
  <si>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</si>
  <si>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</si>
  <si>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</si>
  <si>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</si>
  <si>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</si>
  <si>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</si>
  <si>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</si>
  <si>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</si>
  <si>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</si>
  <si>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</si>
  <si>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</si>
  <si>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</si>
  <si>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</si>
  <si>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</si>
  <si>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</si>
  <si>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</si>
  <si>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</si>
  <si>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</si>
  <si>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</si>
  <si>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</si>
  <si>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</si>
  <si>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</si>
  <si>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</si>
  <si>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</si>
  <si>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</si>
  <si>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</si>
  <si>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</si>
  <si>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</si>
  <si>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</si>
  <si>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</si>
  <si>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</si>
  <si>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</si>
  <si>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</si>
  <si>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</si>
  <si>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</si>
  <si>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</si>
  <si>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</si>
  <si>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</si>
  <si>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</si>
  <si>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</si>
  <si>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</si>
  <si>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</si>
  <si>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</si>
  <si>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</si>
  <si>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</si>
  <si>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</si>
  <si>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</si>
  <si>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</si>
  <si>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</si>
  <si>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</si>
  <si>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</si>
  <si>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</si>
  <si>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</si>
  <si>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</si>
  <si>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</si>
  <si>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</si>
  <si>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</si>
  <si>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</si>
  <si>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</si>
  <si>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</si>
  <si>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</si>
  <si>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</si>
  <si>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</si>
  <si>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</si>
  <si>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</si>
  <si>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</si>
  <si>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</si>
  <si>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</si>
  <si>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</si>
  <si>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</si>
  <si>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</si>
  <si>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</si>
  <si>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</si>
  <si>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</si>
  <si>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</si>
  <si>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</si>
  <si>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</si>
  <si>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</si>
  <si>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</si>
  <si>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</si>
  <si>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</si>
  <si>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</si>
  <si>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</si>
  <si>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</si>
  <si>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</si>
  <si>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</si>
  <si>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</si>
  <si>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</si>
  <si>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</si>
  <si>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</si>
  <si>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</si>
  <si>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</si>
  <si>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</si>
  <si>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</si>
  <si>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</si>
  <si>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</si>
  <si>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</si>
  <si>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</si>
  <si>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</si>
  <si>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</si>
  <si>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</si>
  <si>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</si>
  <si>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</si>
  <si>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</si>
  <si>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</si>
  <si>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</si>
  <si>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</si>
  <si>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</si>
  <si>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</si>
  <si>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</si>
  <si>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</si>
  <si>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</si>
  <si>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</si>
  <si>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</si>
  <si>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</si>
  <si>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</si>
  <si>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</si>
  <si>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</si>
  <si>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</si>
  <si>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</si>
  <si>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</si>
  <si>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</si>
  <si>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</si>
  <si>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</si>
  <si>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</si>
  <si>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</si>
  <si>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</si>
  <si>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</si>
  <si>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</si>
  <si>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</si>
  <si>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</si>
  <si>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</si>
  <si>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</si>
  <si>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</si>
  <si>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</si>
  <si>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</si>
  <si>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</si>
  <si>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</si>
  <si>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</si>
  <si>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</si>
  <si>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</si>
  <si>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</si>
  <si>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</si>
  <si>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</si>
  <si>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</si>
  <si>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</si>
  <si>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</si>
  <si>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</si>
  <si>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</si>
  <si>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</si>
  <si>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</si>
  <si>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</si>
  <si>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</si>
  <si>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</si>
  <si>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</si>
  <si>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</si>
  <si>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</si>
  <si>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</si>
  <si>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</si>
  <si>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</si>
  <si>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</si>
  <si>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</si>
  <si>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</si>
  <si>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</si>
  <si>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</si>
  <si>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</si>
  <si>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</si>
  <si>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</si>
  <si>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</si>
  <si>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</si>
  <si>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</si>
  <si>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</si>
  <si>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</si>
  <si>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</si>
  <si>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</si>
  <si>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</si>
  <si>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</si>
  <si>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</si>
  <si>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</si>
  <si>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</si>
  <si>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</si>
  <si>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</si>
  <si>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</si>
  <si>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</si>
  <si>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</si>
  <si>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</si>
  <si>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</si>
  <si>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</si>
  <si>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</si>
  <si>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</si>
  <si>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</si>
  <si>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</si>
  <si>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</si>
  <si>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</si>
  <si>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</si>
  <si>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</si>
  <si>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</si>
  <si>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</si>
  <si>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</si>
  <si>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</si>
  <si>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</si>
  <si>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</si>
  <si>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</si>
  <si>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</si>
  <si>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</si>
  <si>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</si>
  <si>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</si>
  <si>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</si>
  <si>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</si>
  <si>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</si>
  <si>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</si>
  <si>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</si>
  <si>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</si>
  <si>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</si>
  <si>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</si>
  <si>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</si>
  <si>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</si>
  <si>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</si>
  <si>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</si>
  <si>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</si>
  <si>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</si>
  <si>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</si>
  <si>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</si>
  <si>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</si>
  <si>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</si>
  <si>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</si>
  <si>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</si>
  <si>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</si>
  <si>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</si>
  <si>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</si>
  <si>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</si>
  <si>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</si>
  <si>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</si>
  <si>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</si>
  <si>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</si>
  <si>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</si>
  <si>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</si>
  <si>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</si>
  <si>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</si>
  <si>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</si>
  <si>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</si>
  <si>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</si>
  <si>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</si>
  <si>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</si>
  <si>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</si>
  <si>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</si>
  <si>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</si>
  <si>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</si>
  <si>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</si>
  <si>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</si>
  <si>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</si>
  <si>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</si>
  <si>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</si>
  <si>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</si>
  <si>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</si>
  <si>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</si>
  <si>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</si>
  <si>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</si>
  <si>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</si>
  <si>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</si>
  <si>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</si>
  <si>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</si>
  <si>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</si>
  <si>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</si>
  <si>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</si>
  <si>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</si>
  <si>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</si>
  <si>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</si>
  <si>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</si>
  <si>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</si>
  <si>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</si>
  <si>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</si>
  <si>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</si>
  <si>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</si>
  <si>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</si>
  <si>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</si>
  <si>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</si>
  <si>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</si>
  <si>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</si>
  <si>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</si>
  <si>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</si>
  <si>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</si>
  <si>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</si>
  <si>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</si>
  <si>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</si>
  <si>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</si>
  <si>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</si>
  <si>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</si>
  <si>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</si>
  <si>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</si>
  <si>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</si>
  <si>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</si>
  <si>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</si>
  <si>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</si>
  <si>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</si>
  <si>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</si>
  <si>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</si>
  <si>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</si>
  <si>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</si>
  <si>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</si>
  <si>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</si>
  <si>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</si>
  <si>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</si>
  <si>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</si>
  <si>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</si>
  <si>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</si>
  <si>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</si>
  <si>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</si>
  <si>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</si>
  <si>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</si>
  <si>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</si>
  <si>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</si>
  <si>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</si>
  <si>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</si>
  <si>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</si>
  <si>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</si>
  <si>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</si>
  <si>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</si>
  <si>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</si>
  <si>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</si>
  <si>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</si>
  <si>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</si>
  <si>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</si>
  <si>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</si>
  <si>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</si>
  <si>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</si>
  <si>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</si>
  <si>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</si>
  <si>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</si>
  <si>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</si>
  <si>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</si>
  <si>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</si>
  <si>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</si>
  <si>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</si>
  <si>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</si>
  <si>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</si>
  <si>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</si>
  <si>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</si>
  <si>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</si>
  <si>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</si>
  <si>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</si>
  <si>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</si>
  <si>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</si>
  <si>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</si>
  <si>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</si>
  <si>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</si>
  <si>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</si>
  <si>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</si>
  <si>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</si>
  <si>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</si>
  <si>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</si>
  <si>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</si>
  <si>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</si>
  <si>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</si>
  <si>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</si>
  <si>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</si>
  <si>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</si>
  <si>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</si>
  <si>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</si>
  <si>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</si>
  <si>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</si>
  <si>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</si>
  <si>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</si>
  <si>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</si>
  <si>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</si>
  <si>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</si>
  <si>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</si>
  <si>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</si>
  <si>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</si>
  <si>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</si>
  <si>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</si>
  <si>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</si>
  <si>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</si>
  <si>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</si>
  <si>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</si>
  <si>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</si>
  <si>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</si>
  <si>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</si>
  <si>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</si>
  <si>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</si>
  <si>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</si>
  <si>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</si>
  <si>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</si>
  <si>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</si>
  <si>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</si>
  <si>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</si>
  <si>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</si>
  <si>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</si>
  <si>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</si>
  <si>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</si>
  <si>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</si>
  <si>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</si>
  <si>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</si>
  <si>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</si>
  <si>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</si>
  <si>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</si>
  <si>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</si>
  <si>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</si>
  <si>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</si>
  <si>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</si>
  <si>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</si>
  <si>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</si>
  <si>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</si>
  <si>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</si>
  <si>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</si>
  <si>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</si>
  <si>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</si>
  <si>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</si>
  <si>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</si>
  <si>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</si>
  <si>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</si>
  <si>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</si>
  <si>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</si>
  <si>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</si>
  <si>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</si>
  <si>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</si>
  <si>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</si>
  <si>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</si>
  <si>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</si>
  <si>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</si>
  <si>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</si>
  <si>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</si>
  <si>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</si>
  <si>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</si>
  <si>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</si>
  <si>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</si>
  <si>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</si>
  <si>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</si>
  <si>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</si>
  <si>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</si>
  <si>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</si>
  <si>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</si>
  <si>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</si>
  <si>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</si>
  <si>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</si>
  <si>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</si>
  <si>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</si>
  <si>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</si>
  <si>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</si>
  <si>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</si>
  <si>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</si>
  <si>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</si>
  <si>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</si>
  <si>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</si>
  <si>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</si>
  <si>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</si>
  <si>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</si>
  <si>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</si>
  <si>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</si>
  <si>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</si>
  <si>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</si>
  <si>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</si>
  <si>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</si>
  <si>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</si>
  <si>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</si>
  <si>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</si>
  <si>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</si>
  <si>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</si>
  <si>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</si>
  <si>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</si>
  <si>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</si>
  <si>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</si>
  <si>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</si>
  <si>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</si>
  <si>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</si>
  <si>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</si>
  <si>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</si>
  <si>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</si>
  <si>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</si>
  <si>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</si>
  <si>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</si>
  <si>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</si>
  <si>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</si>
  <si>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</si>
  <si>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</si>
  <si>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</si>
  <si>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</si>
  <si>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</si>
  <si>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</si>
  <si>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</si>
  <si>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</si>
  <si>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</si>
  <si>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</si>
  <si>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</si>
  <si>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</si>
  <si>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</si>
  <si>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</si>
  <si>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</si>
  <si>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</si>
  <si>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</si>
  <si>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</si>
  <si>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</si>
  <si>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</si>
  <si>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</si>
  <si>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</si>
  <si>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</si>
  <si>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</si>
  <si>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</si>
  <si>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</si>
  <si>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</si>
  <si>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</si>
  <si>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</si>
  <si>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</si>
  <si>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</si>
  <si>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</si>
  <si>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</si>
  <si>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</si>
  <si>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</si>
  <si>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</si>
  <si>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</si>
  <si>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</si>
  <si>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</si>
  <si>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</si>
  <si>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</si>
  <si>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</si>
  <si>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</si>
  <si>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</si>
  <si>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</si>
  <si>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</si>
  <si>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</si>
  <si>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</si>
  <si>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</si>
  <si>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</si>
  <si>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</si>
  <si>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</si>
  <si>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</si>
  <si>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</si>
  <si>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</si>
  <si>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</si>
  <si>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</si>
  <si>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</si>
  <si>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</si>
  <si>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</si>
  <si>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</si>
  <si>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</si>
  <si>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</si>
  <si>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</si>
  <si>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</si>
  <si>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</si>
  <si>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</si>
  <si>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</si>
  <si>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</si>
  <si>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</si>
  <si>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</si>
  <si>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</si>
  <si>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</si>
  <si>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</si>
  <si>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</si>
  <si>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</si>
  <si>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</si>
  <si>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</si>
  <si>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</si>
  <si>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</si>
  <si>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</si>
  <si>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</si>
  <si>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</si>
  <si>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</si>
  <si>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</si>
  <si>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</si>
  <si>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</si>
  <si>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</si>
  <si>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</si>
  <si>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</si>
  <si>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</si>
  <si>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</si>
  <si>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</si>
  <si>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</si>
  <si>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</si>
  <si>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</si>
  <si>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</si>
  <si>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</si>
  <si>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</si>
  <si>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</si>
  <si>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</si>
  <si>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</si>
  <si>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</si>
  <si>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</si>
  <si>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</si>
  <si>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</si>
  <si>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</si>
  <si>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</si>
  <si>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</si>
  <si>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</si>
  <si>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</si>
  <si>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</si>
  <si>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</si>
  <si>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</si>
  <si>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</si>
  <si>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</si>
  <si>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</si>
  <si>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</si>
  <si>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</si>
  <si>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</si>
  <si>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</si>
  <si>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</si>
  <si>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</si>
  <si>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</si>
  <si>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</si>
  <si>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</si>
  <si>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</si>
  <si>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</si>
  <si>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</si>
  <si>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</si>
  <si>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</si>
  <si>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</si>
  <si>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</si>
  <si>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</si>
  <si>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</si>
  <si>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</si>
  <si>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</si>
  <si>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</si>
  <si>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</si>
  <si>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</si>
  <si>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</si>
  <si>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</si>
  <si>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</si>
  <si>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</si>
  <si>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</si>
  <si>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</si>
  <si>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</si>
  <si>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</si>
  <si>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</si>
  <si>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</si>
  <si>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</si>
  <si>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</si>
  <si>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</si>
  <si>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</si>
  <si>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</si>
  <si>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</si>
  <si>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</si>
  <si>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</si>
  <si>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</si>
  <si>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</si>
  <si>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</si>
  <si>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</si>
  <si>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</si>
  <si>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</si>
  <si>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</si>
  <si>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</si>
  <si>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</si>
  <si>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</si>
  <si>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</si>
  <si>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</si>
  <si>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</si>
  <si>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</si>
  <si>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</si>
  <si>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</si>
  <si>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</si>
  <si>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</si>
  <si>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</si>
  <si>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</si>
  <si>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</si>
  <si>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</si>
  <si>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</si>
  <si>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</si>
  <si>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</si>
  <si>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</si>
  <si>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</si>
  <si>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</si>
  <si>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</si>
  <si>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</si>
  <si>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</si>
  <si>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</si>
  <si>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</si>
  <si>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</si>
  <si>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</si>
  <si>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</si>
  <si>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</si>
  <si>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</si>
  <si>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</si>
  <si>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</si>
  <si>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</si>
  <si>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</si>
  <si>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</si>
  <si>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</si>
  <si>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</si>
  <si>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</si>
  <si>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</si>
  <si>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</si>
  <si>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</si>
  <si>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</si>
  <si>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</si>
  <si>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</si>
  <si>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</si>
  <si>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</si>
  <si>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</si>
  <si>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</si>
  <si>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</si>
  <si>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</si>
  <si>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</si>
  <si>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</si>
  <si>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</si>
  <si>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</si>
  <si>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</si>
  <si>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</si>
  <si>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</si>
  <si>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</si>
  <si>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</si>
  <si>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</si>
  <si>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</si>
  <si>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</si>
  <si>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</si>
  <si>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</si>
  <si>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</si>
  <si>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</si>
  <si>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</si>
  <si>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</si>
  <si>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</si>
  <si>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</si>
  <si>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</si>
  <si>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</si>
  <si>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</si>
  <si>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</si>
  <si>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</si>
  <si>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</si>
  <si>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</si>
  <si>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</si>
  <si>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</si>
  <si>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</si>
  <si>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</si>
  <si>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</si>
  <si>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</si>
  <si>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</si>
  <si>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</si>
  <si>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</si>
  <si>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</si>
  <si>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</si>
  <si>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</si>
  <si>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</si>
  <si>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</si>
  <si>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</si>
  <si>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</si>
  <si>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</si>
  <si>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</si>
  <si>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</si>
  <si>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</si>
  <si>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</si>
  <si>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</si>
  <si>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</si>
  <si>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</si>
  <si>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</si>
  <si>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</si>
  <si>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</si>
  <si>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</si>
  <si>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</si>
  <si>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</si>
  <si>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</si>
  <si>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</si>
  <si>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</si>
  <si>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</si>
  <si>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</si>
  <si>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</si>
  <si>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</si>
  <si>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</si>
  <si>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</si>
  <si>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</si>
  <si>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</si>
  <si>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</si>
  <si>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</si>
  <si>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</si>
  <si>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</si>
  <si>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</si>
  <si>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</si>
  <si>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</si>
  <si>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</si>
  <si>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</si>
  <si>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</si>
  <si>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</si>
  <si>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</si>
  <si>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</si>
  <si>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</si>
  <si>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</si>
  <si>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</si>
  <si>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</si>
  <si>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</si>
  <si>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</si>
  <si>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</si>
  <si>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</si>
  <si>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</si>
  <si>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</si>
  <si>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</si>
  <si>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</si>
  <si>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</si>
  <si>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</si>
  <si>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</si>
  <si>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</si>
  <si>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</si>
  <si>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</si>
  <si>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</si>
  <si>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</si>
  <si>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</si>
  <si>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</si>
  <si>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</si>
  <si>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</si>
  <si>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</si>
  <si>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</si>
  <si>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</si>
  <si>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</si>
  <si>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</si>
  <si>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</si>
  <si>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</si>
  <si>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</si>
  <si>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</si>
  <si>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</si>
  <si>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</si>
  <si>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</si>
  <si>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</si>
  <si>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</si>
  <si>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</si>
  <si>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</si>
  <si>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</si>
  <si>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</si>
  <si>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</si>
  <si>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</si>
  <si>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</si>
  <si>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</si>
  <si>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</si>
  <si>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</si>
  <si>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</si>
  <si>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</si>
  <si>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</si>
  <si>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</si>
  <si>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</si>
  <si>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</si>
  <si>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</si>
  <si>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</si>
  <si>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</si>
  <si>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</si>
  <si>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</si>
  <si>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</si>
  <si>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</si>
  <si>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</si>
  <si>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</si>
  <si>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</si>
  <si>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</si>
  <si>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</si>
  <si>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</si>
  <si>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</si>
  <si>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</si>
  <si>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</si>
  <si>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</si>
  <si>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</si>
  <si>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</si>
  <si>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</si>
  <si>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</si>
  <si>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</si>
  <si>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</si>
  <si>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</si>
  <si>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</si>
  <si>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</si>
  <si>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</si>
  <si>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</si>
  <si>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</si>
  <si>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</si>
  <si>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</si>
  <si>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</si>
  <si>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</si>
  <si>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</si>
  <si>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</si>
  <si>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</si>
  <si>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</si>
  <si>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</si>
  <si>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</si>
  <si>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</si>
  <si>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</si>
  <si>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</si>
  <si>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</si>
  <si>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</si>
  <si>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</si>
  <si>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</si>
  <si>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</si>
  <si>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</si>
  <si>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</si>
  <si>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</si>
  <si>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</si>
  <si>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</si>
  <si>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</si>
  <si>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</si>
  <si>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</si>
  <si>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</si>
  <si>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</si>
  <si>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</si>
  <si>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</si>
  <si>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</si>
  <si>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</si>
  <si>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</si>
  <si>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</si>
  <si>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</si>
  <si>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</si>
  <si>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</si>
  <si>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</si>
  <si>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</si>
  <si>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</si>
  <si>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</si>
  <si>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</si>
  <si>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</si>
  <si>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</si>
  <si>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</si>
  <si>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</si>
  <si>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</si>
  <si>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</si>
  <si>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</si>
  <si>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</si>
  <si>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</si>
  <si>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</si>
  <si>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</si>
  <si>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</si>
  <si>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</si>
  <si>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</si>
  <si>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</si>
  <si>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</si>
  <si>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</si>
  <si>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</si>
  <si>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</si>
  <si>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</si>
  <si>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</si>
  <si>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</si>
  <si>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</si>
  <si>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</si>
  <si>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</si>
  <si>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</si>
  <si>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</si>
  <si>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</si>
  <si>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</si>
  <si>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</si>
  <si>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</si>
  <si>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</si>
  <si>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</si>
  <si>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</si>
  <si>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</si>
  <si>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</si>
  <si>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</si>
  <si>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</si>
  <si>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</si>
  <si>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</si>
  <si>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</si>
  <si>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</si>
  <si>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</si>
  <si>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</si>
  <si>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</si>
  <si>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</si>
  <si>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</si>
  <si>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</si>
  <si>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</si>
  <si>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</si>
  <si>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</si>
  <si>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</si>
  <si>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</si>
  <si>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</si>
  <si>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</si>
  <si>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</si>
  <si>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</si>
  <si>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</si>
  <si>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</si>
  <si>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</si>
  <si>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</si>
  <si>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</si>
  <si>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</si>
  <si>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</si>
  <si>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</si>
  <si>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</si>
  <si>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</si>
  <si>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</si>
  <si>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</si>
  <si>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</si>
  <si>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</si>
  <si>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</si>
  <si>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</si>
  <si>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</si>
  <si>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</si>
  <si>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</si>
  <si>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</si>
  <si>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</si>
  <si>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</si>
  <si>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</si>
  <si>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</si>
  <si>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</si>
  <si>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</si>
  <si>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</si>
  <si>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</si>
  <si>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</si>
  <si>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</si>
  <si>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</si>
  <si>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</si>
  <si>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</si>
  <si>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</si>
  <si>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</si>
  <si>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</si>
  <si>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</si>
  <si>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</si>
  <si>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</si>
  <si>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</si>
  <si>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</si>
  <si>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</si>
  <si>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</si>
  <si>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</si>
  <si>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</si>
  <si>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</si>
  <si>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</si>
  <si>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</si>
  <si>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</si>
  <si>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</si>
  <si>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</si>
  <si>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</si>
  <si>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</si>
  <si>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</si>
  <si>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</si>
  <si>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</si>
  <si>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</si>
  <si>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</si>
  <si>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</si>
  <si>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</si>
  <si>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</si>
  <si>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</si>
  <si>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</si>
  <si>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</si>
  <si>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</si>
  <si>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</si>
  <si>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</si>
  <si>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</si>
  <si>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</si>
  <si>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</si>
  <si>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</si>
  <si>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</si>
  <si>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</si>
  <si>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</si>
  <si>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</si>
  <si>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</si>
  <si>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</si>
  <si>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</si>
  <si>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</si>
  <si>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</si>
  <si>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</si>
  <si>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</si>
  <si>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</si>
  <si>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</si>
  <si>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</si>
  <si>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</si>
  <si>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</si>
  <si>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</si>
  <si>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</si>
  <si>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</si>
  <si>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</si>
  <si>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</si>
  <si>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</si>
  <si>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</si>
  <si>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</si>
  <si>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</si>
  <si>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</si>
  <si>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</si>
  <si>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</si>
  <si>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</si>
  <si>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</si>
  <si>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</si>
  <si>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</si>
  <si>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</si>
  <si>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</si>
  <si>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</si>
  <si>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</si>
  <si>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</si>
  <si>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</si>
  <si>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</si>
  <si>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</si>
  <si>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</si>
  <si>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</si>
  <si>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</si>
  <si>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</si>
  <si>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</si>
  <si>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</si>
  <si>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</si>
  <si>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</si>
  <si>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</si>
  <si>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</si>
  <si>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</si>
  <si>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</si>
  <si>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</si>
  <si>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</si>
  <si>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</si>
  <si>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</si>
  <si>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</si>
  <si>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</si>
  <si>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</si>
  <si>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</si>
  <si>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</si>
  <si>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</si>
  <si>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</si>
  <si>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</si>
  <si>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</si>
  <si>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</si>
  <si>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</si>
  <si>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</si>
  <si>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</si>
  <si>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</si>
  <si>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</si>
  <si>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</si>
  <si>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</si>
  <si>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</si>
  <si>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</si>
  <si>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</si>
  <si>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</si>
  <si>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</si>
  <si>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</si>
  <si>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</si>
  <si>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</si>
  <si>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</si>
  <si>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</si>
  <si>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</si>
  <si>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</si>
  <si>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</si>
  <si>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</si>
  <si>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</si>
  <si>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</si>
  <si>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</si>
  <si>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</si>
  <si>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</si>
  <si>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</si>
  <si>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</si>
  <si>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</si>
  <si>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</si>
  <si>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</si>
  <si>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</si>
  <si>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</si>
  <si>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</si>
  <si>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</si>
  <si>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</si>
  <si>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</si>
  <si>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</si>
  <si>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</si>
  <si>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</si>
  <si>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</si>
  <si>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</si>
  <si>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</si>
  <si>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</si>
  <si>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</si>
  <si>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</si>
  <si>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</si>
  <si>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</si>
  <si>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</si>
  <si>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</si>
  <si>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</si>
  <si>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</si>
  <si>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</si>
  <si>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</si>
  <si>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</si>
  <si>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</si>
  <si>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</si>
  <si>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</si>
  <si>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</si>
  <si>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</si>
  <si>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</si>
  <si>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</si>
  <si>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</si>
  <si>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</si>
  <si>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</si>
  <si>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</si>
  <si>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</si>
  <si>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</si>
  <si>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</si>
  <si>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</si>
  <si>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</si>
  <si>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</si>
  <si>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</si>
  <si>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</si>
  <si>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</si>
  <si>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</si>
  <si>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</si>
  <si>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</si>
  <si>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</si>
  <si>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</si>
  <si>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</si>
  <si>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</si>
  <si>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</si>
  <si>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</si>
  <si>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</si>
  <si>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</si>
  <si>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</si>
  <si>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</si>
  <si>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</si>
  <si>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</si>
  <si>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</si>
  <si>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</si>
  <si>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</si>
  <si>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</si>
  <si>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</si>
  <si>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</si>
  <si>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</si>
  <si>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</si>
  <si>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</si>
  <si>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</si>
  <si>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</si>
  <si>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</si>
  <si>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</si>
  <si>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</si>
  <si>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</si>
  <si>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</si>
  <si>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</si>
  <si>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</si>
  <si>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</si>
  <si>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</si>
  <si>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</si>
  <si>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</si>
  <si>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</si>
  <si>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</si>
  <si>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</si>
  <si>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</si>
  <si>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</si>
  <si>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</si>
  <si>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</si>
  <si>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</si>
  <si>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</si>
  <si>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</si>
  <si>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</si>
  <si>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</si>
  <si>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</si>
  <si>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</si>
  <si>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</si>
  <si>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</si>
  <si>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</si>
  <si>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</si>
  <si>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</si>
  <si>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</si>
  <si>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</si>
  <si>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</si>
  <si>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</si>
  <si>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</si>
  <si>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</si>
  <si>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</si>
  <si>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</si>
  <si>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</si>
  <si>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</si>
  <si>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</si>
  <si>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</si>
  <si>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</si>
  <si>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</si>
  <si>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</si>
  <si>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</si>
  <si>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</si>
  <si>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</si>
  <si>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</si>
  <si>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</si>
  <si>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</si>
  <si>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</si>
  <si>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</si>
  <si>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</si>
  <si>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</si>
  <si>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</si>
  <si>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</si>
  <si>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</si>
  <si>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</si>
  <si>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</si>
  <si>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</si>
  <si>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</si>
  <si>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</si>
  <si>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</si>
  <si>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</si>
  <si>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</si>
  <si>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</si>
  <si>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</si>
  <si>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</si>
  <si>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</si>
  <si>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</si>
  <si>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</si>
  <si>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</si>
  <si>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</si>
  <si>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</si>
  <si>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</si>
  <si>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</si>
  <si>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</si>
  <si>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</si>
  <si>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</si>
  <si>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</si>
  <si>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</si>
  <si>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</si>
  <si>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</si>
  <si>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</si>
  <si>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</si>
  <si>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</si>
  <si>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</si>
  <si>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</si>
  <si>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</si>
  <si>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</si>
  <si>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</si>
  <si>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</si>
  <si>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</si>
  <si>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</si>
  <si>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</si>
  <si>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</si>
  <si>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</si>
  <si>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</si>
  <si>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</si>
  <si>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</si>
  <si>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</si>
  <si>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</si>
  <si>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</si>
  <si>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</si>
  <si>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</si>
  <si>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</si>
  <si>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</si>
  <si>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</si>
  <si>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</si>
  <si>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</si>
  <si>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</si>
  <si>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</si>
  <si>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</si>
  <si>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</si>
  <si>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</si>
  <si>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</si>
  <si>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</si>
  <si>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</si>
  <si>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</si>
  <si>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</si>
  <si>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</si>
  <si>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</si>
  <si>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</si>
  <si>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</si>
  <si>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</si>
  <si>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</si>
  <si>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</si>
  <si>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</si>
  <si>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</si>
  <si>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</si>
  <si>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</si>
  <si>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</si>
  <si>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</si>
  <si>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</si>
  <si>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</si>
  <si>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</si>
  <si>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</si>
  <si>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</si>
  <si>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</si>
  <si>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</si>
  <si>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</si>
  <si>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</si>
  <si>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</si>
  <si>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</si>
  <si>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</si>
  <si>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</si>
  <si>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</si>
  <si>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</si>
  <si>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</si>
  <si>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</si>
  <si>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</si>
  <si>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</si>
  <si>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</si>
  <si>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</si>
  <si>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</si>
  <si>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</si>
  <si>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</si>
  <si>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</si>
  <si>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</si>
  <si>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</si>
  <si>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</si>
  <si>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</si>
  <si>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</si>
  <si>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</si>
  <si>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</si>
  <si>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</si>
  <si>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</si>
  <si>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</si>
  <si>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</si>
  <si>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</si>
  <si>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</si>
  <si>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</si>
  <si>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</si>
  <si>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</si>
  <si>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</si>
  <si>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</si>
  <si>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</si>
  <si>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</si>
  <si>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</si>
  <si>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</si>
  <si>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</si>
  <si>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</si>
  <si>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</si>
  <si>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</si>
  <si>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</si>
  <si>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</si>
  <si>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</si>
  <si>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</si>
  <si>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</si>
  <si>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</si>
  <si>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</si>
  <si>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</si>
  <si>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</si>
  <si>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</si>
  <si>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</si>
  <si>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</si>
  <si>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</si>
  <si>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</si>
  <si>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</si>
  <si>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</si>
  <si>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</si>
  <si>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</si>
  <si>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</si>
  <si>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</si>
  <si>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</si>
  <si>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</si>
  <si>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</si>
  <si>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</si>
  <si>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</si>
  <si>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</si>
  <si>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</si>
  <si>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</si>
  <si>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</si>
  <si>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</si>
  <si>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</si>
  <si>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</si>
  <si>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</si>
  <si>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</si>
  <si>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</si>
  <si>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</si>
  <si>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</si>
  <si>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</si>
  <si>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</si>
  <si>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</si>
  <si>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</si>
  <si>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</si>
  <si>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</si>
  <si>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</si>
  <si>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</si>
  <si>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</si>
  <si>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</si>
  <si>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</si>
  <si>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</si>
  <si>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</si>
  <si>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</si>
  <si>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</si>
  <si>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</si>
  <si>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</si>
  <si>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</si>
  <si>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</si>
  <si>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</si>
  <si>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</si>
  <si>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</si>
  <si>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</si>
  <si>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</si>
  <si>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</si>
  <si>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</si>
  <si>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</si>
  <si>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</si>
  <si>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</si>
  <si>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</si>
  <si>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</si>
  <si>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</si>
  <si>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</si>
  <si>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</si>
  <si>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</si>
  <si>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</si>
  <si>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</si>
  <si>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</si>
  <si>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</si>
  <si>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</si>
  <si>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</si>
  <si>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</si>
  <si>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</si>
  <si>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</si>
  <si>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</si>
  <si>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</si>
  <si>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</si>
  <si>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</si>
  <si>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</si>
  <si>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</si>
  <si>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</si>
  <si>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</si>
  <si>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</si>
  <si>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</si>
  <si>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</si>
  <si>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</si>
  <si>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</si>
  <si>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</si>
  <si>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</si>
  <si>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</si>
  <si>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</si>
  <si>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</si>
  <si>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</si>
  <si>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</si>
  <si>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</si>
  <si>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</si>
  <si>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</si>
  <si>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</si>
  <si>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</si>
  <si>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</si>
  <si>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</si>
  <si>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</si>
  <si>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</si>
  <si>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</si>
  <si>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</si>
  <si>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</si>
  <si>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</si>
  <si>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</si>
  <si>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</si>
  <si>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</si>
  <si>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</si>
  <si>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</si>
  <si>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</si>
  <si>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</si>
  <si>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</si>
  <si>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</si>
  <si>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</si>
  <si>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</si>
  <si>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</si>
  <si>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</si>
  <si>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</si>
  <si>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</si>
  <si>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</si>
  <si>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</si>
  <si>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</si>
  <si>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</si>
  <si>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</si>
  <si>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</si>
  <si>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</si>
  <si>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</si>
  <si>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</si>
  <si>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</si>
  <si>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</si>
  <si>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</si>
  <si>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</si>
  <si>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</si>
  <si>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</si>
  <si>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</si>
  <si>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</si>
  <si>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</si>
  <si>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</si>
  <si>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</si>
  <si>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</si>
  <si>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</si>
  <si>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</si>
  <si>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</si>
  <si>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</si>
  <si>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</si>
  <si>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</si>
  <si>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</si>
  <si>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</si>
  <si>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</si>
  <si>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</si>
  <si>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</si>
  <si>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</si>
  <si>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</si>
  <si>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</si>
  <si>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</si>
  <si>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</si>
  <si>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</si>
  <si>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</si>
  <si>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</si>
  <si>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</si>
  <si>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</si>
  <si>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</si>
  <si>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</si>
  <si>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</si>
  <si>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</si>
  <si>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</si>
  <si>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</si>
  <si>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</si>
  <si>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</si>
  <si>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</si>
  <si>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</si>
  <si>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</si>
  <si>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</si>
  <si>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</si>
  <si>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</si>
  <si>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</si>
  <si>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</si>
  <si>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</si>
  <si>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</si>
  <si>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</si>
  <si>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</si>
  <si>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</si>
  <si>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</si>
  <si>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</si>
  <si>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</si>
  <si>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</si>
  <si>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</si>
  <si>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</si>
  <si>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</si>
  <si>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</si>
  <si>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</si>
  <si>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</si>
  <si>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</si>
  <si>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</si>
  <si>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</si>
  <si>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</si>
  <si>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</si>
  <si>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</si>
  <si>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</si>
  <si>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</si>
  <si>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</si>
  <si>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</si>
  <si>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</si>
  <si>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</si>
  <si>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</si>
  <si>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</si>
  <si>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</si>
  <si>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</si>
  <si>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</si>
  <si>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</si>
  <si>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</si>
  <si>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</si>
  <si>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</si>
  <si>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</si>
  <si>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</si>
  <si>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</si>
  <si>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</si>
  <si>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</si>
  <si>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</si>
  <si>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</si>
  <si>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</si>
  <si>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</si>
  <si>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</si>
  <si>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</si>
  <si>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</si>
  <si>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</si>
  <si>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</si>
  <si>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</si>
  <si>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</si>
  <si>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</si>
  <si>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</si>
  <si>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</si>
  <si>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</si>
  <si>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</si>
  <si>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</si>
  <si>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</si>
  <si>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</si>
  <si>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</si>
  <si>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</si>
  <si>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</si>
  <si>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</si>
  <si>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</si>
  <si>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</si>
  <si>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</si>
  <si>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</si>
  <si>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</si>
  <si>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</si>
  <si>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</si>
  <si>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</si>
  <si>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</si>
  <si>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</si>
  <si>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</si>
  <si>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</si>
  <si>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</si>
  <si>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</si>
  <si>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</si>
  <si>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</si>
  <si>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</si>
  <si>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</si>
  <si>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</si>
  <si>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</si>
  <si>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</si>
  <si>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</si>
  <si>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</si>
  <si>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</si>
  <si>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</si>
  <si>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</si>
  <si>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</si>
  <si>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</si>
  <si>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</si>
  <si>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</si>
  <si>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</si>
  <si>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</si>
  <si>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</si>
  <si>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</si>
  <si>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</si>
  <si>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</si>
  <si>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</si>
  <si>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</si>
  <si>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</si>
  <si>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</si>
  <si>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</si>
  <si>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</si>
  <si>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</si>
  <si>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</si>
  <si>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</si>
  <si>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</si>
  <si>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</si>
  <si>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</si>
  <si>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</si>
  <si>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</si>
  <si>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</si>
  <si>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</si>
  <si>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</si>
  <si>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</si>
  <si>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</si>
  <si>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</si>
  <si>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</si>
  <si>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</si>
  <si>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</si>
  <si>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</si>
  <si>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</si>
  <si>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</si>
  <si>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</si>
  <si>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</si>
  <si>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</si>
  <si>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</si>
  <si>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</si>
  <si>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</si>
  <si>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</si>
  <si>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</si>
  <si>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</si>
  <si>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</si>
  <si>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</si>
  <si>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</si>
  <si>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</si>
  <si>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</si>
  <si>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</si>
  <si>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</si>
  <si>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</si>
  <si>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</si>
  <si>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</si>
  <si>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</si>
  <si>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</si>
  <si>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</si>
  <si>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</si>
  <si>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</si>
  <si>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</si>
  <si>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</si>
  <si>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</si>
  <si>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</si>
  <si>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</si>
  <si>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</si>
  <si>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</si>
  <si>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</si>
  <si>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</si>
  <si>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</si>
  <si>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</si>
  <si>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</si>
  <si>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</si>
  <si>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</si>
  <si>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</si>
  <si>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</si>
  <si>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</si>
  <si>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</si>
  <si>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</si>
  <si>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</si>
  <si>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</si>
  <si>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</si>
  <si>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</si>
  <si>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</si>
  <si>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</si>
  <si>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</si>
  <si>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</si>
  <si>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</si>
  <si>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</si>
  <si>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</si>
  <si>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</si>
  <si>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</si>
  <si>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</si>
  <si>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</si>
  <si>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</si>
  <si>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</si>
  <si>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</si>
  <si>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</si>
  <si>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</si>
  <si>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</si>
  <si>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</si>
  <si>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</si>
  <si>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</si>
  <si>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</si>
  <si>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</si>
  <si>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</si>
  <si>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</si>
  <si>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</si>
  <si>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</si>
  <si>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</si>
  <si>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</si>
  <si>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</si>
  <si>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</si>
  <si>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</si>
  <si>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</si>
  <si>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</si>
  <si>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</si>
  <si>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</si>
  <si>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</si>
  <si>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</si>
  <si>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</si>
  <si>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</si>
  <si>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</si>
  <si>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</si>
  <si>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</si>
  <si>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</si>
  <si>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</si>
  <si>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</si>
  <si>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</si>
  <si>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</si>
  <si>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</si>
  <si>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</si>
  <si>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</si>
  <si>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</si>
  <si>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</si>
  <si>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</si>
  <si>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</si>
  <si>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</si>
  <si>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</si>
  <si>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</si>
  <si>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</si>
  <si>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</si>
  <si>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</si>
  <si>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</si>
  <si>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</si>
  <si>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</si>
  <si>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</si>
  <si>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</si>
  <si>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</si>
  <si>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</si>
  <si>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</si>
  <si>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</si>
  <si>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</si>
  <si>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</si>
  <si>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</si>
  <si>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</si>
  <si>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</si>
  <si>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</si>
  <si>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</si>
  <si>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</si>
  <si>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</si>
  <si>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</si>
  <si>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</si>
  <si>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</si>
  <si>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</si>
  <si>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</si>
  <si>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</si>
  <si>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</si>
  <si>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</si>
  <si>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</si>
  <si>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</si>
  <si>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</si>
  <si>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</si>
  <si>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</si>
  <si>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</si>
  <si>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</si>
  <si>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</si>
  <si>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</si>
  <si>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</si>
  <si>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</si>
  <si>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</si>
  <si>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</si>
  <si>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</si>
  <si>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</si>
  <si>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</si>
  <si>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</si>
  <si>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</si>
  <si>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</si>
  <si>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</si>
  <si>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</si>
  <si>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</si>
  <si>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</si>
  <si>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</si>
  <si>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</si>
  <si>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</si>
  <si>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</si>
  <si>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</si>
  <si>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</si>
  <si>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</si>
  <si>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</si>
  <si>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</si>
  <si>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</si>
  <si>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</si>
  <si>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</si>
  <si>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</si>
  <si>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</si>
  <si>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</si>
  <si>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</si>
  <si>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</si>
  <si>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</si>
  <si>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</si>
  <si>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</si>
  <si>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</si>
  <si>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</si>
  <si>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</si>
  <si>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</si>
  <si>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</si>
  <si>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</si>
  <si>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</si>
  <si>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</si>
  <si>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</si>
  <si>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</si>
  <si>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</si>
  <si>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</si>
  <si>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</si>
  <si>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</si>
  <si>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</si>
  <si>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</si>
  <si>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</si>
  <si>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</si>
  <si>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</si>
  <si>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</si>
  <si>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</si>
  <si>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</si>
  <si>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</si>
  <si>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</si>
  <si>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</si>
  <si>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</si>
  <si>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</si>
  <si>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</si>
  <si>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</si>
  <si>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</si>
  <si>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</si>
  <si>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</si>
  <si>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</si>
  <si>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</si>
  <si>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</si>
  <si>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</si>
  <si>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</si>
  <si>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</si>
  <si>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</si>
  <si>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</si>
  <si>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</si>
  <si>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</si>
  <si>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</si>
  <si>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</si>
  <si>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</si>
  <si>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</si>
  <si>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</si>
  <si>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</si>
  <si>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</si>
  <si>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</si>
  <si>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</si>
  <si>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</si>
  <si>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</si>
  <si>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</si>
  <si>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</si>
  <si>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</si>
  <si>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</si>
  <si>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</si>
  <si>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</si>
  <si>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</si>
  <si>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</si>
  <si>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</si>
  <si>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</si>
  <si>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</si>
  <si>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</si>
  <si>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</si>
  <si>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</si>
  <si>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</si>
  <si>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</si>
  <si>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</si>
  <si>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</si>
  <si>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</si>
  <si>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</si>
  <si>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</si>
  <si>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</si>
  <si>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</si>
  <si>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</si>
  <si>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</si>
  <si>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</si>
  <si>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</si>
  <si>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</si>
  <si>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</si>
  <si>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</si>
  <si>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</si>
  <si>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</si>
  <si>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</si>
  <si>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</si>
  <si>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</si>
  <si>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</si>
  <si>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</si>
  <si>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</si>
  <si>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</si>
  <si>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</si>
  <si>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</si>
  <si>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</si>
  <si>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</si>
  <si>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</si>
  <si>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</si>
  <si>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</si>
  <si>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</si>
  <si>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</si>
  <si>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</si>
  <si>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</si>
  <si>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</si>
  <si>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</si>
  <si>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</si>
  <si>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</si>
  <si>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</si>
  <si>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</si>
  <si>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</si>
  <si>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</si>
  <si>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</si>
  <si>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</si>
  <si>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</si>
  <si>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</si>
  <si>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</si>
  <si>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</si>
  <si>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</si>
  <si>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</si>
  <si>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</si>
  <si>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</si>
  <si>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</si>
  <si>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</si>
  <si>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</si>
  <si>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</si>
  <si>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</si>
  <si>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</si>
  <si>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</si>
  <si>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</si>
  <si>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</si>
  <si>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</si>
  <si>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</si>
  <si>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</si>
  <si>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</si>
  <si>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</si>
  <si>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</si>
  <si>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</si>
  <si>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</si>
  <si>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</si>
  <si>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</si>
  <si>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</si>
  <si>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</si>
  <si>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</si>
  <si>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</si>
  <si>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</si>
  <si>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</si>
  <si>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</si>
  <si>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</si>
  <si>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</si>
  <si>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</si>
  <si>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</si>
  <si>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</si>
  <si>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</si>
  <si>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</si>
  <si>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</si>
  <si>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</si>
  <si>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</si>
  <si>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</si>
  <si>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</si>
  <si>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</si>
  <si>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</si>
  <si>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</si>
  <si>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</si>
  <si>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</si>
  <si>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</si>
  <si>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</si>
  <si>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</si>
  <si>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</si>
  <si>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</si>
  <si>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</si>
  <si>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</si>
  <si>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</si>
  <si>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</si>
  <si>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</si>
  <si>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</si>
  <si>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</si>
  <si>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</si>
  <si>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</si>
  <si>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</si>
  <si>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</si>
  <si>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</si>
  <si>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</si>
  <si>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</si>
  <si>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</si>
  <si>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</si>
  <si>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</si>
  <si>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</si>
  <si>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</si>
  <si>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</si>
  <si>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</si>
  <si>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</si>
  <si>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</si>
  <si>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</si>
  <si>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</si>
  <si>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</si>
  <si>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</si>
  <si>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</si>
  <si>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</si>
  <si>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</si>
  <si>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</si>
  <si>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</si>
  <si>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</si>
  <si>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</si>
  <si>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</si>
  <si>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</si>
  <si>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</si>
  <si>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</si>
  <si>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</si>
  <si>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</si>
  <si>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</si>
  <si>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</si>
  <si>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</si>
  <si>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</si>
  <si>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</si>
  <si>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</si>
  <si>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</si>
  <si>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</si>
  <si>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</si>
  <si>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</si>
  <si>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</si>
  <si>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</si>
  <si>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</si>
  <si>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</si>
  <si>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</si>
  <si>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</si>
  <si>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</si>
  <si>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</si>
  <si>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</si>
  <si>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</si>
  <si>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</si>
  <si>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</si>
  <si>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</si>
  <si>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</si>
  <si>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</si>
  <si>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</si>
  <si>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</si>
  <si>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</si>
  <si>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</si>
  <si>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</si>
  <si>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</si>
  <si>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</si>
  <si>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</si>
  <si>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</si>
  <si>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</si>
  <si>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</si>
  <si>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</si>
  <si>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</si>
  <si>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</si>
  <si>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</si>
  <si>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</si>
  <si>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</si>
  <si>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</si>
  <si>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</si>
  <si>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</si>
  <si>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</si>
  <si>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</si>
  <si>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</si>
  <si>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</si>
  <si>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</si>
  <si>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</si>
  <si>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</si>
  <si>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</si>
  <si>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</si>
  <si>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</si>
  <si>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</si>
  <si>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</si>
  <si>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</si>
  <si>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</si>
  <si>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</si>
  <si>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</si>
  <si>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</si>
  <si>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</si>
  <si>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</si>
  <si>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</si>
  <si>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</si>
  <si>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</si>
  <si>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</si>
  <si>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</si>
  <si>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</si>
  <si>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</si>
  <si>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</si>
  <si>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</si>
  <si>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</si>
  <si>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</si>
  <si>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</si>
  <si>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</si>
  <si>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</si>
  <si>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</si>
  <si>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</si>
  <si>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</si>
  <si>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</si>
  <si>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</si>
  <si>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</si>
  <si>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</si>
  <si>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</si>
  <si>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</si>
  <si>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</si>
  <si>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</si>
  <si>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</si>
  <si>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</si>
  <si>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</si>
  <si>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</si>
  <si>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</si>
  <si>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</si>
  <si>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</si>
  <si>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</si>
  <si>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</si>
  <si>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</si>
  <si>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</si>
  <si>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</si>
  <si>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</si>
  <si>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</si>
  <si>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</si>
  <si>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</si>
  <si>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</si>
  <si>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</si>
  <si>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</si>
  <si>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</si>
  <si>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</si>
  <si>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</si>
  <si>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</si>
  <si>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</si>
  <si>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</si>
  <si>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</si>
  <si>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</si>
  <si>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</si>
  <si>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</si>
  <si>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</si>
  <si>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</si>
  <si>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</si>
  <si>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</si>
  <si>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</si>
  <si>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</si>
  <si>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</si>
  <si>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</si>
  <si>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</si>
  <si>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</si>
  <si>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</si>
  <si>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</si>
  <si>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</si>
  <si>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</si>
  <si>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</si>
  <si>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</si>
  <si>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</si>
  <si>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</si>
  <si>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</si>
  <si>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</si>
  <si>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</si>
  <si>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</si>
  <si>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</si>
  <si>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</si>
  <si>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</si>
  <si>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</si>
  <si>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</si>
  <si>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</si>
  <si>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</si>
  <si>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</si>
  <si>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</si>
  <si>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</si>
  <si>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</si>
  <si>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</si>
  <si>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</si>
  <si>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</si>
  <si>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</si>
  <si>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</si>
  <si>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</si>
  <si>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</si>
  <si>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</si>
  <si>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</si>
  <si>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</si>
  <si>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</si>
  <si>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</si>
  <si>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</si>
  <si>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</si>
  <si>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</si>
  <si>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</si>
  <si>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</si>
  <si>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</si>
  <si>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</si>
  <si>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</si>
  <si>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</si>
  <si>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</si>
  <si>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</si>
  <si>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</si>
  <si>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</si>
  <si>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</si>
  <si>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</si>
  <si>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</si>
  <si>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</si>
  <si>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</si>
  <si>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</si>
  <si>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</si>
  <si>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</si>
  <si>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</si>
  <si>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</si>
  <si>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</si>
  <si>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</si>
  <si>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</si>
  <si>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</si>
  <si>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</si>
  <si>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</si>
  <si>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</si>
  <si>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</si>
  <si>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</si>
  <si>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</si>
  <si>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</si>
  <si>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</si>
  <si>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</si>
  <si>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</si>
  <si>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</si>
  <si>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</si>
  <si>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</si>
  <si>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</si>
  <si>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</si>
  <si>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</si>
  <si>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</si>
  <si>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</si>
  <si>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</si>
  <si>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</si>
  <si>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</si>
  <si>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</si>
  <si>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</si>
  <si>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</si>
  <si>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</si>
  <si>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</si>
  <si>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</si>
  <si>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</si>
  <si>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</si>
  <si>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</si>
  <si>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</si>
  <si>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</si>
  <si>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</si>
  <si>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</si>
  <si>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</si>
  <si>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</si>
  <si>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</si>
  <si>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</si>
  <si>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</si>
  <si>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</si>
  <si>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</si>
  <si>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</si>
  <si>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</si>
  <si>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</si>
  <si>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</si>
  <si>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</si>
  <si>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</si>
  <si>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</si>
  <si>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</si>
  <si>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</si>
  <si>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</si>
  <si>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</si>
  <si>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</si>
  <si>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</si>
  <si>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</si>
  <si>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</si>
  <si>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</si>
  <si>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</si>
  <si>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</si>
  <si>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</si>
  <si>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</si>
  <si>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</si>
  <si>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</si>
  <si>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</si>
  <si>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</si>
  <si>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</si>
  <si>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</si>
  <si>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</si>
  <si>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</si>
  <si>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</si>
  <si>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</si>
  <si>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</si>
  <si>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</si>
  <si>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</si>
  <si>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</si>
  <si>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</si>
  <si>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</si>
  <si>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</si>
  <si>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</si>
  <si>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</si>
  <si>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</si>
  <si>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</si>
  <si>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</si>
  <si>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</si>
  <si>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</si>
  <si>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</si>
  <si>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</si>
  <si>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</si>
  <si>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</si>
  <si>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</si>
  <si>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</si>
  <si>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</si>
  <si>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</si>
  <si>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</si>
  <si>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</si>
  <si>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</si>
  <si>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</si>
  <si>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</si>
  <si>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</si>
  <si>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</si>
  <si>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</si>
  <si>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</si>
  <si>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</si>
  <si>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</si>
  <si>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</si>
  <si>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</si>
  <si>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</si>
  <si>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</si>
  <si>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</si>
  <si>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</si>
  <si>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</si>
  <si>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</si>
  <si>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</si>
  <si>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</si>
  <si>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</si>
  <si>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</si>
  <si>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</si>
  <si>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</si>
  <si>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</si>
  <si>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</si>
  <si>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</si>
  <si>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</si>
  <si>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</si>
  <si>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</si>
  <si>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</si>
  <si>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</si>
  <si>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</si>
  <si>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</si>
  <si>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</si>
  <si>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</si>
  <si>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</si>
  <si>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</si>
  <si>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</si>
  <si>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</si>
  <si>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</si>
  <si>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</si>
  <si>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</si>
  <si>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</si>
  <si>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</si>
  <si>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</si>
  <si>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</si>
  <si>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</si>
  <si>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</si>
  <si>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</si>
  <si>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</si>
  <si>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</si>
  <si>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</si>
  <si>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</si>
  <si>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</si>
  <si>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</si>
  <si>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</si>
  <si>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</si>
  <si>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</si>
  <si>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</si>
  <si>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</si>
  <si>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</si>
  <si>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</si>
  <si>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</si>
  <si>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</si>
  <si>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</si>
  <si>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</si>
  <si>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</si>
  <si>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</si>
  <si>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</si>
  <si>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</si>
  <si>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</si>
  <si>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</si>
  <si>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</si>
  <si>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</si>
  <si>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</si>
  <si>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</si>
  <si>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</si>
  <si>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</si>
  <si>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</si>
  <si>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</si>
  <si>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</si>
  <si>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</si>
  <si>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</si>
  <si>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</si>
  <si>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</si>
  <si>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</si>
  <si>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</si>
  <si>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</si>
  <si>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</si>
  <si>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</si>
  <si>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</si>
  <si>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</si>
  <si>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</si>
  <si>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</si>
  <si>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</si>
  <si>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</si>
  <si>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</si>
  <si>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</si>
  <si>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</si>
  <si>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</si>
  <si>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</si>
  <si>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</si>
  <si>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</si>
  <si>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</si>
  <si>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</si>
  <si>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</si>
  <si>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</si>
  <si>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</si>
  <si>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</si>
  <si>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</si>
  <si>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</si>
  <si>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</si>
  <si>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</si>
  <si>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</si>
  <si>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</si>
  <si>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</si>
  <si>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</si>
  <si>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</si>
  <si>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</si>
  <si>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</si>
  <si>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</si>
  <si>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</si>
  <si>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</si>
  <si>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</si>
  <si>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</si>
  <si>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</si>
  <si>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</si>
  <si>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</si>
  <si>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</si>
  <si>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</si>
  <si>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</si>
  <si>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</si>
  <si>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</si>
  <si>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</si>
  <si>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</si>
  <si>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</si>
  <si>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</si>
  <si>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</si>
  <si>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</si>
  <si>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</si>
  <si>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</si>
  <si>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</si>
  <si>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</si>
  <si>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</si>
  <si>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</si>
  <si>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</si>
  <si>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</si>
  <si>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</si>
  <si>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</si>
  <si>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</si>
  <si>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</si>
  <si>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</si>
  <si>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</si>
  <si>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</si>
  <si>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</si>
  <si>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</si>
  <si>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</si>
  <si>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</si>
  <si>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</si>
  <si>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</si>
  <si>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</si>
  <si>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</si>
  <si>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</si>
  <si>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</si>
  <si>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</si>
  <si>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</si>
  <si>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</si>
  <si>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</si>
  <si>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</si>
  <si>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</si>
  <si>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</si>
  <si>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</si>
  <si>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</si>
  <si>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</si>
  <si>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</si>
  <si>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</si>
  <si>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</si>
  <si>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</si>
  <si>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</si>
  <si>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</si>
  <si>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</si>
  <si>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</si>
  <si>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</si>
  <si>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</si>
  <si>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</si>
  <si>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</si>
  <si>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</si>
  <si>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</si>
  <si>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</si>
  <si>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</si>
  <si>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</si>
  <si>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</si>
  <si>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</si>
  <si>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</si>
  <si>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</si>
  <si>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</si>
  <si>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</si>
  <si>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</si>
  <si>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</si>
  <si>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</si>
  <si>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</si>
  <si>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</si>
  <si>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</si>
  <si>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</si>
  <si>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</si>
  <si>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</si>
  <si>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</si>
  <si>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</si>
  <si>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</si>
  <si>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</si>
  <si>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</si>
  <si>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</si>
  <si>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</si>
  <si>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</si>
  <si>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</si>
  <si>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</si>
  <si>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</si>
  <si>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</si>
  <si>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</si>
  <si>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</si>
  <si>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</si>
  <si>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</si>
  <si>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</si>
  <si>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</si>
  <si>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</si>
  <si>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</si>
  <si>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</si>
  <si>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</si>
  <si>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</si>
  <si>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</si>
  <si>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</si>
  <si>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</si>
  <si>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</si>
  <si>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</si>
  <si>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</si>
  <si>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</si>
  <si>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</si>
  <si>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</si>
  <si>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</si>
  <si>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</si>
  <si>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</si>
  <si>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</si>
  <si>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</si>
  <si>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</si>
  <si>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</si>
  <si>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</si>
  <si>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</si>
  <si>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</si>
  <si>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</si>
  <si>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</si>
  <si>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</si>
  <si>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</si>
  <si>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</si>
  <si>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</si>
  <si>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</si>
  <si>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</si>
  <si>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</si>
  <si>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</si>
  <si>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</si>
  <si>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</si>
  <si>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</si>
  <si>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</si>
  <si>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</si>
  <si>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</si>
  <si>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</si>
  <si>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</si>
  <si>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</si>
  <si>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</si>
  <si>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</si>
  <si>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</si>
  <si>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</si>
  <si>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</si>
  <si>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</si>
  <si>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</si>
  <si>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</si>
  <si>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</si>
  <si>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</si>
  <si>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</si>
  <si>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</si>
  <si>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</si>
  <si>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</si>
  <si>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</si>
  <si>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</si>
  <si>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</si>
  <si>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</si>
  <si>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</si>
  <si>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</si>
  <si>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</si>
  <si>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</si>
  <si>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</si>
  <si>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</si>
  <si>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</si>
  <si>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</si>
  <si>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</si>
  <si>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</si>
  <si>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</si>
  <si>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</si>
  <si>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</si>
  <si>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</si>
  <si>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</si>
  <si>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</si>
  <si>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</si>
  <si>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</si>
  <si>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</si>
  <si>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</si>
  <si>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</si>
  <si>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</si>
  <si>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</si>
  <si>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</si>
  <si>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</si>
  <si>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</si>
  <si>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</si>
  <si>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</si>
  <si>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</si>
  <si>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</si>
  <si>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</si>
  <si>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</si>
  <si>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</si>
  <si>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</si>
  <si>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</si>
  <si>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</si>
  <si>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</si>
  <si>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</si>
  <si>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</si>
  <si>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</si>
  <si>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</si>
  <si>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</si>
  <si>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</si>
  <si>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</si>
  <si>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</si>
  <si>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</si>
  <si>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</si>
  <si>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</si>
  <si>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</si>
  <si>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</si>
  <si>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</si>
  <si>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</si>
  <si>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</si>
  <si>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</si>
  <si>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</si>
  <si>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</si>
  <si>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</si>
  <si>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</si>
  <si>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</si>
  <si>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</si>
  <si>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</si>
  <si>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</si>
  <si>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</si>
  <si>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</si>
  <si>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</si>
  <si>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</si>
  <si>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</si>
  <si>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</si>
  <si>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</si>
  <si>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</si>
  <si>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</si>
  <si>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</si>
  <si>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</si>
  <si>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</si>
  <si>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</si>
  <si>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</si>
  <si>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</si>
  <si>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</si>
  <si>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</si>
  <si>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</si>
  <si>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</si>
  <si>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</si>
  <si>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</si>
  <si>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</si>
  <si>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</si>
  <si>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</si>
  <si>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</si>
  <si>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</si>
  <si>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</si>
  <si>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</si>
  <si>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</si>
  <si>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</si>
  <si>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</si>
  <si>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</si>
  <si>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</si>
  <si>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</si>
  <si>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</si>
  <si>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</si>
  <si>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</si>
  <si>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</si>
  <si>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</si>
  <si>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</si>
  <si>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</si>
  <si>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</si>
  <si>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</si>
  <si>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</si>
  <si>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</si>
  <si>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</si>
  <si>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</si>
  <si>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</si>
  <si>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</si>
  <si>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</si>
  <si>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</si>
  <si>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</si>
  <si>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</si>
  <si>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</si>
  <si>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</si>
  <si>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</si>
  <si>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</si>
  <si>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</si>
  <si>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</si>
  <si>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</si>
  <si>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</si>
  <si>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</si>
  <si>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</si>
  <si>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</si>
  <si>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</si>
  <si>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</si>
  <si>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</si>
  <si>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</si>
  <si>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</si>
  <si>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</si>
  <si>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</si>
  <si>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</si>
  <si>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</si>
  <si>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</si>
  <si>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</si>
  <si>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</si>
  <si>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</si>
  <si>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</si>
  <si>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</si>
  <si>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</si>
  <si>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</si>
  <si>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</si>
  <si>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</si>
  <si>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</si>
  <si>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</si>
  <si>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</si>
  <si>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</si>
  <si>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</si>
  <si>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</si>
  <si>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</si>
  <si>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</si>
  <si>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</si>
  <si>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</si>
  <si>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</si>
  <si>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</si>
  <si>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</si>
  <si>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</si>
  <si>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</si>
  <si>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</si>
  <si>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</si>
  <si>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</si>
  <si>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</si>
  <si>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</si>
  <si>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</si>
  <si>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</si>
  <si>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</si>
  <si>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</si>
  <si>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</si>
  <si>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</si>
  <si>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</si>
  <si>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</si>
  <si>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</si>
  <si>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</si>
  <si>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</si>
  <si>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</si>
  <si>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</si>
  <si>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</si>
  <si>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</si>
  <si>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</si>
  <si>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</si>
  <si>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</si>
  <si>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</si>
  <si>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</si>
  <si>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</si>
  <si>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</si>
  <si>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</si>
  <si>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</si>
  <si>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</si>
  <si>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</si>
  <si>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</si>
  <si>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</si>
  <si>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</si>
  <si>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</si>
  <si>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</si>
  <si>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</si>
  <si>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</si>
  <si>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</si>
  <si>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</si>
  <si>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</si>
  <si>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</si>
  <si>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</si>
  <si>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</si>
  <si>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</si>
  <si>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</si>
  <si>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</si>
  <si>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</si>
  <si>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</si>
  <si>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</si>
  <si>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</si>
  <si>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</si>
  <si>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</si>
  <si>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</si>
  <si>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</si>
  <si>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</si>
  <si>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</si>
  <si>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</si>
  <si>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</si>
  <si>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</si>
  <si>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</si>
  <si>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</si>
  <si>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</si>
  <si>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</si>
  <si>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</si>
  <si>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</si>
  <si>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</si>
  <si>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</si>
  <si>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</si>
  <si>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</si>
  <si>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</si>
  <si>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</si>
  <si>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</si>
  <si>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</si>
  <si>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</si>
  <si>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</si>
  <si>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</si>
  <si>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</si>
  <si>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</si>
  <si>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</si>
  <si>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</si>
  <si>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</si>
  <si>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</si>
  <si>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</si>
  <si>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</si>
  <si>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</si>
  <si>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</si>
  <si>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</si>
  <si>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</si>
  <si>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</si>
  <si>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</si>
  <si>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</si>
  <si>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</si>
  <si>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</si>
  <si>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</si>
  <si>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</si>
  <si>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</si>
  <si>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</si>
  <si>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</si>
  <si>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</si>
  <si>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</si>
  <si>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</si>
  <si>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</si>
  <si>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</si>
  <si>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</si>
  <si>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</si>
  <si>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</si>
  <si>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</si>
  <si>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</si>
  <si>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</si>
  <si>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</si>
  <si>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</si>
  <si>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</si>
  <si>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</si>
  <si>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</si>
  <si>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</si>
  <si>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</si>
  <si>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</si>
  <si>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</si>
  <si>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</si>
  <si>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</si>
  <si>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</si>
  <si>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</si>
  <si>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</si>
  <si>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</si>
  <si>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</si>
  <si>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</si>
  <si>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</si>
  <si>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</si>
  <si>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</si>
  <si>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</si>
  <si>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</si>
  <si>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</si>
  <si>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</si>
  <si>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</si>
  <si>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</si>
  <si>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</si>
  <si>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</si>
  <si>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</si>
  <si>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</si>
  <si>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</si>
  <si>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</si>
  <si>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</si>
  <si>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</si>
  <si>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</si>
  <si>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</si>
  <si>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</si>
  <si>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</si>
  <si>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</si>
  <si>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</si>
  <si>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</si>
  <si>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</si>
  <si>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</si>
  <si>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</si>
  <si>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</si>
  <si>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</si>
  <si>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</si>
  <si>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</si>
  <si>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</si>
  <si>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</si>
  <si>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</si>
  <si>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</si>
  <si>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</si>
  <si>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</si>
  <si>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</si>
  <si>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</si>
  <si>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</si>
  <si>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</si>
  <si>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</si>
  <si>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</si>
  <si>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</si>
  <si>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</si>
  <si>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</si>
  <si>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</si>
  <si>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</si>
  <si>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</si>
  <si>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</si>
  <si>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</si>
  <si>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</si>
  <si>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</si>
  <si>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</si>
  <si>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</si>
  <si>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</si>
  <si>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</si>
  <si>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</si>
  <si>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</si>
  <si>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</si>
  <si>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</si>
  <si>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</si>
  <si>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</si>
  <si>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</si>
  <si>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</si>
  <si>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</si>
  <si>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</si>
  <si>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</si>
  <si>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</si>
  <si>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</si>
  <si>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</si>
  <si>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</si>
  <si>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</si>
  <si>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</si>
  <si>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</si>
  <si>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</si>
  <si>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</si>
  <si>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</si>
  <si>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</si>
  <si>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</si>
  <si>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</si>
  <si>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</si>
  <si>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</si>
  <si>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</si>
  <si>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</si>
  <si>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</si>
  <si>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</si>
  <si>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</si>
  <si>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</si>
  <si>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</si>
  <si>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</si>
  <si>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</si>
  <si>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</si>
  <si>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</si>
  <si>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</si>
  <si>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</si>
  <si>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</si>
  <si>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</si>
  <si>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</si>
  <si>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</si>
  <si>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</si>
  <si>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</si>
  <si>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</si>
  <si>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</si>
  <si>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</si>
  <si>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</si>
  <si>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</si>
  <si>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</si>
  <si>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</si>
  <si>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</si>
  <si>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</si>
  <si>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</si>
  <si>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</si>
  <si>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</si>
  <si>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</si>
  <si>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</si>
  <si>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</si>
  <si>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</si>
  <si>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</si>
  <si>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</si>
  <si>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</si>
  <si>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</si>
  <si>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</si>
  <si>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</si>
  <si>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</si>
  <si>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</si>
  <si>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</si>
  <si>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</si>
  <si>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</si>
  <si>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</si>
  <si>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</si>
  <si>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</si>
  <si>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</si>
  <si>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</si>
  <si>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</si>
  <si>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</si>
  <si>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</si>
  <si>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</si>
  <si>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</si>
  <si>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</si>
  <si>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</si>
  <si>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</si>
  <si>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</si>
  <si>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</si>
  <si>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</si>
  <si>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</si>
  <si>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</si>
  <si>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</si>
  <si>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</si>
  <si>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</si>
  <si>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</si>
  <si>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</si>
  <si>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</si>
  <si>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</si>
  <si>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</si>
  <si>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</si>
  <si>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</si>
  <si>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</si>
  <si>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</si>
  <si>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</si>
  <si>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</si>
  <si>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</si>
  <si>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</si>
  <si>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</si>
  <si>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</si>
  <si>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</si>
  <si>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</si>
  <si>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</si>
  <si>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</si>
  <si>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</si>
  <si>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</si>
  <si>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</si>
  <si>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</si>
  <si>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</si>
  <si>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</si>
  <si>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</si>
  <si>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</si>
  <si>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</si>
  <si>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</si>
  <si>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</si>
  <si>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</si>
  <si>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</si>
  <si>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</si>
  <si>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</si>
  <si>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</si>
  <si>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</si>
  <si>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</si>
  <si>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</si>
  <si>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</si>
  <si>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</si>
  <si>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</si>
  <si>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</si>
  <si>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</si>
  <si>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</si>
  <si>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</si>
  <si>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</si>
  <si>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</si>
  <si>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</si>
  <si>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</si>
  <si>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</si>
  <si>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</si>
  <si>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</si>
  <si>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</si>
  <si>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</si>
  <si>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</si>
  <si>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</si>
  <si>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</si>
  <si>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</si>
  <si>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</si>
  <si>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</si>
  <si>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</si>
  <si>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</si>
  <si>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</si>
  <si>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</si>
  <si>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</si>
  <si>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</si>
  <si>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</si>
  <si>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</si>
  <si>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</si>
  <si>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</si>
  <si>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</si>
  <si>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</si>
  <si>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</si>
  <si>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</si>
  <si>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</si>
  <si>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</si>
  <si>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</si>
  <si>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</si>
  <si>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</si>
  <si>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</si>
  <si>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</si>
  <si>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</si>
  <si>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</si>
  <si>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</si>
  <si>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</si>
  <si>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</si>
  <si>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</si>
  <si>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</si>
  <si>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</si>
  <si>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</si>
  <si>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</si>
  <si>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</si>
  <si>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</si>
  <si>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</si>
  <si>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</si>
  <si>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</si>
  <si>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</si>
  <si>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</si>
  <si>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</si>
  <si>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</si>
  <si>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</si>
  <si>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</si>
  <si>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</si>
  <si>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</si>
  <si>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</si>
  <si>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</si>
  <si>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</si>
  <si>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</si>
  <si>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</si>
  <si>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</si>
  <si>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</si>
  <si>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</si>
  <si>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</si>
  <si>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</si>
  <si>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</si>
  <si>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</si>
  <si>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</si>
  <si>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</si>
  <si>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</si>
  <si>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</si>
  <si>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</si>
  <si>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</si>
  <si>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</si>
  <si>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</si>
  <si>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</si>
  <si>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</si>
  <si>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</si>
  <si>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</si>
  <si>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</si>
  <si>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</si>
  <si>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</si>
  <si>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</si>
  <si>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</si>
  <si>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</si>
  <si>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</si>
  <si>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</si>
  <si>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</si>
  <si>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</si>
  <si>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</si>
  <si>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</si>
  <si>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</si>
  <si>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</si>
  <si>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</si>
  <si>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</si>
  <si>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</si>
  <si>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</si>
  <si>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</si>
  <si>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</si>
  <si>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</si>
  <si>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</si>
  <si>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</si>
  <si>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</si>
  <si>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</si>
  <si>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</si>
  <si>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</si>
  <si>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</si>
  <si>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</si>
  <si>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</si>
  <si>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</si>
  <si>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</si>
  <si>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</si>
  <si>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</si>
  <si>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</si>
  <si>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</si>
  <si>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</si>
  <si>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</si>
  <si>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</si>
  <si>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</si>
  <si>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</si>
  <si>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</si>
  <si>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</si>
  <si>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</si>
  <si>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</si>
  <si>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</si>
  <si>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</si>
  <si>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</si>
  <si>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</si>
  <si>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</si>
  <si>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</si>
  <si>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</si>
  <si>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</si>
  <si>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</si>
  <si>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</si>
  <si>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</si>
  <si>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</si>
  <si>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</si>
  <si>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</si>
  <si>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</si>
  <si>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</si>
  <si>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</si>
  <si>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</si>
  <si>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</si>
  <si>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</si>
  <si>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</si>
  <si>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</si>
  <si>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</si>
  <si>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</si>
  <si>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</si>
  <si>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</si>
  <si>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</si>
  <si>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</si>
  <si>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</si>
  <si>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</si>
  <si>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</si>
  <si>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</si>
  <si>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</si>
  <si>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</si>
  <si>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</si>
  <si>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</si>
  <si>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</si>
  <si>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</si>
  <si>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</si>
  <si>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</si>
  <si>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</si>
  <si>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</si>
  <si>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</si>
  <si>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</si>
  <si>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</si>
  <si>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</si>
  <si>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</si>
  <si>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</si>
  <si>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</si>
  <si>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</si>
  <si>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</si>
  <si>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</si>
  <si>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</si>
  <si>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</si>
  <si>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</si>
  <si>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</si>
  <si>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</si>
  <si>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</si>
  <si>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</si>
  <si>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</si>
  <si>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</si>
  <si>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</si>
  <si>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</si>
  <si>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</si>
  <si>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</si>
  <si>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</si>
  <si>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</si>
  <si>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</si>
  <si>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</si>
  <si>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</si>
  <si>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</si>
  <si>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</si>
  <si>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</si>
  <si>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</si>
  <si>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</si>
  <si>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</si>
  <si>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</si>
  <si>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</si>
  <si>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</si>
  <si>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</si>
  <si>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</si>
  <si>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</si>
  <si>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</si>
  <si>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</si>
  <si>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</si>
  <si>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</si>
  <si>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</si>
  <si>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</si>
  <si>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</si>
  <si>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</si>
  <si>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</si>
  <si>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</si>
  <si>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</si>
  <si>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</si>
  <si>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</si>
  <si>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</si>
  <si>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</si>
  <si>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</si>
  <si>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</si>
  <si>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</si>
  <si>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</si>
  <si>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</si>
  <si>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</si>
  <si>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</si>
  <si>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</si>
  <si>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</si>
  <si>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</si>
  <si>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</si>
  <si>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</si>
  <si>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</si>
  <si>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</si>
  <si>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</si>
  <si>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</si>
  <si>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</si>
  <si>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</si>
  <si>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</si>
  <si>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</si>
  <si>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</si>
  <si>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</si>
  <si>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</si>
  <si>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</si>
  <si>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</si>
  <si>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</si>
  <si>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</si>
  <si>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</si>
  <si>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</si>
  <si>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</si>
  <si>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</si>
  <si>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</si>
  <si>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</si>
  <si>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</si>
  <si>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</si>
  <si>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</si>
  <si>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</si>
  <si>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</si>
  <si>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</si>
  <si>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</si>
  <si>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</si>
  <si>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</si>
  <si>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</si>
  <si>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</si>
  <si>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</si>
  <si>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</si>
  <si>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</si>
  <si>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</si>
  <si>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</si>
  <si>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</si>
  <si>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</si>
  <si>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</si>
  <si>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</si>
  <si>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</si>
  <si>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</si>
  <si>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</si>
  <si>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</si>
  <si>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</si>
  <si>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</si>
  <si>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</si>
  <si>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</si>
  <si>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</si>
  <si>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</si>
  <si>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</si>
  <si>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</si>
  <si>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</si>
  <si>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</si>
  <si>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</si>
  <si>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</si>
  <si>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</si>
  <si>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</si>
  <si>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</si>
  <si>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</si>
  <si>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</si>
  <si>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</si>
  <si>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</si>
  <si>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</si>
  <si>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</si>
  <si>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</si>
  <si>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</si>
  <si>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</si>
  <si>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</si>
  <si>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</si>
  <si>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</si>
  <si>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</si>
  <si>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</si>
  <si>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</si>
  <si>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</si>
  <si>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</si>
  <si>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</si>
  <si>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</si>
  <si>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</si>
  <si>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</si>
  <si>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</si>
  <si>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</si>
  <si>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</si>
  <si>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</si>
  <si>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</si>
  <si>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</si>
  <si>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</si>
  <si>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</si>
  <si>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</si>
  <si>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</si>
  <si>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</si>
  <si>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</si>
  <si>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</si>
  <si>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</si>
  <si>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</si>
  <si>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</si>
  <si>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</si>
  <si>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</si>
  <si>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</si>
  <si>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</si>
  <si>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</si>
  <si>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</si>
  <si>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</si>
  <si>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</si>
  <si>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</si>
  <si>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</si>
  <si>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</si>
  <si>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</si>
  <si>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</si>
  <si>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</si>
  <si>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</si>
  <si>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</si>
  <si>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</si>
  <si>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</si>
  <si>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</si>
  <si>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</si>
  <si>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</si>
  <si>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</si>
  <si>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</si>
  <si>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</si>
  <si>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</si>
  <si>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</si>
  <si>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</si>
  <si>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</si>
  <si>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</si>
  <si>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</si>
  <si>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</si>
  <si>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</si>
  <si>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</si>
  <si>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</si>
  <si>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</si>
  <si>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</si>
  <si>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</si>
  <si>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</si>
  <si>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</si>
  <si>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</si>
  <si>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</si>
  <si>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</si>
  <si>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</si>
  <si>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</si>
  <si>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</si>
  <si>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</si>
  <si>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</si>
  <si>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</si>
  <si>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</si>
  <si>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</si>
  <si>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</si>
  <si>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</si>
  <si>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</si>
  <si>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</si>
  <si>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</si>
  <si>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</si>
  <si>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</si>
  <si>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</si>
  <si>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</si>
  <si>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</si>
  <si>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</si>
  <si>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</si>
  <si>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</si>
  <si>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</si>
  <si>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</si>
  <si>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</si>
  <si>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</si>
  <si>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</si>
  <si>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</si>
  <si>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</si>
  <si>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</si>
  <si>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</si>
  <si>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</si>
  <si>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</si>
  <si>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</si>
  <si>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</si>
  <si>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</si>
  <si>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</si>
  <si>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</si>
  <si>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</si>
  <si>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</si>
  <si>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</si>
  <si>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</si>
  <si>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</si>
  <si>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</si>
  <si>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</si>
  <si>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</si>
  <si>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</si>
  <si>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</si>
  <si>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</si>
  <si>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</si>
  <si>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</si>
  <si>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</si>
  <si>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</si>
  <si>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</si>
  <si>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</si>
  <si>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</si>
  <si>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</si>
  <si>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</si>
  <si>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</si>
  <si>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</si>
  <si>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</si>
  <si>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</si>
  <si>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</si>
  <si>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</si>
  <si>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</si>
  <si>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</si>
  <si>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</si>
  <si>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</si>
  <si>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</si>
  <si>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</si>
  <si>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</si>
  <si>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</si>
  <si>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</si>
  <si>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</si>
  <si>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</si>
  <si>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</si>
  <si>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</si>
  <si>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</si>
  <si>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</si>
  <si>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</si>
  <si>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</si>
  <si>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</si>
  <si>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</si>
  <si>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</si>
  <si>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</si>
  <si>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</si>
  <si>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</si>
  <si>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</si>
  <si>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</si>
  <si>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</si>
  <si>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</si>
  <si>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</si>
  <si>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</si>
  <si>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</si>
  <si>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</si>
  <si>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</si>
  <si>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</si>
  <si>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</si>
  <si>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</si>
  <si>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</si>
  <si>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</si>
  <si>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</si>
  <si>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</si>
  <si>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</si>
  <si>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</si>
  <si>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</si>
  <si>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</si>
  <si>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</si>
  <si>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</si>
  <si>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</si>
  <si>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</si>
  <si>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</si>
  <si>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</si>
  <si>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</si>
  <si>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</si>
  <si>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</si>
  <si>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</si>
  <si>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</si>
  <si>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</si>
  <si>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</si>
  <si>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</si>
  <si>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</si>
  <si>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</si>
  <si>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</si>
  <si>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</si>
  <si>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</si>
  <si>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</si>
  <si>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</si>
  <si>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</si>
  <si>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</si>
  <si>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</si>
  <si>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</si>
  <si>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</si>
  <si>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</si>
  <si>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</si>
  <si>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</si>
  <si>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</si>
  <si>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</si>
  <si>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</si>
  <si>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</si>
  <si>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</si>
  <si>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</si>
  <si>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</si>
  <si>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</si>
  <si>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</si>
  <si>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</si>
  <si>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</si>
  <si>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</si>
  <si>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</si>
  <si>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</si>
  <si>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</si>
  <si>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</si>
  <si>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</si>
  <si>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</si>
  <si>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</si>
  <si>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</si>
  <si>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</si>
  <si>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</si>
  <si>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</si>
  <si>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</si>
  <si>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</si>
  <si>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</si>
  <si>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</si>
  <si>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</si>
  <si>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</si>
  <si>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</si>
  <si>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</si>
  <si>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</si>
  <si>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</si>
  <si>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</si>
  <si>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</si>
  <si>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</si>
  <si>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</si>
  <si>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</si>
  <si>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</si>
  <si>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</si>
  <si>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</si>
  <si>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</si>
  <si>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</si>
  <si>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</si>
  <si>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</si>
  <si>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</si>
  <si>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</si>
  <si>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</si>
  <si>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</si>
  <si>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</si>
  <si>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</si>
  <si>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</si>
  <si>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</si>
  <si>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</si>
  <si>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</si>
  <si>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</si>
  <si>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</si>
  <si>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</si>
  <si>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</si>
  <si>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</si>
  <si>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</si>
  <si>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</si>
  <si>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</si>
  <si>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</si>
  <si>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</si>
  <si>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</si>
  <si>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</si>
  <si>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</si>
  <si>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</si>
  <si>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</si>
  <si>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</si>
  <si>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</si>
  <si>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</si>
  <si>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</si>
  <si>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</si>
  <si>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</si>
  <si>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</si>
  <si>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</si>
  <si>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</si>
  <si>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</si>
  <si>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</si>
  <si>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</si>
  <si>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</si>
  <si>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</si>
  <si>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</si>
  <si>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</si>
  <si>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</si>
  <si>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</si>
  <si>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</si>
  <si>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</si>
  <si>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</si>
  <si>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</si>
  <si>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</si>
  <si>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</si>
  <si>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</si>
  <si>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</si>
  <si>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</si>
  <si>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</si>
  <si>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</si>
  <si>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</si>
  <si>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</si>
  <si>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</si>
  <si>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</si>
  <si>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</si>
  <si>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</si>
  <si>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</si>
  <si>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</si>
  <si>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</si>
  <si>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</si>
  <si>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</si>
  <si>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</si>
  <si>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</si>
  <si>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</si>
  <si>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</si>
  <si>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</si>
  <si>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</si>
  <si>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</si>
  <si>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</si>
  <si>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</si>
  <si>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</si>
  <si>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</si>
  <si>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</si>
  <si>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</si>
  <si>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</si>
  <si>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</si>
  <si>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</si>
  <si>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</si>
  <si>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</si>
  <si>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</si>
  <si>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</si>
  <si>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</si>
  <si>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</si>
  <si>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</si>
  <si>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</si>
  <si>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</si>
  <si>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</si>
  <si>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</si>
  <si>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</si>
  <si>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</si>
  <si>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</si>
  <si>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</si>
  <si>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</si>
  <si>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</si>
  <si>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</si>
  <si>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</si>
  <si>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</si>
  <si>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</si>
  <si>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</si>
  <si>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</si>
  <si>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</si>
  <si>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</si>
  <si>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</si>
  <si>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</si>
  <si>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</si>
  <si>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</si>
  <si>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</si>
  <si>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</si>
  <si>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</si>
  <si>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</si>
  <si>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</si>
  <si>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</si>
  <si>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</si>
  <si>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</si>
  <si>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</si>
  <si>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</si>
  <si>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</si>
  <si>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</si>
  <si>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</si>
  <si>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</si>
  <si>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</si>
  <si>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</si>
  <si>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</si>
  <si>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</si>
  <si>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</si>
  <si>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</si>
  <si>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</si>
  <si>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</si>
  <si>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</si>
  <si>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</si>
  <si>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</si>
  <si>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</si>
  <si>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</si>
  <si>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</si>
  <si>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</si>
  <si>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</si>
  <si>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</si>
  <si>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</si>
  <si>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</si>
  <si>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</si>
  <si>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</si>
  <si>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</si>
  <si>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</si>
  <si>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</si>
  <si>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</si>
  <si>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</si>
  <si>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</si>
  <si>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</si>
  <si>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</si>
  <si>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</si>
  <si>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</si>
  <si>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</si>
  <si>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</si>
  <si>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</si>
  <si>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</si>
  <si>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</si>
  <si>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</si>
  <si>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</si>
  <si>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</si>
  <si>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</si>
  <si>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</si>
  <si>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</si>
  <si>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</si>
  <si>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</si>
  <si>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</si>
  <si>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</si>
  <si>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</si>
  <si>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</si>
  <si>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</si>
  <si>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</si>
  <si>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</si>
  <si>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</si>
  <si>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</si>
  <si>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</si>
  <si>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</si>
  <si>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</si>
  <si>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</si>
  <si>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</si>
  <si>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</si>
  <si>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</si>
  <si>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</si>
  <si>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</si>
  <si>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</si>
  <si>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</si>
  <si>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</si>
  <si>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</si>
  <si>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</si>
  <si>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</si>
  <si>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</si>
  <si>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</si>
  <si>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</si>
  <si>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</si>
  <si>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</si>
  <si>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</si>
  <si>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</si>
  <si>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</si>
  <si>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</si>
  <si>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</si>
  <si>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</si>
  <si>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</si>
  <si>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</si>
  <si>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</si>
  <si>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</si>
  <si>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</si>
  <si>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</si>
  <si>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</si>
  <si>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</si>
  <si>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</si>
  <si>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</si>
  <si>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</si>
  <si>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</si>
  <si>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</si>
  <si>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</si>
  <si>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</si>
  <si>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</si>
  <si>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</si>
  <si>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</si>
  <si>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</si>
  <si>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</si>
  <si>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</si>
  <si>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</si>
  <si>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</si>
  <si>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</si>
  <si>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</si>
  <si>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</si>
  <si>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</si>
  <si>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</si>
  <si>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</si>
  <si>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</si>
  <si>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</si>
  <si>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</si>
  <si>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</si>
  <si>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</si>
  <si>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</si>
  <si>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</si>
  <si>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</si>
  <si>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</si>
  <si>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</si>
  <si>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</si>
  <si>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</si>
  <si>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</si>
  <si>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</si>
  <si>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</si>
  <si>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</si>
  <si>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</si>
  <si>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</si>
  <si>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</si>
  <si>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</si>
  <si>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</si>
  <si>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</si>
  <si>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</si>
  <si>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</si>
  <si>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</si>
  <si>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</si>
  <si>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</si>
  <si>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</si>
  <si>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</si>
  <si>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</si>
  <si>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</si>
  <si>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</si>
  <si>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</si>
  <si>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</si>
  <si>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</si>
  <si>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</si>
  <si>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</si>
  <si>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</si>
  <si>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</si>
  <si>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</si>
  <si>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</si>
  <si>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</si>
  <si>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</si>
  <si>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</si>
  <si>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</si>
  <si>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</si>
  <si>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</si>
  <si>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</si>
  <si>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</si>
  <si>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</si>
  <si>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</si>
  <si>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</si>
  <si>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</si>
  <si>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</si>
  <si>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</si>
  <si>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</si>
  <si>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</si>
  <si>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</si>
  <si>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</si>
  <si>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</si>
  <si>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</si>
  <si>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</si>
  <si>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</si>
  <si>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</si>
  <si>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</si>
  <si>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</si>
  <si>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</si>
  <si>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</si>
  <si>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</si>
  <si>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</si>
  <si>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</si>
  <si>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</si>
  <si>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</si>
  <si>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</si>
  <si>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</si>
  <si>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</si>
  <si>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</si>
  <si>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</si>
  <si>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</si>
  <si>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</si>
  <si>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</si>
  <si>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</si>
  <si>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</si>
  <si>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</si>
  <si>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</si>
  <si>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</si>
  <si>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</si>
  <si>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</si>
  <si>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</si>
  <si>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</si>
  <si>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</si>
  <si>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</si>
  <si>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</si>
  <si>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</si>
  <si>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</si>
  <si>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</si>
  <si>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</si>
  <si>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</si>
  <si>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</si>
  <si>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</si>
  <si>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</si>
  <si>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</si>
  <si>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</si>
  <si>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</si>
  <si>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</si>
  <si>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</si>
  <si>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</si>
  <si>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</si>
  <si>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</si>
  <si>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</si>
  <si>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</si>
  <si>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</si>
  <si>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</si>
  <si>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</si>
  <si>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</si>
  <si>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</si>
  <si>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</si>
  <si>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</si>
  <si>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</si>
  <si>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</si>
  <si>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</si>
  <si>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</si>
  <si>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</si>
  <si>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</si>
  <si>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</si>
  <si>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</si>
  <si>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</si>
  <si>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</si>
  <si>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</si>
  <si>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</si>
  <si>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</si>
  <si>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</si>
  <si>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</si>
  <si>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</si>
  <si>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</si>
  <si>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</si>
  <si>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</si>
  <si>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</si>
  <si>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</si>
  <si>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</si>
  <si>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</si>
  <si>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</si>
  <si>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</si>
  <si>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</si>
  <si>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</si>
  <si>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</si>
  <si>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</si>
  <si>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</si>
  <si>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</si>
  <si>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</si>
  <si>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</si>
  <si>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</si>
  <si>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</si>
  <si>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</si>
  <si>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</si>
  <si>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</si>
  <si>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</si>
  <si>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</si>
  <si>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</si>
  <si>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</si>
  <si>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</si>
  <si>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</si>
  <si>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</si>
  <si>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</si>
  <si>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</si>
  <si>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</si>
  <si>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</si>
  <si>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</si>
  <si>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</si>
  <si>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</si>
  <si>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</si>
  <si>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</si>
  <si>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</si>
  <si>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</si>
  <si>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</si>
  <si>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</si>
  <si>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</si>
  <si>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</si>
  <si>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</si>
  <si>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</si>
  <si>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</si>
  <si>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</si>
  <si>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</si>
  <si>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</si>
  <si>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</si>
  <si>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</si>
  <si>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</si>
  <si>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</si>
  <si>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</si>
  <si>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</si>
  <si>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</si>
  <si>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</si>
  <si>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</si>
  <si>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</si>
  <si>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</si>
  <si>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</si>
  <si>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</si>
  <si>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</si>
  <si>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</si>
  <si>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</si>
  <si>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</si>
  <si>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</si>
  <si>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</si>
  <si>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</si>
  <si>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</si>
  <si>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</si>
  <si>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</si>
  <si>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</si>
  <si>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</si>
  <si>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</si>
  <si>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</si>
  <si>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</si>
  <si>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</si>
  <si>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</si>
  <si>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</si>
  <si>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</si>
  <si>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</si>
  <si>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</si>
  <si>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</si>
  <si>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</si>
  <si>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</si>
  <si>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</si>
  <si>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</si>
  <si>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</si>
  <si>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</si>
  <si>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</si>
  <si>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</si>
  <si>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</si>
  <si>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</si>
  <si>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</si>
  <si>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</si>
  <si>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</si>
  <si>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</si>
  <si>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</si>
  <si>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</si>
  <si>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</si>
  <si>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</si>
  <si>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</si>
  <si>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</si>
  <si>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</si>
  <si>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</si>
  <si>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</si>
  <si>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</si>
  <si>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</si>
  <si>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</si>
  <si>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</si>
  <si>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</si>
  <si>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</si>
  <si>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</si>
  <si>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</si>
  <si>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</si>
  <si>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</si>
  <si>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</si>
  <si>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</si>
  <si>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</si>
  <si>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</si>
  <si>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</si>
  <si>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</si>
  <si>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</si>
  <si>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</si>
  <si>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</si>
  <si>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</si>
  <si>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</si>
  <si>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</si>
  <si>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</si>
  <si>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</si>
  <si>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</si>
  <si>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</si>
  <si>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</si>
  <si>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</si>
  <si>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</si>
  <si>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</si>
  <si>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</si>
  <si>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</si>
  <si>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</si>
  <si>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</si>
  <si>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</si>
  <si>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</si>
  <si>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</si>
  <si>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</si>
  <si>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</si>
  <si>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</si>
  <si>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</si>
  <si>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</si>
  <si>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</si>
  <si>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</si>
  <si>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</si>
  <si>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</si>
  <si>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</si>
  <si>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</si>
  <si>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</si>
  <si>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</si>
  <si>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</si>
  <si>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</si>
  <si>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</si>
  <si>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</si>
  <si>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</si>
  <si>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</si>
  <si>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</si>
  <si>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</si>
  <si>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</si>
  <si>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</si>
  <si>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</si>
  <si>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</si>
  <si>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</si>
  <si>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</si>
  <si>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</si>
  <si>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</si>
  <si>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</si>
  <si>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</si>
  <si>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</si>
  <si>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</si>
  <si>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</si>
  <si>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</si>
  <si>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</si>
  <si>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</si>
  <si>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</si>
  <si>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</si>
  <si>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</si>
  <si>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</si>
  <si>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</si>
  <si>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</si>
  <si>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</si>
  <si>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</si>
  <si>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</si>
  <si>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</si>
  <si>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</si>
  <si>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</si>
  <si>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</si>
  <si>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</si>
  <si>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</si>
  <si>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</si>
  <si>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</si>
  <si>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</si>
  <si>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</si>
  <si>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</si>
  <si>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</si>
  <si>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</si>
  <si>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</si>
  <si>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</si>
  <si>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</si>
  <si>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</si>
  <si>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</si>
  <si>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</si>
  <si>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</si>
  <si>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</si>
  <si>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</si>
  <si>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</si>
  <si>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</si>
  <si>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</si>
  <si>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</si>
  <si>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</si>
  <si>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</si>
  <si>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</si>
  <si>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</si>
  <si>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</si>
  <si>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</si>
  <si>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</si>
  <si>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</si>
  <si>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</si>
  <si>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</si>
  <si>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</si>
  <si>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</si>
  <si>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</si>
  <si>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</si>
  <si>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</si>
  <si>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</si>
  <si>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</si>
  <si>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</si>
  <si>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</si>
  <si>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</si>
  <si>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</si>
  <si>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</si>
  <si>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</si>
  <si>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</si>
  <si>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</si>
  <si>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</si>
  <si>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</si>
  <si>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</si>
  <si>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</si>
  <si>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</si>
  <si>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</si>
  <si>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</si>
  <si>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</si>
  <si>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</si>
  <si>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</si>
  <si>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</si>
  <si>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</si>
  <si>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</si>
  <si>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</si>
  <si>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</si>
  <si>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</si>
  <si>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</si>
  <si>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</si>
  <si>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</si>
  <si>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</si>
  <si>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</si>
  <si>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</si>
  <si>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</si>
  <si>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</si>
  <si>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</si>
  <si>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</si>
  <si>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</si>
  <si>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</si>
  <si>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</si>
  <si>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</si>
  <si>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</si>
  <si>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</si>
  <si>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</si>
  <si>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</si>
  <si>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</si>
  <si>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</si>
  <si>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</si>
  <si>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</si>
  <si>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</si>
  <si>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</si>
  <si>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</si>
  <si>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</si>
  <si>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</si>
  <si>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</si>
  <si>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</si>
  <si>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</si>
  <si>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</si>
  <si>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</si>
  <si>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</si>
  <si>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</si>
  <si>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</si>
  <si>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</si>
  <si>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</si>
  <si>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</si>
  <si>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</si>
  <si>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</si>
  <si>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</si>
  <si>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</si>
  <si>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</si>
  <si>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</si>
  <si>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</si>
  <si>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</si>
  <si>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</si>
  <si>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</si>
  <si>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</si>
  <si>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</si>
  <si>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</si>
  <si>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</si>
  <si>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</si>
  <si>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</si>
  <si>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</si>
  <si>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</si>
  <si>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</si>
  <si>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</si>
  <si>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</si>
  <si>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</si>
  <si>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</si>
  <si>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</si>
  <si>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</si>
  <si>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</si>
  <si>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</si>
  <si>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</si>
  <si>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</si>
  <si>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</si>
  <si>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</si>
  <si>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</si>
  <si>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</si>
  <si>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</si>
  <si>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</si>
  <si>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</si>
  <si>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</si>
  <si>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</si>
  <si>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</si>
  <si>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</si>
  <si>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</si>
  <si>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</si>
  <si>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</si>
  <si>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</si>
  <si>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</si>
  <si>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</si>
  <si>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</si>
  <si>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</si>
  <si>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</si>
  <si>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</si>
  <si>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</si>
  <si>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</si>
  <si>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</si>
  <si>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</si>
  <si>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</si>
  <si>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</si>
  <si>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</si>
  <si>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</si>
  <si>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</si>
  <si>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</si>
  <si>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</si>
  <si>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</si>
  <si>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</si>
  <si>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</si>
  <si>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</si>
  <si>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</si>
  <si>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</si>
  <si>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</si>
  <si>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</si>
  <si>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</si>
  <si>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</si>
  <si>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</si>
  <si>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</si>
  <si>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</si>
  <si>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</si>
  <si>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</si>
  <si>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</si>
  <si>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</si>
  <si>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</si>
  <si>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</si>
  <si>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</si>
  <si>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</si>
  <si>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</si>
  <si>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</si>
  <si>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</si>
  <si>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</si>
  <si>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</si>
  <si>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</si>
  <si>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</si>
  <si>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</si>
  <si>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</si>
  <si>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</si>
  <si>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</si>
  <si>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</si>
  <si>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</si>
  <si>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</si>
  <si>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</si>
  <si>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</si>
  <si>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</si>
  <si>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</si>
  <si>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</si>
  <si>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</si>
  <si>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</si>
  <si>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</si>
  <si>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</si>
  <si>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</si>
  <si>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</si>
  <si>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</si>
  <si>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</si>
  <si>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</si>
  <si>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</si>
  <si>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</si>
  <si>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</si>
  <si>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</si>
  <si>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</si>
  <si>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</si>
  <si>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</si>
  <si>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</si>
  <si>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</si>
  <si>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</si>
  <si>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</si>
  <si>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</si>
  <si>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</si>
  <si>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</si>
  <si>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</si>
  <si>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</si>
  <si>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</si>
  <si>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</si>
  <si>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</si>
  <si>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</si>
  <si>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</si>
  <si>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</si>
  <si>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</si>
  <si>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</si>
  <si>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</si>
  <si>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</si>
  <si>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</si>
  <si>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</si>
  <si>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</si>
  <si>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</si>
  <si>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</si>
  <si>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</si>
  <si>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</si>
  <si>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</si>
  <si>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</si>
  <si>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</si>
  <si>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</si>
  <si>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</si>
  <si>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</si>
  <si>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</si>
  <si>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</si>
  <si>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</si>
  <si>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</si>
  <si>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</si>
  <si>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</si>
  <si>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</si>
  <si>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</si>
  <si>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</si>
  <si>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</si>
  <si>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</si>
  <si>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</si>
  <si>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</si>
  <si>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</si>
  <si>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</si>
  <si>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</si>
  <si>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</si>
  <si>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</si>
  <si>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</si>
  <si>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</si>
  <si>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</si>
  <si>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</si>
  <si>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</si>
  <si>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</si>
  <si>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</si>
  <si>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</si>
  <si>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</si>
  <si>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</si>
  <si>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</si>
  <si>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</si>
  <si>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</si>
  <si>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</si>
  <si>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</si>
  <si>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</si>
  <si>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</si>
  <si>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</si>
  <si>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</si>
  <si>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</si>
  <si>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</si>
  <si>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</si>
  <si>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</si>
  <si>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</si>
  <si>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</si>
  <si>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</si>
  <si>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</si>
  <si>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</si>
  <si>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</si>
  <si>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</si>
  <si>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</si>
  <si>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</si>
  <si>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</si>
  <si>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</si>
  <si>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</si>
  <si>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</si>
  <si>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</si>
  <si>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</si>
  <si>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</si>
  <si>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</si>
  <si>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</si>
  <si>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</si>
  <si>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</si>
  <si>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</si>
  <si>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</si>
  <si>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</si>
  <si>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</si>
  <si>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</si>
  <si>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</si>
  <si>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</si>
  <si>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</si>
  <si>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</si>
  <si>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</si>
  <si>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</si>
  <si>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</si>
  <si>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</si>
  <si>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</si>
  <si>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</si>
  <si>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</si>
  <si>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</si>
  <si>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</si>
  <si>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</si>
  <si>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</si>
  <si>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</si>
  <si>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</si>
  <si>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</si>
  <si>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</si>
  <si>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</si>
  <si>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</si>
  <si>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</si>
  <si>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</si>
  <si>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</si>
  <si>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</si>
  <si>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</si>
  <si>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</si>
  <si>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</si>
  <si>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</si>
  <si>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</si>
  <si>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</si>
  <si>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</si>
  <si>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</si>
  <si>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</si>
  <si>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</si>
  <si>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</si>
  <si>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</si>
  <si>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</si>
  <si>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</si>
  <si>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</si>
  <si>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</si>
  <si>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</si>
  <si>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</si>
  <si>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</si>
  <si>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</si>
  <si>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</si>
  <si>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</si>
  <si>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</si>
  <si>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</si>
  <si>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</si>
  <si>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</si>
  <si>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</si>
  <si>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</si>
  <si>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</si>
  <si>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</si>
  <si>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</si>
  <si>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</si>
  <si>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</si>
  <si>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</si>
  <si>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</si>
  <si>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</si>
  <si>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</si>
  <si>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</si>
  <si>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</si>
  <si>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</si>
  <si>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</si>
  <si>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</si>
  <si>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</si>
  <si>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</si>
  <si>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</si>
  <si>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</si>
  <si>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</si>
  <si>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</si>
  <si>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</si>
  <si>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</si>
  <si>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</si>
  <si>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</si>
  <si>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</si>
  <si>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</si>
  <si>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</si>
  <si>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</si>
  <si>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</si>
  <si>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</si>
  <si>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</si>
  <si>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</si>
  <si>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</si>
  <si>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</si>
  <si>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</si>
  <si>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</si>
  <si>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</si>
  <si>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</si>
  <si>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</si>
  <si>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</si>
  <si>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</si>
  <si>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</si>
  <si>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</si>
  <si>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</si>
  <si>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</si>
  <si>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</si>
  <si>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</si>
  <si>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</si>
  <si>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</si>
  <si>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</si>
  <si>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</si>
  <si>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</si>
  <si>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</si>
  <si>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</si>
  <si>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</si>
  <si>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</si>
  <si>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</si>
  <si>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</si>
  <si>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</si>
  <si>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</si>
  <si>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</si>
  <si>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</si>
  <si>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</si>
  <si>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</si>
  <si>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</si>
  <si>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</si>
  <si>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</si>
  <si>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</si>
  <si>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</si>
  <si>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</si>
  <si>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</si>
  <si>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</si>
  <si>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</si>
  <si>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</si>
  <si>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</si>
  <si>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</si>
  <si>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</si>
  <si>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</si>
  <si>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</si>
  <si>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</si>
  <si>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</si>
  <si>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</si>
  <si>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</si>
  <si>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</si>
  <si>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</si>
  <si>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</si>
  <si>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</si>
  <si>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</si>
  <si>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</si>
  <si>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</si>
  <si>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</si>
  <si>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</si>
  <si>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</si>
  <si>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</si>
  <si>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</si>
  <si>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</si>
  <si>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</si>
  <si>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</si>
  <si>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</si>
  <si>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</si>
  <si>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</si>
  <si>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</si>
  <si>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</si>
  <si>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</si>
  <si>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</si>
  <si>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</si>
  <si>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</si>
  <si>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</si>
  <si>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</si>
  <si>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</si>
  <si>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</si>
  <si>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</si>
  <si>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</si>
  <si>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</si>
  <si>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</si>
  <si>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</si>
  <si>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</si>
  <si>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</si>
  <si>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</si>
  <si>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</si>
  <si>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</si>
  <si>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</si>
  <si>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</si>
  <si>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</si>
  <si>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</si>
  <si>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</si>
  <si>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</si>
  <si>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</si>
  <si>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</si>
  <si>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</si>
  <si>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</si>
  <si>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</si>
  <si>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</si>
  <si>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</si>
  <si>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</si>
  <si>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</si>
  <si>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</si>
  <si>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</si>
  <si>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</si>
  <si>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</si>
  <si>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</si>
  <si>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</si>
  <si>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</si>
  <si>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</si>
  <si>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</si>
  <si>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</si>
  <si>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</si>
  <si>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</si>
  <si>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</si>
  <si>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</si>
  <si>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</si>
  <si>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</si>
  <si>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</si>
  <si>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</si>
  <si>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</si>
  <si>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</si>
  <si>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</si>
  <si>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</si>
  <si>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</si>
  <si>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</si>
  <si>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</si>
  <si>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</si>
  <si>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</si>
  <si>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</si>
  <si>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</si>
  <si>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</si>
  <si>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</si>
  <si>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</si>
  <si>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</si>
  <si>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</si>
  <si>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</si>
  <si>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</si>
  <si>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</si>
  <si>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</si>
  <si>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</si>
  <si>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</si>
  <si>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</si>
  <si>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</si>
  <si>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</si>
  <si>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</si>
  <si>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</si>
  <si>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</si>
  <si>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</si>
  <si>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</si>
  <si>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</si>
  <si>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</si>
  <si>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</si>
  <si>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</si>
  <si>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</si>
  <si>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</si>
  <si>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</si>
  <si>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</si>
  <si>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</si>
  <si>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</si>
  <si>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</si>
  <si>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</si>
  <si>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</si>
  <si>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</si>
  <si>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</si>
  <si>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</si>
  <si>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</si>
  <si>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</si>
  <si>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</si>
  <si>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</si>
  <si>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</si>
  <si>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</si>
  <si>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</si>
  <si>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</si>
  <si>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</si>
  <si>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</si>
  <si>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</si>
  <si>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</si>
  <si>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</si>
  <si>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</si>
  <si>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</si>
  <si>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</si>
  <si>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</si>
  <si>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</si>
  <si>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</si>
  <si>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</si>
  <si>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</si>
  <si>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</si>
  <si>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</si>
  <si>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</si>
  <si>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</si>
  <si>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</si>
  <si>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</si>
  <si>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</si>
  <si>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</si>
  <si>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</si>
  <si>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</si>
  <si>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</si>
  <si>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</si>
  <si>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</si>
  <si>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</si>
  <si>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</si>
  <si>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</si>
  <si>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</si>
  <si>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</si>
  <si>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</si>
  <si>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</si>
  <si>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</si>
  <si>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</si>
  <si>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</si>
  <si>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</si>
  <si>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</si>
  <si>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</si>
  <si>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</si>
  <si>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</si>
  <si>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</si>
  <si>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</si>
  <si>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</si>
  <si>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</si>
  <si>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</si>
  <si>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</si>
  <si>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</si>
  <si>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</si>
  <si>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</si>
  <si>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</si>
  <si>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</si>
  <si>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</si>
  <si>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</si>
  <si>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</si>
  <si>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</si>
  <si>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</si>
  <si>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</si>
  <si>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</si>
  <si>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</si>
  <si>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</si>
  <si>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</si>
  <si>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</si>
  <si>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</si>
  <si>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</si>
  <si>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</si>
  <si>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</si>
  <si>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</si>
  <si>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</si>
  <si>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</si>
  <si>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</si>
  <si>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</si>
  <si>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</si>
  <si>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</si>
  <si>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</si>
  <si>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</si>
  <si>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</si>
  <si>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</si>
  <si>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</si>
  <si>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</si>
  <si>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</si>
  <si>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</si>
  <si>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</si>
  <si>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</si>
  <si>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</si>
  <si>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</si>
  <si>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</si>
  <si>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</si>
  <si>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</si>
  <si>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</si>
  <si>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</si>
  <si>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</si>
  <si>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</si>
  <si>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</si>
  <si>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</si>
  <si>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</si>
  <si>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</si>
  <si>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</si>
  <si>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</si>
  <si>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</si>
  <si>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</si>
  <si>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</si>
  <si>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</si>
  <si>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</si>
  <si>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</si>
  <si>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</si>
  <si>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</si>
  <si>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</si>
  <si>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</si>
  <si>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</si>
  <si>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</si>
  <si>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</si>
  <si>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</si>
  <si>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</si>
  <si>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</si>
  <si>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</si>
  <si>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</si>
  <si>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</si>
  <si>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</si>
  <si>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</si>
  <si>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</si>
  <si>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</si>
  <si>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</si>
  <si>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</si>
  <si>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</si>
  <si>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</si>
  <si>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</si>
  <si>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</si>
  <si>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</si>
  <si>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</si>
  <si>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</si>
  <si>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</si>
  <si>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</si>
  <si>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</si>
  <si>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</si>
  <si>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</si>
  <si>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</si>
  <si>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</si>
  <si>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</si>
  <si>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</si>
  <si>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</si>
  <si>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</si>
  <si>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</si>
  <si>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</si>
  <si>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</si>
  <si>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</si>
  <si>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</si>
  <si>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</si>
  <si>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</si>
  <si>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</si>
  <si>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</si>
  <si>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</si>
  <si>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</si>
  <si>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</si>
  <si>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</si>
  <si>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</si>
  <si>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</si>
  <si>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</si>
  <si>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</si>
  <si>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</si>
  <si>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</si>
  <si>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</si>
  <si>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</si>
  <si>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</si>
  <si>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</si>
  <si>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</si>
  <si>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</si>
  <si>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</si>
  <si>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</si>
  <si>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</si>
  <si>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</si>
  <si>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</si>
  <si>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</si>
  <si>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</si>
  <si>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</si>
  <si>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</si>
  <si>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</si>
  <si>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</si>
  <si>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</si>
  <si>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</si>
  <si>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</si>
  <si>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</si>
  <si>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</si>
  <si>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</si>
  <si>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</si>
  <si>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</si>
  <si>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</si>
  <si>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</si>
  <si>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</si>
  <si>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</si>
  <si>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</si>
  <si>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</si>
  <si>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</si>
  <si>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</si>
  <si>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</si>
  <si>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</si>
  <si>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</si>
  <si>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</si>
  <si>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</si>
  <si>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</si>
  <si>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</si>
  <si>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</si>
  <si>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</si>
  <si>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</si>
  <si>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</si>
  <si>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</si>
  <si>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</si>
  <si>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</si>
  <si>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</si>
  <si>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</si>
  <si>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</si>
  <si>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</si>
  <si>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</si>
  <si>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</si>
  <si>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</si>
  <si>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</si>
  <si>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</si>
  <si>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</si>
  <si>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</si>
  <si>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</si>
  <si>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</si>
  <si>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</si>
  <si>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</si>
  <si>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</si>
  <si>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</si>
  <si>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</si>
  <si>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</si>
  <si>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</si>
  <si>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</si>
  <si>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</si>
  <si>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</si>
  <si>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</si>
  <si>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</si>
  <si>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</si>
  <si>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</si>
  <si>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</si>
  <si>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</si>
  <si>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</si>
  <si>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</si>
  <si>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</si>
  <si>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</si>
  <si>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</si>
  <si>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</si>
  <si>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</si>
  <si>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</si>
  <si>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</si>
  <si>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</si>
  <si>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</si>
  <si>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</si>
  <si>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</si>
  <si>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</si>
  <si>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</si>
  <si>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</si>
  <si>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</si>
  <si>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</si>
  <si>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</si>
  <si>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</si>
  <si>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</si>
  <si>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</si>
  <si>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</si>
  <si>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</si>
  <si>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</si>
  <si>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</si>
  <si>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</si>
  <si>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</si>
  <si>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</si>
  <si>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</si>
  <si>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</si>
  <si>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</si>
  <si>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</si>
  <si>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</si>
  <si>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</si>
  <si>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</si>
  <si>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</si>
  <si>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</si>
  <si>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</si>
  <si>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</si>
  <si>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</si>
  <si>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</si>
  <si>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</si>
  <si>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</si>
  <si>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</si>
  <si>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</si>
  <si>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</si>
  <si>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</si>
  <si>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</si>
  <si>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</si>
  <si>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</si>
  <si>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</si>
  <si>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</si>
  <si>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</si>
  <si>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</si>
  <si>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</si>
  <si>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</si>
  <si>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</si>
  <si>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</si>
  <si>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</si>
  <si>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</si>
  <si>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</si>
  <si>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</si>
  <si>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</si>
  <si>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</si>
  <si>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</si>
  <si>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</si>
  <si>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</si>
  <si>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</si>
  <si>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</si>
  <si>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</si>
  <si>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</si>
  <si>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</si>
  <si>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</si>
  <si>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</si>
  <si>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</si>
  <si>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</si>
  <si>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</si>
  <si>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</si>
  <si>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</si>
  <si>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</si>
  <si>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</si>
  <si>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</si>
  <si>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</si>
  <si>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</si>
  <si>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</si>
  <si>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</si>
  <si>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</si>
  <si>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</si>
  <si>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</si>
  <si>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</si>
  <si>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</si>
  <si>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</si>
  <si>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</si>
  <si>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</si>
  <si>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</si>
  <si>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</si>
  <si>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</si>
  <si>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</si>
  <si>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</si>
  <si>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</si>
  <si>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</si>
  <si>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</si>
  <si>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</si>
  <si>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</si>
  <si>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</si>
  <si>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</si>
  <si>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</si>
  <si>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</si>
  <si>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</si>
  <si>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</si>
  <si>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</si>
  <si>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</si>
  <si>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</si>
  <si>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</si>
  <si>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</si>
  <si>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</si>
  <si>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</si>
  <si>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</si>
  <si>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</si>
  <si>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</si>
  <si>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</si>
  <si>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</si>
  <si>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</si>
  <si>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</si>
  <si>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</si>
  <si>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</si>
  <si>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</si>
  <si>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</si>
  <si>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</si>
  <si>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</si>
  <si>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</si>
  <si>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</si>
  <si>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</si>
  <si>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</si>
  <si>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</si>
  <si>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</si>
  <si>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</si>
  <si>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</si>
  <si>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</si>
  <si>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</si>
  <si>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</si>
  <si>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</si>
  <si>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</si>
  <si>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</si>
  <si>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</si>
  <si>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</si>
  <si>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</si>
  <si>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</si>
  <si>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</si>
  <si>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</si>
  <si>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</si>
  <si>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</si>
  <si>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</si>
  <si>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</si>
  <si>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</si>
  <si>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</si>
  <si>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</si>
  <si>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</si>
  <si>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</si>
  <si>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</si>
  <si>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</si>
  <si>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</si>
  <si>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</si>
  <si>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</si>
  <si>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</si>
  <si>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</si>
  <si>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</si>
  <si>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</si>
  <si>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</si>
  <si>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</si>
  <si>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</si>
  <si>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</si>
  <si>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</si>
  <si>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</si>
  <si>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</si>
  <si>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</si>
  <si>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</si>
  <si>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</si>
  <si>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</si>
  <si>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</si>
  <si>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</si>
  <si>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</si>
  <si>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</si>
  <si>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</si>
  <si>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</si>
  <si>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</si>
  <si>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</si>
  <si>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</si>
  <si>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</si>
  <si>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</si>
  <si>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</si>
  <si>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</si>
  <si>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</si>
  <si>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</si>
  <si>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</si>
  <si>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</si>
  <si>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</si>
  <si>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</si>
  <si>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</si>
  <si>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</si>
  <si>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</si>
  <si>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</si>
  <si>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</si>
  <si>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</si>
  <si>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</si>
  <si>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</si>
  <si>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</si>
  <si>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</si>
  <si>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</si>
  <si>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</si>
  <si>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</si>
  <si>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</si>
  <si>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</si>
  <si>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</si>
  <si>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</si>
  <si>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</si>
  <si>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</si>
  <si>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</si>
  <si>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</si>
  <si>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</si>
  <si>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</si>
  <si>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</si>
  <si>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</si>
  <si>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</si>
  <si>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</si>
  <si>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</si>
  <si>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</si>
  <si>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</si>
  <si>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</si>
  <si>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</si>
  <si>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</si>
  <si>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</si>
  <si>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</si>
  <si>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</si>
  <si>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</si>
  <si>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</si>
  <si>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</si>
  <si>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</si>
  <si>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</si>
  <si>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</si>
  <si>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</si>
  <si>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</si>
  <si>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</si>
  <si>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</si>
  <si>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</si>
  <si>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</si>
  <si>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</si>
  <si>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</si>
  <si>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</si>
  <si>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</si>
  <si>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</si>
  <si>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</si>
  <si>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</si>
  <si>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</si>
  <si>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</si>
  <si>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</si>
  <si>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</si>
  <si>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</si>
  <si>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</si>
  <si>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</si>
  <si>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</si>
  <si>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</si>
  <si>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</si>
  <si>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</si>
  <si>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</si>
  <si>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</si>
  <si>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</si>
  <si>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</si>
  <si>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</si>
  <si>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</si>
  <si>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</si>
  <si>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</si>
  <si>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</si>
  <si>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</si>
  <si>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</si>
  <si>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</si>
  <si>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</si>
  <si>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</si>
  <si>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</si>
  <si>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</si>
  <si>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</si>
  <si>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</si>
  <si>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</si>
  <si>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</si>
  <si>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</si>
  <si>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</si>
  <si>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</si>
  <si>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</si>
  <si>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</si>
  <si>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</si>
  <si>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</si>
  <si>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</si>
  <si>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</si>
  <si>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</si>
  <si>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</si>
  <si>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</si>
  <si>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</si>
  <si>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</si>
  <si>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</si>
  <si>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</si>
  <si>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</si>
  <si>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</si>
  <si>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</si>
  <si>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</si>
  <si>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</si>
  <si>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</si>
  <si>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</si>
  <si>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</si>
  <si>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</si>
  <si>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</si>
  <si>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</si>
  <si>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</si>
  <si>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</si>
  <si>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</si>
  <si>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</si>
  <si>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</si>
  <si>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</si>
  <si>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</si>
  <si>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</si>
  <si>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</si>
  <si>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</si>
  <si>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</si>
  <si>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</si>
  <si>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</si>
  <si>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</si>
  <si>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</si>
  <si>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</si>
  <si>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</si>
  <si>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</si>
  <si>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</si>
  <si>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</si>
  <si>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</si>
  <si>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</si>
  <si>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</si>
  <si>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</si>
  <si>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</si>
  <si>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</si>
  <si>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</si>
  <si>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</si>
  <si>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</si>
  <si>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</si>
  <si>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</si>
  <si>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</si>
  <si>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</si>
  <si>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</si>
  <si>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</si>
  <si>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</si>
  <si>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</si>
  <si>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</si>
  <si>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</si>
  <si>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</si>
  <si>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</si>
  <si>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</si>
  <si>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</si>
  <si>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</si>
  <si>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</si>
  <si>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</si>
  <si>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</si>
  <si>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</si>
  <si>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</si>
  <si>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</si>
  <si>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</si>
  <si>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</si>
  <si>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</si>
  <si>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</si>
  <si>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</si>
  <si>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</si>
  <si>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</si>
  <si>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</si>
  <si>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</si>
  <si>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</si>
  <si>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</si>
  <si>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</si>
  <si>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</si>
  <si>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</si>
  <si>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</si>
  <si>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</si>
  <si>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</si>
  <si>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</si>
  <si>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</si>
  <si>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</si>
  <si>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</si>
  <si>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</si>
  <si>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</si>
  <si>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</si>
  <si>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</si>
  <si>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</si>
  <si>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</si>
  <si>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</si>
  <si>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</si>
  <si>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</si>
  <si>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</si>
  <si>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</si>
  <si>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</si>
  <si>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</si>
  <si>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</si>
  <si>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</si>
  <si>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</si>
  <si>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</si>
  <si>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</si>
  <si>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</si>
  <si>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</si>
  <si>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</si>
  <si>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</si>
  <si>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</si>
  <si>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</si>
  <si>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</si>
  <si>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</si>
  <si>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</si>
  <si>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</si>
  <si>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</si>
  <si>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</si>
  <si>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</si>
  <si>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</si>
  <si>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</si>
  <si>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</si>
  <si>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</si>
  <si>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</si>
  <si>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</si>
  <si>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</si>
  <si>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</si>
  <si>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</si>
  <si>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</si>
  <si>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</si>
  <si>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</si>
  <si>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</si>
  <si>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</si>
  <si>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</si>
  <si>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</si>
  <si>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</si>
  <si>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</si>
  <si>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</si>
  <si>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</si>
  <si>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</si>
  <si>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</si>
  <si>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</si>
  <si>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</si>
  <si>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</si>
  <si>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</si>
  <si>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</si>
  <si>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</si>
  <si>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</si>
  <si>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</si>
  <si>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</si>
  <si>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</si>
  <si>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</si>
  <si>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</si>
  <si>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</si>
  <si>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</si>
  <si>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</si>
  <si>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</si>
  <si>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</si>
  <si>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</si>
  <si>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</si>
  <si>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</si>
  <si>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</si>
  <si>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</si>
  <si>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</si>
  <si>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</si>
  <si>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</si>
  <si>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</si>
  <si>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</si>
  <si>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</si>
  <si>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</si>
  <si>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</si>
  <si>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</si>
  <si>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</si>
  <si>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</si>
  <si>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</si>
  <si>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</si>
  <si>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</si>
  <si>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</si>
  <si>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</si>
  <si>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</si>
  <si>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</si>
  <si>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</si>
  <si>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</si>
  <si>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</si>
  <si>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</si>
  <si>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</si>
  <si>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</si>
  <si>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</si>
  <si>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</si>
  <si>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</si>
  <si>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</si>
  <si>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</si>
  <si>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</si>
  <si>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</si>
  <si>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</si>
  <si>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</si>
  <si>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</si>
  <si>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</si>
  <si>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</si>
  <si>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</si>
  <si>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</si>
  <si>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</si>
  <si>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</si>
  <si>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</si>
  <si>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</si>
  <si>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</si>
  <si>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</si>
  <si>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</si>
  <si>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</si>
  <si>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</si>
  <si>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</si>
  <si>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</si>
  <si>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</si>
  <si>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</si>
  <si>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</si>
  <si>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</si>
  <si>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</si>
  <si>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</si>
  <si>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</si>
  <si>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</si>
  <si>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</si>
  <si>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</si>
  <si>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</si>
  <si>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</si>
  <si>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</si>
  <si>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</si>
  <si>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</si>
  <si>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</si>
  <si>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</si>
  <si>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</si>
  <si>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</si>
  <si>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</si>
  <si>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</si>
  <si>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</si>
  <si>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</si>
  <si>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</si>
  <si>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</si>
  <si>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</si>
  <si>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</si>
  <si>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</si>
  <si>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</si>
  <si>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</si>
  <si>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</si>
  <si>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</si>
  <si>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</si>
  <si>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</si>
  <si>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</si>
  <si>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</si>
  <si>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</si>
  <si>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</si>
  <si>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</si>
  <si>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</si>
  <si>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</si>
  <si>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</si>
  <si>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</si>
  <si>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</si>
  <si>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</si>
  <si>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</si>
  <si>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</si>
  <si>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</si>
  <si>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</si>
  <si>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</si>
  <si>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</si>
  <si>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</si>
  <si>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</si>
  <si>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</si>
  <si>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</si>
  <si>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</si>
  <si>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</si>
  <si>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</si>
  <si>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</si>
  <si>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</si>
  <si>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</si>
  <si>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</si>
  <si>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</si>
  <si>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</si>
  <si>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</si>
  <si>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</si>
  <si>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</si>
  <si>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</si>
  <si>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</si>
  <si>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</si>
  <si>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</si>
  <si>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</si>
  <si>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</si>
  <si>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</si>
  <si>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</si>
  <si>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</si>
  <si>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</si>
  <si>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</si>
  <si>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</si>
  <si>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</si>
  <si>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</si>
  <si>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</si>
  <si>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</si>
  <si>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</si>
  <si>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</si>
  <si>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</si>
  <si>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</si>
  <si>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</si>
  <si>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</si>
  <si>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</si>
  <si>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</si>
  <si>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</si>
  <si>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</si>
  <si>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</si>
  <si>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</si>
  <si>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</si>
  <si>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</si>
  <si>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</si>
  <si>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</si>
  <si>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</si>
  <si>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</si>
  <si>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</si>
  <si>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</si>
  <si>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</si>
  <si>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</si>
  <si>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</si>
  <si>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</si>
  <si>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</si>
  <si>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</si>
  <si>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</si>
  <si>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</si>
  <si>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</si>
  <si>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</si>
  <si>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</si>
  <si>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</si>
  <si>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</si>
  <si>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</si>
  <si>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</si>
  <si>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</si>
  <si>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</si>
  <si>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</si>
  <si>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</si>
  <si>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</si>
  <si>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</si>
  <si>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</si>
  <si>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</si>
  <si>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</si>
  <si>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</si>
  <si>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</si>
  <si>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</si>
  <si>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</si>
  <si>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</si>
  <si>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</si>
  <si>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</si>
  <si>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</si>
  <si>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</si>
  <si>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</si>
  <si>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</si>
  <si>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</si>
  <si>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</si>
  <si>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</si>
  <si>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</si>
  <si>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</si>
  <si>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</si>
  <si>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</si>
  <si>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</si>
  <si>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</si>
  <si>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</si>
  <si>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</si>
  <si>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</si>
  <si>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</si>
  <si>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</si>
  <si>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</si>
  <si>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</si>
  <si>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</si>
  <si>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</si>
  <si>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</si>
  <si>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</si>
  <si>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</si>
  <si>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</si>
  <si>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</si>
  <si>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</si>
  <si>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</si>
  <si>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</si>
  <si>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</si>
  <si>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</si>
  <si>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</si>
  <si>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</si>
  <si>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</si>
  <si>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</si>
  <si>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</si>
  <si>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</si>
  <si>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</si>
  <si>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</si>
  <si>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</si>
  <si>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</si>
  <si>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</si>
  <si>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</si>
  <si>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</si>
  <si>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</si>
  <si>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</si>
  <si>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</si>
  <si>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</si>
  <si>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</si>
  <si>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</si>
  <si>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</si>
  <si>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</si>
  <si>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</si>
  <si>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</si>
  <si>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</si>
  <si>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</si>
  <si>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</si>
  <si>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</si>
  <si>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</si>
  <si>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</si>
  <si>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</si>
  <si>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</si>
  <si>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</si>
  <si>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</si>
  <si>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</si>
  <si>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</si>
  <si>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</si>
  <si>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</si>
  <si>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</si>
  <si>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</si>
  <si>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</si>
  <si>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</si>
  <si>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</si>
  <si>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</si>
  <si>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</si>
  <si>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</si>
  <si>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</si>
  <si>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</si>
  <si>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</si>
  <si>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</si>
  <si>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</si>
  <si>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</si>
  <si>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</si>
  <si>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</si>
  <si>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</si>
  <si>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</si>
  <si>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</si>
  <si>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</si>
  <si>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</si>
  <si>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</si>
  <si>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</si>
  <si>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</si>
  <si>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</si>
  <si>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</si>
  <si>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</si>
  <si>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</si>
  <si>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</si>
  <si>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</si>
  <si>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</si>
  <si>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</si>
  <si>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</si>
  <si>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</si>
  <si>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</si>
  <si>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</si>
  <si>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</si>
  <si>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</si>
  <si>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</si>
  <si>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</si>
  <si>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</si>
  <si>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</si>
  <si>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</si>
  <si>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</si>
  <si>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</si>
  <si>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</si>
  <si>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</si>
  <si>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</si>
  <si>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</si>
  <si>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</si>
  <si>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</si>
  <si>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</si>
  <si>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</si>
  <si>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</si>
  <si>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</si>
  <si>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</si>
  <si>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</si>
  <si>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</si>
  <si>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</si>
  <si>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</si>
  <si>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</si>
  <si>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</si>
  <si>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</si>
  <si>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</si>
  <si>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</si>
  <si>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</si>
  <si>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</si>
  <si>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</si>
  <si>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</si>
  <si>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</si>
  <si>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</si>
  <si>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</si>
  <si>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</si>
  <si>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</si>
  <si>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</si>
  <si>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</si>
  <si>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</si>
  <si>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</si>
  <si>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</si>
  <si>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</si>
  <si>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</si>
  <si>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</si>
  <si>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</si>
  <si>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</si>
  <si>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</si>
  <si>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</si>
  <si>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</si>
  <si>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</si>
  <si>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</si>
  <si>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</si>
  <si>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</si>
  <si>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</si>
  <si>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</si>
  <si>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</si>
  <si>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</si>
  <si>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</si>
  <si>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</si>
  <si>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</si>
  <si>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</si>
  <si>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</si>
  <si>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</si>
  <si>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</si>
  <si>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</si>
  <si>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</si>
  <si>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</si>
  <si>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</si>
  <si>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</si>
  <si>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</si>
  <si>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</si>
  <si>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</si>
  <si>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</si>
  <si>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</si>
  <si>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</si>
  <si>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</si>
  <si>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</si>
  <si>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</si>
  <si>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</si>
  <si>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</si>
  <si>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</si>
  <si>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</si>
  <si>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</si>
  <si>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</si>
  <si>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</si>
  <si>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</si>
  <si>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</si>
  <si>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</si>
  <si>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</si>
  <si>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</si>
  <si>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</si>
  <si>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</si>
  <si>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</si>
  <si>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</si>
  <si>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</si>
  <si>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</si>
  <si>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</si>
  <si>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</si>
  <si>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</si>
  <si>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</si>
  <si>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</si>
  <si>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</si>
  <si>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</si>
  <si>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</si>
  <si>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</si>
  <si>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</si>
  <si>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</si>
  <si>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</si>
  <si>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</si>
  <si>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</si>
  <si>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</si>
  <si>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</si>
  <si>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</si>
  <si>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</si>
  <si>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</si>
  <si>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</si>
  <si>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</si>
  <si>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</si>
  <si>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</si>
  <si>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</si>
  <si>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</si>
  <si>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</si>
  <si>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</si>
  <si>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</si>
  <si>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</si>
  <si>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</si>
  <si>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</si>
  <si>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</si>
  <si>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</si>
  <si>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</si>
  <si>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</si>
  <si>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</si>
  <si>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</si>
  <si>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</si>
  <si>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</si>
  <si>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</si>
  <si>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</si>
  <si>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</si>
  <si>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</si>
  <si>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</si>
  <si>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</si>
  <si>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</si>
  <si>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</si>
  <si>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</si>
  <si>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</si>
  <si>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</si>
  <si>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</si>
  <si>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</si>
  <si>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</si>
  <si>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</si>
  <si>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</si>
  <si>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</si>
  <si>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</si>
  <si>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</si>
  <si>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</si>
  <si>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</si>
  <si>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</si>
  <si>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</si>
  <si>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</si>
  <si>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</si>
  <si>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</si>
  <si>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</si>
  <si>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</si>
  <si>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</si>
  <si>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</si>
  <si>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</si>
  <si>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</si>
  <si>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</si>
  <si>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</si>
  <si>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</si>
  <si>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</si>
  <si>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</si>
  <si>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</si>
  <si>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</si>
  <si>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</si>
  <si>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</si>
  <si>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</si>
  <si>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</si>
  <si>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</si>
  <si>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</si>
  <si>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</si>
  <si>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</si>
  <si>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</si>
  <si>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</si>
  <si>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</si>
  <si>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</si>
  <si>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</si>
  <si>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</si>
  <si>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</si>
  <si>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</si>
  <si>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</si>
  <si>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</si>
  <si>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</si>
  <si>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</si>
  <si>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</si>
  <si>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</si>
  <si>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</si>
  <si>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</si>
  <si>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</si>
  <si>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</si>
  <si>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</si>
  <si>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</si>
  <si>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</si>
  <si>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</si>
  <si>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</si>
  <si>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</si>
  <si>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</si>
  <si>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</si>
  <si>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</si>
  <si>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</si>
  <si>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</si>
  <si>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</si>
  <si>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</si>
  <si>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</si>
  <si>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</si>
  <si>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</si>
  <si>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</si>
  <si>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</si>
  <si>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</si>
  <si>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</si>
  <si>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</si>
  <si>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</si>
  <si>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</si>
  <si>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</si>
  <si>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</si>
  <si>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</si>
  <si>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</si>
  <si>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</si>
  <si>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</si>
  <si>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</si>
  <si>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</si>
  <si>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</si>
  <si>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</si>
  <si>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</si>
  <si>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</si>
  <si>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</si>
  <si>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</si>
  <si>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</si>
  <si>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</si>
  <si>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</si>
  <si>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</si>
  <si>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</si>
  <si>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</si>
  <si>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</si>
  <si>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</si>
  <si>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</si>
  <si>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</si>
  <si>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</si>
  <si>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</si>
  <si>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</si>
  <si>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</si>
  <si>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</si>
  <si>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</si>
  <si>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</si>
  <si>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</si>
  <si>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</si>
  <si>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</si>
  <si>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</si>
  <si>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</si>
  <si>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</si>
  <si>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</si>
  <si>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</si>
  <si>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</si>
  <si>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</si>
  <si>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</si>
  <si>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</si>
  <si>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</si>
  <si>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</si>
  <si>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</si>
  <si>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</si>
  <si>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</si>
  <si>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</si>
  <si>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</si>
  <si>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</si>
  <si>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</si>
  <si>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</si>
  <si>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</si>
  <si>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</si>
  <si>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</si>
  <si>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</si>
  <si>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</si>
  <si>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</si>
  <si>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</si>
  <si>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</si>
  <si>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</si>
  <si>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</si>
  <si>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</si>
  <si>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</si>
  <si>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</si>
  <si>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</si>
  <si>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</si>
  <si>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</si>
  <si>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</si>
  <si>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</si>
  <si>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</si>
  <si>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</si>
  <si>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</si>
  <si>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</si>
  <si>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</si>
  <si>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</si>
  <si>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</si>
  <si>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</si>
  <si>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</si>
  <si>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</si>
  <si>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</si>
  <si>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</si>
  <si>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</si>
  <si>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</si>
  <si>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</si>
  <si>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</si>
  <si>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</si>
  <si>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</si>
  <si>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</si>
  <si>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</si>
  <si>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</si>
  <si>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</si>
  <si>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</si>
  <si>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</si>
  <si>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</si>
  <si>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</si>
  <si>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</si>
  <si>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</si>
  <si>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</si>
  <si>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</si>
  <si>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</si>
  <si>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</si>
  <si>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</si>
  <si>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</si>
  <si>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</si>
  <si>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</si>
  <si>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</si>
  <si>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</si>
  <si>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</si>
  <si>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</si>
  <si>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</si>
  <si>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</si>
  <si>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</si>
  <si>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</si>
  <si>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</si>
  <si>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</si>
  <si>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</si>
  <si>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</si>
  <si>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</si>
  <si>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</si>
  <si>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</si>
  <si>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</si>
  <si>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</si>
  <si>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</si>
  <si>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</si>
  <si>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</si>
  <si>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</si>
  <si>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</si>
  <si>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</si>
  <si>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</si>
  <si>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</si>
  <si>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</si>
  <si>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</si>
  <si>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</si>
  <si>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</si>
  <si>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</si>
  <si>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</si>
  <si>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</si>
  <si>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</si>
  <si>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</si>
  <si>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</si>
  <si>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</si>
  <si>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</si>
  <si>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</si>
  <si>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</si>
  <si>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</si>
  <si>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</si>
  <si>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</si>
  <si>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</si>
  <si>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</si>
  <si>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</si>
  <si>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</si>
  <si>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</si>
  <si>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</si>
  <si>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</si>
  <si>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</si>
  <si>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</si>
  <si>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</si>
  <si>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</si>
  <si>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</si>
  <si>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</si>
  <si>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</si>
  <si>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</si>
  <si>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</si>
  <si>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</si>
  <si>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</si>
  <si>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</si>
  <si>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</si>
  <si>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</si>
  <si>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</si>
  <si>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</si>
  <si>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</si>
  <si>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</si>
  <si>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</si>
  <si>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</si>
  <si>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</si>
  <si>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</si>
  <si>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</si>
  <si>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</si>
  <si>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</si>
  <si>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</si>
  <si>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</si>
  <si>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</si>
  <si>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</si>
  <si>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</si>
  <si>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</si>
  <si>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</si>
  <si>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</si>
  <si>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</si>
  <si>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</si>
  <si>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</si>
  <si>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</si>
  <si>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</si>
  <si>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</si>
  <si>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</si>
  <si>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</si>
  <si>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</si>
  <si>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</si>
  <si>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</si>
  <si>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</si>
  <si>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</si>
  <si>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</si>
  <si>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</si>
  <si>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</si>
  <si>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</si>
  <si>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</si>
  <si>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</si>
  <si>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</si>
  <si>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</si>
  <si>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</si>
  <si>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</si>
  <si>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</si>
  <si>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</si>
  <si>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</si>
  <si>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</si>
  <si>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</si>
  <si>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</si>
  <si>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</si>
  <si>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</si>
  <si>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</si>
  <si>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</si>
  <si>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</si>
  <si>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</si>
  <si>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</si>
  <si>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</si>
  <si>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</si>
  <si>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</si>
  <si>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</si>
  <si>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</si>
  <si>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</si>
  <si>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</si>
  <si>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</si>
  <si>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</si>
  <si>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</si>
  <si>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</si>
  <si>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</si>
  <si>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</si>
  <si>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</si>
  <si>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</si>
  <si>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</si>
  <si>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</si>
  <si>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</si>
  <si>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</si>
  <si>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</si>
  <si>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</si>
  <si>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</si>
  <si>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</si>
  <si>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</si>
  <si>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</si>
  <si>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</si>
  <si>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</si>
  <si>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</si>
  <si>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</si>
  <si>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</si>
  <si>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</si>
  <si>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</si>
  <si>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</si>
  <si>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</si>
  <si>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</si>
  <si>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</si>
  <si>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</si>
  <si>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</si>
  <si>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</si>
  <si>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</si>
  <si>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</si>
  <si>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</si>
  <si>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</si>
  <si>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</si>
  <si>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</si>
  <si>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</si>
  <si>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</si>
  <si>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</si>
  <si>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</si>
  <si>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</si>
  <si>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</si>
  <si>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</si>
  <si>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</si>
  <si>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</si>
  <si>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</si>
  <si>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</si>
  <si>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</si>
  <si>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</si>
  <si>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</si>
  <si>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</si>
  <si>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</si>
  <si>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</si>
  <si>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</si>
  <si>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</si>
  <si>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</si>
  <si>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</si>
  <si>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</si>
  <si>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</si>
  <si>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</si>
  <si>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</si>
  <si>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</si>
  <si>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</si>
  <si>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</si>
  <si>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</si>
  <si>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</si>
  <si>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</si>
  <si>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</si>
  <si>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</si>
  <si>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</si>
  <si>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</si>
  <si>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</si>
  <si>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</si>
  <si>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</si>
  <si>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</si>
  <si>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</si>
  <si>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</si>
  <si>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</si>
  <si>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</si>
  <si>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</si>
  <si>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</si>
  <si>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</si>
  <si>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</si>
  <si>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</si>
  <si>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</si>
  <si>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</si>
  <si>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</si>
  <si>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</si>
  <si>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</si>
  <si>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</si>
  <si>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</si>
  <si>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</si>
  <si>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</si>
  <si>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</si>
  <si>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</si>
  <si>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</si>
  <si>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</si>
  <si>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</si>
  <si>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</si>
  <si>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</si>
  <si>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</si>
  <si>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</si>
  <si>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</si>
  <si>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</si>
  <si>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</si>
  <si>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</si>
  <si>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</si>
  <si>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</si>
  <si>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</si>
  <si>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</si>
  <si>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</si>
  <si>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</si>
  <si>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</si>
  <si>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</si>
  <si>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</si>
  <si>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</si>
  <si>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</si>
  <si>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</si>
  <si>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</si>
  <si>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</si>
  <si>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</si>
  <si>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</si>
  <si>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</si>
  <si>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</si>
  <si>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</si>
  <si>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</si>
  <si>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</si>
  <si>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</si>
  <si>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</si>
  <si>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</si>
  <si>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</si>
  <si>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</si>
  <si>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</si>
  <si>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</si>
  <si>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</si>
  <si>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</si>
  <si>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</si>
  <si>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</si>
  <si>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</si>
  <si>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</si>
  <si>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</si>
  <si>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</si>
  <si>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</si>
  <si>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</si>
  <si>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</si>
  <si>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</si>
  <si>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</si>
  <si>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</si>
  <si>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</si>
  <si>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</si>
  <si>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</si>
  <si>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</si>
  <si>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</si>
  <si>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</si>
  <si>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</si>
  <si>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</si>
  <si>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</si>
  <si>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</si>
  <si>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</si>
  <si>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</si>
  <si>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</si>
  <si>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</si>
  <si>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</si>
  <si>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</si>
  <si>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</si>
  <si>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</si>
  <si>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</si>
  <si>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</si>
  <si>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</si>
  <si>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</si>
  <si>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</si>
  <si>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</si>
  <si>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</si>
  <si>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</si>
  <si>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</si>
  <si>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</si>
  <si>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</si>
  <si>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</si>
  <si>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</si>
  <si>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</si>
  <si>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</si>
  <si>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</si>
  <si>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</si>
  <si>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</si>
  <si>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</si>
  <si>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</si>
  <si>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</si>
  <si>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</si>
  <si>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</si>
  <si>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</si>
  <si>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</si>
  <si>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</si>
  <si>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</si>
  <si>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</si>
  <si>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</si>
  <si>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</si>
  <si>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</si>
  <si>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</si>
  <si>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</si>
  <si>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</si>
  <si>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</si>
  <si>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</si>
  <si>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</si>
  <si>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</si>
  <si>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</si>
  <si>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</si>
  <si>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</si>
  <si>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</si>
  <si>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</si>
  <si>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</si>
  <si>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</si>
  <si>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</si>
  <si>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</si>
  <si>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</si>
  <si>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</si>
  <si>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</si>
  <si>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</si>
  <si>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</si>
  <si>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</si>
  <si>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</si>
  <si>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</si>
  <si>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</si>
  <si>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</si>
  <si>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</si>
  <si>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</si>
  <si>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</si>
  <si>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</si>
  <si>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</si>
  <si>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</si>
  <si>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</si>
  <si>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</si>
  <si>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</si>
  <si>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</si>
  <si>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</si>
  <si>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</si>
  <si>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</si>
  <si>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</si>
  <si>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</si>
  <si>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</si>
  <si>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</si>
  <si>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</si>
  <si>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</si>
  <si>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</si>
  <si>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</si>
  <si>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</si>
  <si>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</si>
  <si>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</si>
  <si>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</si>
  <si>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</si>
  <si>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</si>
  <si>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</si>
  <si>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</si>
  <si>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</si>
  <si>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</si>
  <si>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</si>
  <si>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</si>
  <si>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</si>
  <si>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</si>
  <si>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</si>
  <si>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</si>
  <si>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</si>
  <si>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</si>
  <si>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</si>
  <si>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</si>
  <si>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</si>
  <si>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</si>
  <si>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</si>
  <si>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</si>
  <si>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</si>
  <si>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</si>
  <si>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</si>
  <si>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</si>
  <si>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</si>
  <si>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</si>
  <si>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</si>
  <si>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</si>
  <si>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</si>
  <si>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</si>
  <si>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</si>
  <si>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</si>
  <si>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</si>
  <si>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</si>
  <si>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</si>
  <si>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</si>
  <si>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</si>
  <si>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</si>
  <si>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</si>
  <si>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</si>
  <si>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</si>
  <si>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</si>
  <si>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</si>
  <si>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</si>
  <si>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</si>
  <si>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</si>
  <si>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</si>
  <si>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</si>
  <si>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</si>
  <si>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</si>
  <si>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</si>
  <si>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</si>
  <si>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</si>
  <si>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</si>
  <si>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</si>
  <si>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</si>
  <si>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</si>
  <si>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</si>
  <si>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</si>
  <si>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</si>
  <si>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</si>
  <si>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</si>
  <si>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</si>
  <si>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</si>
  <si>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</si>
  <si>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</si>
  <si>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</si>
  <si>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</si>
  <si>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</si>
  <si>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</si>
  <si>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</si>
  <si>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</si>
  <si>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</si>
  <si>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</si>
  <si>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</si>
  <si>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</si>
  <si>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</si>
  <si>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</si>
  <si>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</si>
  <si>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</si>
  <si>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</si>
  <si>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</si>
  <si>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</si>
  <si>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</si>
  <si>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</si>
  <si>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</si>
  <si>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</si>
  <si>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</si>
  <si>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</si>
  <si>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</si>
  <si>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</si>
  <si>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</si>
  <si>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</si>
  <si>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</si>
  <si>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</si>
  <si>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</si>
  <si>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</si>
  <si>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</si>
  <si>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</si>
  <si>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</si>
  <si>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</si>
  <si>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</si>
  <si>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</si>
  <si>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</si>
  <si>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</si>
  <si>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</si>
  <si>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</si>
  <si>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</si>
  <si>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</si>
  <si>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</si>
  <si>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</si>
  <si>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</si>
  <si>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</si>
  <si>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</si>
  <si>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</si>
  <si>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</si>
  <si>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</si>
  <si>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</si>
  <si>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</si>
  <si>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</si>
  <si>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</si>
  <si>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</si>
  <si>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</si>
  <si>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</si>
  <si>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</si>
  <si>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</si>
  <si>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</si>
  <si>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</si>
  <si>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</si>
  <si>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</si>
  <si>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</si>
  <si>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</si>
  <si>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</si>
  <si>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</si>
  <si>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</si>
  <si>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</si>
  <si>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</si>
  <si>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</si>
  <si>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</si>
  <si>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</si>
  <si>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</si>
  <si>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</si>
  <si>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</si>
  <si>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</si>
  <si>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</si>
  <si>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</si>
  <si>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</si>
  <si>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</si>
  <si>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</si>
  <si>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</si>
  <si>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</si>
  <si>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</si>
  <si>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</si>
  <si>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</si>
  <si>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</si>
  <si>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</si>
  <si>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</si>
  <si>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</si>
  <si>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</si>
  <si>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</si>
  <si>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</si>
  <si>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</si>
  <si>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</si>
  <si>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</si>
  <si>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</si>
  <si>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</si>
  <si>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</si>
  <si>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</si>
  <si>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</si>
  <si>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</si>
  <si>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</si>
  <si>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</si>
  <si>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</si>
  <si>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</si>
  <si>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</si>
  <si>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</si>
  <si>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</si>
  <si>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</si>
  <si>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</si>
  <si>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</si>
  <si>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</si>
  <si>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</si>
  <si>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</si>
  <si>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</si>
  <si>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</si>
  <si>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</si>
  <si>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</si>
  <si>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</si>
  <si>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</si>
  <si>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</si>
  <si>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</si>
  <si>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</si>
  <si>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</si>
  <si>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</si>
  <si>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</si>
  <si>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</si>
  <si>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</si>
  <si>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</si>
  <si>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</si>
  <si>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</si>
  <si>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</si>
  <si>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</si>
  <si>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</si>
  <si>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</si>
  <si>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</si>
  <si>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</si>
  <si>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</si>
  <si>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</si>
  <si>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</si>
  <si>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</si>
  <si>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</si>
  <si>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</si>
  <si>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</si>
  <si>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</si>
  <si>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</si>
  <si>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</si>
  <si>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</si>
  <si>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</si>
  <si>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</si>
  <si>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</si>
  <si>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</si>
  <si>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</si>
  <si>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</si>
  <si>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</si>
  <si>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</si>
  <si>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</si>
  <si>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</si>
  <si>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</si>
  <si>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</si>
  <si>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</si>
  <si>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</si>
  <si>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</si>
  <si>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</si>
  <si>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</si>
  <si>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</si>
  <si>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</si>
  <si>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</si>
  <si>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</si>
  <si>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</si>
  <si>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</si>
  <si>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</si>
  <si>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</si>
  <si>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</si>
  <si>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</si>
  <si>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</si>
  <si>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</si>
  <si>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</si>
  <si>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</si>
  <si>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</si>
  <si>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</si>
  <si>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</si>
  <si>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</si>
  <si>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</si>
  <si>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</si>
  <si>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</si>
  <si>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</si>
  <si>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</si>
  <si>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</si>
  <si>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</si>
  <si>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</si>
  <si>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</si>
  <si>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</si>
  <si>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</si>
  <si>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</si>
  <si>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</si>
  <si>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</si>
  <si>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</si>
  <si>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</si>
  <si>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</si>
  <si>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</si>
  <si>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</si>
  <si>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</si>
  <si>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</si>
  <si>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</si>
  <si>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</si>
  <si>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</si>
  <si>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</si>
  <si>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</si>
  <si>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</si>
  <si>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</si>
  <si>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</si>
  <si>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</si>
  <si>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</si>
  <si>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</si>
  <si>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</si>
  <si>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</si>
  <si>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</si>
  <si>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</si>
  <si>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</si>
  <si>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</si>
  <si>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</si>
  <si>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</si>
  <si>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</si>
  <si>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</si>
  <si>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</si>
  <si>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</si>
  <si>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</si>
  <si>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</si>
  <si>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</si>
  <si>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</si>
  <si>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</si>
  <si>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</si>
  <si>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</si>
  <si>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</si>
  <si>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</si>
  <si>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</si>
  <si>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</si>
  <si>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</si>
  <si>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</si>
  <si>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</si>
  <si>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</si>
  <si>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</si>
  <si>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</si>
  <si>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</si>
  <si>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</si>
  <si>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</si>
  <si>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</si>
  <si>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</si>
  <si>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</si>
  <si>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</si>
  <si>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</si>
  <si>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</si>
  <si>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</si>
  <si>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</si>
  <si>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</si>
  <si>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</si>
  <si>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</si>
  <si>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</si>
  <si>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</si>
  <si>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</si>
  <si>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</si>
  <si>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</si>
  <si>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</si>
  <si>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</si>
  <si>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</si>
  <si>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</si>
  <si>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</si>
  <si>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</si>
  <si>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</si>
  <si>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</si>
  <si>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</si>
  <si>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</si>
  <si>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</si>
  <si>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</si>
  <si>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</si>
  <si>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</si>
  <si>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</si>
  <si>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</si>
  <si>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</si>
  <si>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</si>
  <si>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</si>
  <si>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</si>
  <si>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</si>
  <si>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</si>
  <si>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</si>
  <si>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</si>
  <si>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</si>
  <si>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</si>
  <si>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</si>
  <si>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</si>
  <si>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</si>
  <si>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</si>
  <si>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</si>
  <si>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</si>
  <si>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</si>
  <si>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</si>
  <si>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</si>
  <si>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</si>
  <si>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</si>
  <si>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</si>
  <si>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</si>
  <si>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</si>
  <si>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</si>
  <si>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</si>
  <si>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</si>
  <si>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</si>
  <si>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</si>
  <si>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</si>
  <si>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</si>
  <si>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</si>
  <si>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</si>
  <si>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</si>
  <si>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</si>
  <si>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</si>
  <si>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</si>
  <si>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</si>
  <si>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</si>
  <si>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</si>
  <si>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</si>
  <si>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</si>
  <si>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</si>
  <si>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</si>
  <si>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</si>
  <si>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</si>
  <si>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</si>
  <si>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</si>
  <si>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</si>
  <si>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</si>
  <si>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</si>
  <si>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</si>
  <si>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</si>
  <si>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</si>
  <si>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</si>
  <si>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</si>
  <si>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</si>
  <si>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</si>
  <si>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</si>
  <si>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</si>
  <si>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</si>
  <si>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</si>
  <si>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</si>
  <si>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</si>
  <si>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</si>
  <si>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</si>
  <si>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</si>
  <si>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</si>
  <si>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</si>
  <si>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</si>
  <si>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</si>
  <si>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</si>
  <si>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</si>
  <si>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</si>
  <si>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</si>
  <si>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</si>
  <si>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</si>
  <si>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</si>
  <si>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</si>
  <si>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</si>
  <si>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</si>
  <si>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</si>
  <si>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</si>
  <si>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</si>
  <si>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</si>
  <si>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</si>
  <si>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</si>
  <si>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</si>
  <si>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</si>
  <si>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</si>
  <si>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</si>
  <si>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</si>
  <si>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</si>
  <si>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</si>
  <si>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</si>
  <si>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</si>
  <si>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</si>
  <si>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</si>
  <si>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</si>
  <si>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</si>
  <si>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</si>
  <si>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</si>
  <si>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</si>
  <si>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</si>
  <si>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</si>
  <si>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</si>
  <si>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</si>
  <si>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</si>
  <si>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</si>
  <si>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</si>
  <si>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</si>
  <si>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</si>
  <si>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</si>
  <si>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</si>
  <si>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</si>
  <si>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</si>
  <si>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</si>
  <si>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</si>
  <si>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</si>
  <si>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</si>
  <si>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</si>
  <si>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</si>
  <si>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</si>
  <si>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</si>
  <si>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</si>
  <si>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</si>
  <si>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</si>
  <si>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</si>
  <si>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</si>
  <si>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</si>
  <si>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</si>
  <si>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</si>
  <si>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</si>
  <si>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</si>
  <si>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</si>
  <si>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</si>
  <si>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</si>
  <si>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</si>
  <si>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</si>
  <si>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</si>
  <si>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</si>
  <si>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</si>
  <si>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</si>
  <si>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</si>
  <si>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</si>
  <si>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</si>
  <si>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</si>
  <si>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</si>
  <si>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</si>
  <si>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</si>
  <si>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</si>
  <si>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</si>
  <si>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</si>
  <si>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</si>
  <si>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</si>
  <si>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</si>
  <si>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</si>
  <si>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</si>
  <si>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</si>
  <si>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</si>
  <si>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</si>
  <si>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</si>
  <si>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</si>
  <si>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</si>
  <si>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</si>
  <si>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</si>
  <si>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</si>
  <si>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</si>
  <si>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</si>
  <si>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</si>
  <si>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</si>
  <si>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</si>
  <si>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</si>
  <si>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</si>
  <si>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</si>
  <si>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</si>
  <si>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</si>
  <si>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</si>
  <si>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</si>
  <si>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</si>
  <si>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</si>
  <si>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</si>
  <si>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</si>
  <si>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</si>
  <si>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</si>
  <si>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</si>
  <si>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</si>
  <si>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</si>
  <si>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</si>
  <si>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</si>
  <si>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</si>
  <si>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</si>
  <si>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</si>
  <si>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</si>
  <si>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</si>
  <si>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</si>
  <si>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</si>
  <si>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</si>
  <si>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</si>
  <si>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</si>
  <si>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</si>
  <si>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</si>
  <si>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</si>
  <si>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</si>
  <si>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</si>
  <si>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</si>
  <si>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</si>
  <si>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</si>
  <si>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</si>
  <si>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</si>
  <si>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</si>
  <si>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</si>
  <si>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</si>
  <si>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</si>
  <si>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</si>
  <si>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</si>
  <si>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</si>
  <si>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</si>
  <si>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</si>
  <si>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</si>
  <si>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</si>
  <si>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</si>
  <si>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</si>
  <si>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</si>
  <si>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</si>
  <si>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</si>
  <si>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</si>
  <si>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</si>
  <si>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</si>
  <si>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</si>
  <si>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</si>
  <si>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</si>
  <si>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</si>
  <si>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</si>
  <si>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</si>
  <si>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</si>
  <si>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</si>
  <si>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</si>
  <si>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</si>
  <si>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</si>
  <si>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</si>
  <si>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</si>
  <si>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</si>
  <si>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</si>
  <si>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</si>
  <si>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</si>
  <si>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</si>
  <si>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</si>
  <si>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</si>
  <si>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</si>
  <si>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</si>
  <si>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</si>
  <si>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</si>
  <si>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</si>
  <si>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</si>
  <si>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</si>
  <si>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</si>
  <si>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</si>
  <si>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</si>
  <si>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</si>
  <si>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</si>
  <si>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</si>
  <si>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</si>
  <si>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</si>
  <si>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</si>
  <si>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</si>
  <si>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</si>
  <si>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</si>
  <si>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</si>
  <si>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</si>
  <si>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</si>
  <si>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</si>
  <si>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</si>
  <si>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</si>
  <si>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</si>
  <si>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</si>
  <si>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</si>
  <si>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</si>
  <si>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</si>
  <si>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</si>
  <si>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</si>
  <si>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</si>
  <si>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</si>
  <si>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</si>
  <si>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</si>
  <si>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</si>
  <si>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</si>
  <si>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</si>
  <si>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</si>
  <si>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</si>
  <si>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</si>
  <si>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</si>
  <si>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</si>
  <si>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</si>
  <si>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</si>
  <si>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</si>
  <si>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</si>
  <si>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</si>
  <si>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</si>
  <si>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</si>
  <si>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</si>
  <si>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</si>
  <si>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</si>
  <si>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</si>
  <si>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</si>
  <si>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</si>
  <si>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</si>
  <si>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</si>
  <si>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</si>
  <si>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</si>
  <si>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</si>
  <si>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</si>
  <si>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</si>
  <si>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</si>
  <si>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</si>
  <si>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</si>
  <si>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</si>
  <si>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</si>
  <si>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</si>
  <si>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</si>
  <si>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</si>
  <si>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</si>
  <si>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</si>
  <si>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</si>
  <si>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</si>
  <si>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</si>
  <si>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</si>
  <si>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</si>
  <si>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</si>
  <si>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</si>
  <si>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</si>
  <si>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</si>
  <si>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</si>
  <si>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</si>
  <si>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</si>
  <si>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</si>
  <si>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</si>
  <si>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</si>
  <si>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</si>
  <si>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</si>
  <si>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</si>
  <si>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</si>
  <si>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</si>
  <si>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</si>
  <si>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</si>
  <si>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</si>
  <si>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</si>
  <si>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</si>
  <si>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</si>
  <si>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</si>
  <si>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</si>
  <si>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</si>
  <si>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</si>
  <si>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</si>
  <si>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</si>
  <si>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</si>
  <si>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</si>
  <si>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</si>
  <si>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</si>
  <si>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</si>
  <si>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</si>
  <si>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</si>
  <si>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</si>
  <si>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</si>
  <si>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</si>
  <si>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</si>
  <si>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</si>
  <si>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</si>
  <si>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</si>
  <si>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</si>
  <si>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</si>
  <si>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</si>
  <si>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</si>
  <si>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</si>
  <si>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</si>
  <si>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</si>
  <si>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</si>
  <si>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</si>
  <si>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</si>
  <si>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</si>
  <si>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</si>
  <si>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</si>
  <si>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</si>
  <si>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</si>
  <si>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</si>
  <si>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</si>
  <si>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</si>
  <si>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</si>
  <si>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</si>
  <si>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</si>
  <si>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</si>
  <si>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</si>
  <si>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</si>
  <si>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</si>
  <si>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</si>
  <si>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</si>
  <si>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</si>
  <si>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</si>
  <si>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</si>
  <si>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</si>
  <si>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</si>
  <si>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</si>
  <si>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</si>
  <si>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</si>
  <si>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</si>
  <si>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</si>
  <si>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</si>
  <si>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</si>
  <si>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</si>
  <si>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</si>
  <si>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</si>
  <si>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</si>
  <si>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</si>
  <si>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</si>
  <si>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</si>
  <si>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</si>
  <si>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</si>
  <si>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</si>
  <si>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</si>
  <si>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</si>
  <si>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</si>
  <si>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</si>
  <si>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</si>
  <si>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</si>
  <si>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</si>
  <si>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</si>
  <si>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</si>
  <si>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</si>
  <si>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</si>
  <si>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</si>
  <si>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</si>
  <si>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</si>
  <si>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</si>
  <si>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</si>
  <si>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</si>
  <si>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</si>
  <si>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</si>
  <si>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</si>
  <si>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</si>
  <si>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</si>
  <si>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</si>
  <si>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</si>
  <si>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</si>
  <si>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</si>
  <si>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</si>
  <si>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</si>
  <si>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</si>
  <si>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</si>
  <si>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</si>
  <si>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</si>
  <si>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</si>
  <si>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</si>
  <si>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</si>
  <si>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</si>
  <si>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</si>
  <si>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</si>
  <si>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</si>
  <si>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</si>
  <si>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</si>
  <si>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</si>
  <si>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</si>
  <si>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</si>
  <si>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</si>
  <si>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</si>
  <si>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</si>
  <si>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</si>
  <si>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</si>
  <si>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</si>
  <si>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</si>
  <si>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</si>
  <si>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</si>
  <si>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</si>
  <si>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</si>
  <si>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</si>
  <si>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</si>
  <si>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</si>
  <si>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</si>
  <si>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</si>
  <si>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</si>
  <si>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</si>
  <si>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</si>
  <si>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</si>
  <si>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</si>
  <si>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</si>
  <si>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</si>
  <si>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</si>
  <si>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</si>
  <si>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</si>
  <si>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</si>
  <si>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</si>
  <si>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</si>
  <si>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</si>
  <si>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</si>
  <si>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</si>
  <si>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</si>
  <si>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</si>
  <si>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</si>
  <si>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</si>
  <si>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</si>
  <si>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</si>
  <si>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</si>
  <si>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</si>
  <si>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</si>
  <si>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</si>
  <si>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</si>
  <si>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</si>
  <si>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</si>
  <si>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</si>
  <si>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</si>
  <si>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</si>
  <si>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</si>
  <si>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</si>
  <si>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</si>
  <si>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</si>
  <si>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</si>
  <si>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</si>
  <si>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</si>
  <si>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</si>
  <si>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</si>
  <si>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</si>
  <si>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</si>
  <si>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</si>
  <si>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</si>
  <si>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</si>
  <si>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</si>
  <si>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</si>
  <si>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</si>
  <si>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</si>
  <si>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</si>
  <si>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</si>
  <si>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</si>
  <si>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</si>
  <si>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</si>
  <si>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</si>
  <si>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</si>
  <si>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</si>
  <si>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</si>
  <si>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</si>
  <si>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</si>
  <si>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</si>
  <si>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</si>
  <si>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</si>
  <si>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</si>
  <si>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</si>
  <si>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</si>
  <si>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</si>
  <si>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</si>
  <si>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</si>
  <si>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</si>
  <si>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</si>
  <si>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</si>
  <si>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</si>
  <si>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</si>
  <si>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</si>
  <si>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</si>
  <si>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</si>
  <si>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</si>
  <si>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</si>
  <si>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</si>
  <si>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</si>
  <si>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</si>
  <si>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</si>
  <si>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</si>
  <si>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</si>
  <si>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</si>
  <si>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</si>
  <si>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</si>
  <si>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</si>
  <si>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</si>
  <si>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</si>
  <si>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</si>
  <si>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</si>
  <si>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</si>
  <si>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</si>
  <si>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</si>
  <si>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</si>
  <si>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</si>
  <si>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</si>
  <si>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</si>
  <si>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</si>
  <si>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</si>
  <si>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</si>
  <si>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</si>
  <si>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</si>
  <si>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</si>
  <si>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</si>
  <si>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</si>
  <si>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</si>
  <si>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</si>
  <si>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</si>
  <si>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</si>
  <si>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</si>
  <si>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</si>
  <si>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</si>
  <si>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</si>
  <si>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</si>
  <si>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</si>
  <si>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</si>
  <si>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</si>
  <si>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</si>
  <si>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</si>
  <si>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</si>
  <si>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</si>
  <si>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</si>
  <si>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</si>
  <si>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</si>
  <si>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</si>
  <si>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</si>
  <si>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</si>
  <si>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</si>
  <si>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</si>
  <si>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</si>
  <si>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</si>
  <si>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</si>
  <si>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</si>
  <si>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</si>
  <si>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</si>
  <si>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</si>
  <si>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</si>
  <si>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</si>
  <si>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</si>
  <si>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</si>
  <si>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</si>
  <si>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</si>
  <si>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</si>
  <si>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</si>
  <si>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</si>
  <si>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</si>
  <si>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</si>
  <si>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</si>
  <si>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</si>
  <si>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</si>
  <si>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</si>
  <si>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</si>
  <si>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</si>
  <si>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</si>
  <si>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</si>
  <si>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</si>
  <si>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</si>
  <si>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</si>
  <si>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</si>
  <si>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</si>
  <si>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</si>
  <si>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</si>
  <si>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</si>
  <si>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</si>
  <si>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</si>
  <si>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</si>
  <si>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</si>
  <si>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</si>
  <si>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</si>
  <si>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</si>
  <si>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</si>
  <si>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</si>
  <si>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</si>
  <si>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</si>
  <si>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</si>
  <si>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</si>
  <si>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</si>
  <si>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</si>
  <si>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</si>
  <si>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</si>
  <si>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</si>
  <si>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</si>
  <si>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</si>
  <si>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</si>
  <si>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</si>
  <si>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</si>
  <si>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</si>
  <si>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</si>
  <si>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</si>
  <si>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</si>
  <si>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</si>
  <si>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</si>
  <si>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</si>
  <si>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</si>
  <si>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</si>
  <si>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</si>
  <si>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</si>
  <si>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</si>
  <si>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</si>
  <si>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</si>
  <si>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</si>
  <si>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</si>
  <si>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</si>
  <si>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</si>
  <si>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</si>
  <si>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</si>
  <si>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</si>
  <si>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</si>
  <si>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</si>
  <si>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</si>
  <si>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</si>
  <si>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</si>
  <si>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</si>
  <si>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</si>
  <si>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</si>
  <si>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</si>
  <si>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</si>
  <si>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</si>
  <si>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</si>
  <si>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</si>
  <si>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</si>
  <si>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</si>
  <si>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</si>
  <si>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</si>
  <si>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</si>
  <si>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</si>
  <si>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</si>
  <si>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</si>
  <si>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</si>
  <si>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</si>
  <si>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</si>
  <si>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</si>
  <si>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</si>
  <si>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</si>
  <si>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</si>
  <si>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</si>
  <si>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</si>
  <si>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</si>
  <si>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</si>
  <si>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</si>
  <si>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</si>
  <si>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</si>
  <si>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</si>
  <si>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</si>
  <si>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</si>
  <si>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</si>
  <si>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</si>
  <si>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</si>
  <si>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</si>
  <si>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</si>
  <si>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</si>
  <si>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</si>
  <si>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</si>
  <si>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</si>
  <si>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</si>
  <si>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</si>
  <si>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</si>
  <si>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</si>
  <si>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</si>
  <si>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</si>
  <si>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</si>
  <si>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</si>
  <si>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</si>
  <si>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</si>
  <si>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</si>
  <si>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</si>
  <si>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</si>
  <si>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</si>
  <si>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</si>
  <si>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</si>
  <si>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</si>
  <si>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</si>
  <si>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</si>
  <si>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</si>
  <si>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</si>
  <si>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</si>
  <si>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</si>
  <si>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</si>
  <si>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</si>
  <si>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</si>
  <si>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</si>
  <si>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</si>
  <si>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</si>
  <si>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</si>
  <si>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</si>
  <si>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</si>
  <si>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</si>
  <si>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</si>
  <si>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</si>
  <si>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</si>
  <si>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</si>
  <si>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</si>
  <si>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</si>
  <si>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</si>
  <si>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</si>
  <si>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</si>
  <si>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</si>
  <si>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</si>
  <si>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</si>
  <si>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</si>
  <si>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</si>
  <si>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</si>
  <si>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</si>
  <si>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</si>
  <si>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</si>
  <si>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</si>
  <si>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</si>
  <si>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</si>
  <si>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</si>
  <si>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</si>
  <si>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</si>
  <si>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</si>
  <si>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</si>
  <si>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</si>
  <si>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</si>
  <si>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</si>
  <si>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</si>
  <si>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</si>
  <si>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</si>
  <si>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</si>
  <si>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</si>
  <si>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</si>
  <si>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</si>
  <si>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</si>
  <si>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</si>
  <si>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</si>
  <si>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</si>
  <si>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</si>
  <si>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</si>
  <si>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</si>
  <si>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</si>
  <si>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</si>
  <si>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</si>
  <si>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</si>
  <si>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</si>
  <si>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</si>
  <si>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</si>
  <si>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</si>
  <si>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</si>
  <si>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</si>
  <si>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</si>
  <si>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</si>
  <si>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</si>
  <si>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</si>
  <si>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</si>
  <si>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</si>
  <si>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</si>
  <si>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</si>
  <si>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</si>
  <si>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</si>
  <si>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</si>
  <si>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</si>
  <si>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</si>
  <si>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</si>
  <si>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</si>
  <si>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</si>
  <si>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</si>
  <si>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</si>
  <si>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</si>
  <si>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</si>
  <si>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</si>
  <si>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</si>
  <si>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</si>
  <si>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</si>
  <si>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</si>
  <si>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</si>
  <si>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</si>
  <si>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</si>
  <si>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</si>
  <si>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</si>
  <si>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</si>
  <si>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</si>
  <si>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</si>
  <si>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</si>
  <si>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</si>
  <si>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</si>
  <si>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</si>
  <si>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</si>
  <si>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</si>
  <si>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</si>
  <si>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</si>
  <si>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</si>
  <si>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</si>
  <si>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</si>
  <si>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</si>
  <si>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</si>
  <si>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</si>
  <si>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</si>
  <si>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</si>
  <si>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</si>
  <si>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</si>
  <si>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</si>
  <si>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</si>
  <si>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</si>
  <si>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</si>
  <si>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</si>
  <si>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</si>
  <si>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</si>
  <si>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</si>
  <si>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</si>
  <si>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</si>
  <si>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</si>
  <si>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</si>
  <si>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</si>
  <si>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</si>
  <si>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</si>
  <si>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</si>
  <si>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</si>
  <si>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</si>
  <si>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</si>
  <si>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</si>
  <si>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</si>
  <si>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</si>
  <si>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</si>
  <si>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</si>
  <si>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</si>
  <si>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</si>
  <si>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</si>
  <si>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</si>
  <si>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</si>
  <si>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</si>
  <si>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</si>
  <si>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</si>
  <si>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</si>
  <si>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</si>
  <si>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</si>
  <si>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</si>
  <si>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</si>
  <si>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</si>
  <si>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</si>
  <si>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</si>
  <si>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</si>
  <si>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</si>
  <si>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</si>
  <si>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</si>
  <si>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</si>
  <si>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</si>
  <si>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</si>
  <si>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</si>
  <si>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</si>
  <si>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</si>
  <si>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</si>
  <si>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</si>
  <si>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</si>
  <si>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</si>
  <si>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</si>
  <si>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</si>
  <si>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</si>
  <si>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</si>
  <si>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</si>
  <si>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</si>
  <si>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</si>
  <si>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</si>
  <si>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</si>
  <si>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</si>
  <si>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</si>
  <si>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</si>
  <si>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</si>
  <si>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</si>
  <si>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</si>
  <si>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</si>
  <si>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</si>
  <si>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</si>
  <si>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</si>
  <si>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</si>
  <si>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</si>
  <si>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</si>
  <si>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</si>
  <si>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</si>
  <si>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</si>
  <si>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</si>
  <si>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</si>
  <si>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</si>
  <si>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</si>
  <si>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</si>
  <si>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</si>
  <si>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</si>
  <si>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</si>
  <si>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</si>
  <si>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</si>
  <si>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</si>
  <si>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</si>
  <si>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</si>
  <si>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</si>
  <si>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</si>
  <si>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</si>
  <si>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</si>
  <si>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</si>
  <si>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</si>
  <si>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</si>
  <si>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</si>
  <si>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</si>
  <si>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</si>
  <si>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</si>
  <si>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</si>
  <si>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</si>
  <si>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</si>
  <si>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</si>
  <si>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</si>
  <si>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</si>
  <si>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</si>
  <si>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</si>
  <si>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</si>
  <si>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</si>
  <si>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</si>
  <si>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</si>
  <si>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</si>
  <si>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</si>
  <si>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</si>
  <si>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</si>
  <si>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</si>
  <si>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</si>
  <si>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</si>
  <si>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</si>
  <si>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</si>
  <si>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</si>
  <si>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</si>
  <si>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</si>
  <si>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</si>
  <si>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</si>
  <si>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</si>
  <si>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</si>
  <si>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</si>
  <si>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</si>
  <si>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</si>
  <si>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</si>
  <si>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</si>
  <si>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</si>
  <si>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</si>
  <si>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</si>
  <si>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</si>
  <si>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</si>
  <si>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</si>
  <si>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</si>
  <si>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</si>
  <si>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</si>
  <si>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</si>
  <si>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</si>
  <si>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</si>
  <si>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</si>
  <si>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</si>
  <si>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</si>
  <si>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</si>
  <si>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</si>
  <si>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</si>
  <si>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</si>
  <si>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</si>
  <si>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</si>
  <si>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</si>
  <si>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</si>
  <si>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</si>
  <si>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</si>
  <si>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</si>
  <si>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</si>
  <si>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</si>
  <si>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</si>
  <si>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</si>
  <si>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</si>
  <si>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</si>
  <si>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</si>
  <si>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</si>
  <si>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</si>
  <si>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</si>
  <si>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</si>
  <si>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</si>
  <si>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</si>
  <si>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</si>
  <si>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</si>
  <si>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</si>
  <si>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</si>
  <si>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</si>
  <si>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</si>
  <si>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</si>
  <si>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</si>
  <si>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</si>
  <si>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</si>
  <si>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</si>
  <si>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</si>
  <si>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</si>
  <si>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</si>
  <si>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</si>
  <si>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</si>
  <si>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</si>
  <si>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</si>
  <si>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</si>
  <si>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</si>
  <si>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</si>
  <si>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</si>
  <si>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</si>
  <si>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</si>
  <si>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</si>
  <si>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</si>
  <si>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</si>
  <si>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</si>
  <si>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</si>
  <si>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</si>
  <si>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</si>
  <si>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</si>
  <si>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</si>
  <si>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</si>
  <si>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</si>
  <si>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</si>
  <si>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</si>
  <si>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</si>
  <si>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</si>
  <si>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</si>
  <si>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</si>
  <si>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</si>
  <si>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</si>
  <si>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</si>
  <si>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</si>
  <si>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</si>
  <si>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</si>
  <si>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</si>
  <si>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</si>
  <si>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</si>
  <si>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</si>
  <si>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</si>
  <si>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</si>
  <si>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</si>
  <si>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</si>
  <si>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</si>
  <si>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</si>
  <si>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</si>
  <si>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</si>
  <si>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</si>
  <si>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</si>
  <si>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</si>
  <si>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</si>
  <si>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</si>
  <si>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</si>
  <si>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</si>
  <si>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</si>
  <si>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</si>
  <si>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</si>
  <si>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</si>
  <si>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</si>
  <si>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</si>
  <si>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</si>
  <si>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</si>
  <si>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</si>
  <si>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</si>
  <si>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</si>
  <si>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</si>
  <si>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</si>
  <si>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</si>
  <si>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</si>
  <si>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</si>
  <si>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</si>
  <si>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</si>
  <si>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</si>
  <si>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</si>
  <si>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</si>
  <si>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</si>
  <si>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</si>
  <si>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</si>
  <si>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</si>
  <si>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</si>
  <si>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</si>
  <si>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</si>
  <si>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</si>
  <si>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</si>
  <si>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</si>
  <si>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</si>
  <si>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</si>
  <si>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</si>
  <si>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</si>
  <si>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</si>
  <si>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</si>
  <si>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</si>
  <si>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</si>
  <si>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</si>
  <si>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</si>
  <si>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</si>
  <si>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</si>
  <si>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</si>
  <si>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</si>
  <si>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</si>
  <si>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</si>
  <si>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</si>
  <si>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</si>
  <si>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</si>
  <si>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</si>
  <si>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</si>
  <si>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</si>
  <si>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</si>
  <si>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</si>
  <si>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</si>
  <si>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</si>
  <si>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</si>
  <si>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</si>
  <si>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</si>
  <si>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</si>
  <si>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</si>
  <si>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</si>
  <si>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</si>
  <si>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</si>
  <si>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</si>
  <si>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</si>
  <si>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</si>
  <si>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</si>
  <si>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</si>
  <si>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</si>
  <si>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</si>
  <si>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</si>
  <si>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</si>
  <si>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</si>
  <si>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</si>
  <si>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</si>
  <si>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</si>
  <si>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</si>
  <si>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</si>
  <si>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</si>
  <si>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</si>
  <si>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</si>
  <si>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</si>
  <si>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</si>
  <si>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</si>
  <si>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</si>
  <si>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</si>
  <si>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</si>
  <si>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</si>
  <si>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</si>
  <si>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</si>
  <si>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</si>
  <si>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</si>
  <si>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</si>
  <si>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</si>
  <si>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</si>
  <si>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</si>
  <si>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</si>
  <si>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</si>
  <si>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</si>
  <si>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</si>
  <si>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</si>
  <si>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</si>
  <si>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</si>
  <si>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</si>
  <si>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</si>
  <si>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</si>
  <si>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</si>
  <si>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</si>
  <si>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</si>
  <si>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</si>
  <si>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</si>
  <si>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</si>
  <si>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</si>
  <si>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</si>
  <si>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</si>
  <si>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</si>
  <si>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</si>
  <si>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</si>
  <si>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</si>
  <si>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</si>
  <si>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</si>
  <si>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</si>
  <si>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</si>
  <si>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</si>
  <si>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</si>
  <si>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</si>
  <si>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</si>
  <si>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</si>
  <si>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</si>
  <si>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</si>
  <si>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</si>
  <si>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</si>
  <si>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</si>
  <si>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</si>
  <si>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</si>
  <si>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</si>
  <si>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</si>
  <si>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</si>
  <si>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</si>
  <si>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</si>
  <si>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</si>
  <si>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</si>
  <si>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</si>
  <si>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</si>
  <si>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</si>
  <si>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</si>
  <si>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</si>
  <si>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</si>
  <si>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</si>
  <si>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</si>
  <si>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</si>
  <si>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</si>
  <si>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</si>
  <si>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</si>
  <si>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</si>
  <si>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</si>
  <si>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</si>
  <si>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</si>
  <si>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</si>
  <si>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</si>
  <si>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</si>
  <si>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</si>
  <si>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</si>
  <si>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</si>
  <si>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</si>
  <si>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</si>
  <si>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</si>
  <si>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</si>
  <si>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</si>
  <si>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</si>
  <si>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</si>
  <si>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</si>
  <si>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</si>
  <si>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</si>
  <si>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</si>
  <si>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</si>
  <si>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</si>
  <si>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</si>
  <si>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</si>
  <si>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</si>
  <si>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</si>
  <si>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</si>
  <si>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</si>
  <si>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</si>
  <si>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</si>
  <si>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</si>
  <si>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</si>
  <si>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</si>
  <si>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</si>
  <si>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</si>
  <si>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</si>
  <si>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</si>
  <si>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</si>
  <si>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</si>
  <si>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</si>
  <si>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</si>
  <si>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</si>
  <si>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</si>
  <si>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</si>
  <si>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</si>
  <si>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</si>
  <si>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</si>
  <si>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</si>
  <si>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</si>
  <si>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</si>
  <si>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</si>
  <si>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</si>
  <si>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</si>
  <si>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</si>
  <si>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</si>
  <si>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</si>
  <si>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</si>
  <si>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</si>
  <si>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</si>
  <si>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</si>
  <si>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</si>
  <si>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</si>
  <si>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</si>
  <si>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</si>
  <si>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</si>
  <si>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</si>
  <si>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</si>
  <si>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</si>
  <si>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</si>
  <si>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</si>
  <si>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</si>
  <si>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</si>
  <si>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</si>
  <si>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</si>
  <si>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</si>
  <si>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</si>
  <si>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</si>
  <si>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</si>
  <si>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</si>
  <si>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</si>
  <si>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</si>
  <si>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</si>
  <si>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</si>
  <si>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</si>
  <si>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</si>
  <si>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</si>
  <si>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</si>
  <si>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</si>
  <si>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</si>
  <si>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</si>
  <si>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</si>
  <si>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</si>
  <si>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</si>
  <si>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</si>
  <si>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</si>
  <si>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</si>
  <si>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</si>
  <si>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</si>
  <si>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</si>
  <si>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</si>
  <si>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</si>
  <si>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</si>
  <si>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</si>
  <si>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</si>
  <si>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</si>
  <si>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</si>
  <si>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</si>
  <si>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</si>
  <si>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</si>
  <si>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</si>
  <si>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</si>
  <si>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</si>
  <si>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</si>
  <si>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</si>
  <si>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</si>
  <si>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</si>
  <si>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</si>
  <si>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</si>
  <si>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</si>
  <si>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</si>
  <si>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</si>
  <si>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</si>
  <si>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</si>
  <si>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</si>
  <si>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</si>
  <si>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</si>
  <si>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</si>
  <si>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</si>
  <si>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</si>
  <si>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</si>
  <si>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</si>
  <si>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</si>
  <si>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</si>
  <si>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</si>
  <si>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</si>
  <si>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</si>
  <si>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</si>
  <si>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</si>
  <si>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</si>
  <si>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</si>
  <si>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</si>
  <si>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</si>
  <si>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</si>
  <si>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</si>
  <si>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</si>
  <si>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</si>
  <si>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</si>
  <si>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</si>
  <si>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</si>
  <si>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</si>
  <si>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</si>
  <si>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</si>
  <si>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</si>
  <si>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</si>
  <si>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</si>
  <si>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</si>
  <si>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</si>
  <si>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</si>
  <si>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</si>
  <si>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</si>
  <si>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</si>
  <si>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</si>
  <si>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</si>
  <si>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</si>
  <si>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</si>
  <si>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</si>
  <si>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</si>
  <si>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</si>
  <si>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</si>
  <si>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</si>
  <si>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</si>
  <si>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</si>
  <si>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</si>
  <si>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</si>
  <si>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</si>
  <si>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</si>
  <si>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</si>
  <si>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</si>
  <si>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</si>
  <si>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</si>
  <si>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</si>
  <si>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</si>
  <si>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</si>
  <si>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</si>
  <si>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</si>
  <si>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</si>
  <si>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</si>
  <si>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</si>
  <si>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</si>
  <si>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</si>
  <si>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</si>
  <si>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</si>
  <si>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</si>
  <si>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</si>
  <si>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</si>
  <si>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</si>
  <si>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</si>
  <si>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</si>
  <si>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</si>
  <si>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</si>
  <si>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</si>
  <si>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</si>
  <si>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</si>
  <si>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</si>
  <si>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</si>
  <si>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</si>
  <si>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</si>
  <si>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</si>
  <si>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</si>
  <si>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</si>
  <si>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</si>
  <si>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</si>
  <si>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</si>
  <si>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</si>
  <si>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</si>
  <si>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</si>
  <si>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</si>
  <si>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</si>
  <si>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</si>
  <si>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</si>
  <si>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</si>
  <si>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</si>
  <si>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</si>
  <si>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</si>
  <si>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</si>
  <si>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</si>
  <si>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</si>
  <si>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</si>
  <si>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</si>
  <si>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</si>
  <si>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</si>
  <si>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</si>
  <si>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</si>
  <si>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</si>
  <si>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</si>
  <si>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</si>
  <si>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</si>
  <si>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</si>
  <si>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</si>
  <si>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</si>
  <si>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</si>
  <si>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</si>
  <si>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</si>
  <si>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</si>
  <si>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</si>
  <si>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</si>
  <si>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</si>
  <si>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</si>
  <si>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</si>
  <si>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</si>
  <si>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</si>
  <si>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</si>
  <si>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</si>
  <si>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</si>
  <si>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</si>
  <si>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</si>
  <si>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</si>
  <si>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</si>
  <si>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</si>
  <si>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</si>
  <si>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</si>
  <si>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</si>
  <si>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</si>
  <si>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</si>
  <si>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</si>
  <si>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</si>
  <si>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</si>
  <si>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</si>
  <si>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</si>
  <si>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</si>
  <si>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</si>
  <si>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</si>
  <si>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</si>
  <si>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</si>
  <si>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</si>
  <si>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</si>
  <si>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</si>
  <si>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</si>
  <si>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</si>
  <si>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</si>
  <si>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</si>
  <si>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</si>
  <si>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</si>
  <si>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</si>
  <si>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</si>
  <si>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</si>
  <si>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</si>
  <si>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</si>
  <si>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</si>
  <si>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</si>
  <si>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</si>
  <si>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</si>
  <si>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</si>
  <si>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</si>
  <si>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</si>
  <si>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</si>
  <si>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</si>
  <si>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</si>
  <si>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</si>
  <si>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</si>
  <si>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</si>
  <si>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</si>
  <si>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</si>
  <si>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</si>
  <si>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</si>
  <si>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</si>
  <si>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</si>
  <si>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</si>
  <si>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</si>
  <si>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</si>
  <si>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</si>
  <si>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</si>
  <si>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</si>
  <si>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</si>
  <si>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</si>
  <si>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</si>
  <si>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</si>
  <si>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</si>
  <si>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</si>
  <si>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</si>
  <si>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</si>
  <si>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</si>
  <si>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</si>
  <si>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</si>
  <si>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</si>
  <si>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</si>
  <si>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</si>
  <si>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</si>
  <si>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</si>
  <si>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</si>
  <si>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</si>
  <si>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</si>
  <si>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</si>
  <si>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</si>
  <si>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</si>
  <si>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</si>
  <si>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</si>
  <si>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</si>
  <si>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</si>
  <si>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</si>
  <si>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</si>
  <si>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</si>
  <si>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</si>
  <si>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</si>
  <si>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</si>
  <si>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</si>
  <si>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</si>
  <si>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</si>
  <si>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</si>
  <si>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</si>
  <si>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</si>
  <si>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</si>
  <si>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</si>
  <si>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</si>
  <si>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</si>
  <si>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</si>
  <si>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</si>
  <si>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</si>
  <si>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</si>
  <si>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</si>
  <si>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</si>
  <si>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</si>
  <si>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</si>
  <si>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</si>
  <si>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</si>
  <si>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</si>
  <si>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</si>
  <si>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</si>
  <si>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</si>
  <si>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</si>
  <si>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</si>
  <si>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</si>
  <si>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</si>
  <si>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</si>
  <si>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</si>
  <si>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</si>
  <si>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</si>
  <si>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</si>
  <si>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</si>
  <si>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</si>
  <si>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</si>
  <si>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</si>
  <si>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</si>
  <si>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</si>
  <si>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</si>
  <si>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</si>
  <si>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</si>
  <si>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</si>
  <si>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</si>
  <si>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</si>
  <si>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</si>
  <si>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</si>
  <si>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</si>
  <si>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</si>
  <si>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</si>
  <si>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</si>
  <si>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</si>
  <si>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</si>
  <si>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</si>
  <si>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</si>
  <si>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</si>
  <si>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</si>
  <si>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</si>
  <si>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</si>
  <si>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</si>
  <si>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</si>
  <si>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</si>
  <si>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</si>
  <si>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</si>
  <si>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</si>
  <si>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</si>
  <si>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</si>
  <si>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</si>
  <si>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</si>
  <si>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</si>
  <si>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</si>
  <si>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</si>
  <si>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</si>
  <si>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</si>
  <si>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</si>
  <si>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</si>
  <si>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</si>
  <si>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</si>
  <si>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</si>
  <si>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</si>
  <si>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</si>
  <si>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</si>
  <si>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</si>
  <si>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</si>
  <si>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</si>
  <si>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</si>
  <si>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</si>
  <si>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</si>
  <si>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</si>
  <si>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</si>
  <si>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</si>
  <si>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</si>
  <si>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</si>
  <si>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</si>
  <si>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</si>
  <si>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</si>
  <si>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</si>
  <si>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</si>
  <si>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</si>
  <si>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</si>
  <si>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</si>
  <si>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</si>
  <si>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</si>
  <si>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</si>
  <si>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</si>
  <si>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</si>
  <si>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</si>
  <si>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</si>
  <si>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</si>
  <si>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</si>
  <si>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</si>
  <si>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</si>
  <si>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</si>
  <si>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</si>
  <si>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</si>
  <si>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</si>
  <si>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</si>
  <si>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</si>
  <si>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</si>
  <si>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</si>
  <si>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</si>
  <si>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</si>
  <si>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</si>
  <si>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</si>
  <si>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</si>
  <si>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</si>
  <si>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</si>
  <si>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</si>
  <si>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</si>
  <si>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</si>
  <si>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</si>
  <si>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</si>
  <si>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</si>
  <si>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</si>
  <si>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</si>
  <si>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</si>
  <si>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</si>
  <si>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</si>
  <si>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</si>
  <si>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</si>
  <si>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</si>
  <si>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</si>
  <si>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</si>
  <si>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</si>
  <si>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</si>
  <si>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</si>
  <si>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</si>
  <si>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</si>
  <si>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</si>
  <si>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</si>
  <si>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</si>
  <si>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</si>
  <si>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</si>
  <si>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</si>
  <si>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</si>
  <si>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</si>
  <si>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</si>
  <si>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</si>
  <si>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</si>
  <si>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</si>
  <si>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</si>
  <si>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</si>
  <si>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</si>
  <si>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</si>
  <si>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</si>
  <si>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</si>
  <si>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</si>
  <si>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</si>
  <si>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</si>
  <si>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</si>
  <si>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</si>
  <si>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</si>
  <si>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</si>
  <si>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</si>
  <si>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</si>
  <si>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</si>
  <si>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</si>
  <si>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</si>
  <si>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</si>
  <si>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</si>
  <si>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</si>
  <si>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</si>
  <si>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</si>
  <si>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</si>
  <si>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</si>
  <si>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</si>
  <si>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</si>
  <si>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</si>
  <si>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</si>
  <si>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</si>
  <si>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</si>
  <si>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</si>
  <si>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</si>
  <si>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</si>
  <si>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</si>
  <si>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</si>
  <si>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</si>
  <si>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</si>
  <si>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</si>
  <si>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</si>
  <si>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</si>
  <si>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</si>
  <si>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</si>
  <si>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</si>
  <si>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</si>
  <si>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</si>
  <si>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</si>
  <si>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</si>
  <si>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</si>
  <si>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</si>
  <si>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</si>
  <si>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</si>
  <si>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</si>
  <si>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</si>
  <si>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</si>
  <si>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</si>
  <si>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</si>
  <si>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</si>
  <si>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</si>
  <si>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</si>
  <si>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</si>
  <si>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</si>
  <si>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</si>
  <si>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</si>
  <si>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</si>
  <si>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</si>
  <si>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</si>
  <si>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</si>
  <si>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</si>
  <si>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</si>
  <si>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</si>
  <si>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</si>
  <si>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</si>
  <si>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</si>
  <si>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</si>
  <si>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</si>
  <si>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</si>
  <si>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</si>
  <si>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</si>
  <si>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</si>
  <si>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</si>
  <si>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</si>
  <si>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</si>
  <si>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</si>
  <si>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</si>
  <si>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</si>
  <si>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</si>
  <si>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</si>
  <si>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</si>
  <si>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</si>
  <si>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</si>
  <si>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</si>
  <si>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</si>
  <si>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</si>
  <si>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</si>
  <si>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</si>
  <si>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</si>
  <si>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</si>
  <si>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</si>
  <si>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</si>
  <si>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</si>
  <si>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</si>
  <si>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</si>
  <si>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</si>
  <si>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</si>
  <si>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</si>
  <si>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</si>
  <si>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</si>
  <si>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</si>
  <si>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</si>
  <si>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</si>
  <si>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</si>
  <si>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</si>
  <si>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</si>
  <si>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</si>
  <si>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</si>
  <si>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</si>
  <si>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</si>
  <si>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</si>
  <si>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</si>
  <si>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</si>
  <si>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</si>
  <si>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</si>
  <si>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</si>
  <si>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</si>
  <si>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</si>
  <si>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</si>
  <si>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</si>
  <si>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</si>
  <si>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</si>
  <si>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</si>
  <si>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</si>
  <si>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</si>
  <si>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</si>
  <si>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</si>
  <si>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</si>
  <si>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</si>
  <si>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</si>
  <si>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</si>
  <si>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</si>
  <si>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</si>
  <si>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</si>
  <si>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</si>
  <si>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</si>
  <si>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</si>
  <si>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</si>
  <si>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</si>
  <si>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</si>
  <si>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</si>
  <si>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</si>
  <si>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</si>
  <si>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</si>
  <si>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</si>
  <si>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</si>
  <si>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</si>
  <si>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</si>
  <si>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</si>
  <si>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</si>
  <si>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</si>
  <si>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</si>
  <si>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</si>
  <si>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</si>
  <si>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</si>
  <si>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</si>
  <si>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</si>
  <si>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</si>
  <si>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</si>
  <si>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</si>
  <si>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</si>
  <si>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</si>
  <si>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</si>
  <si>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</si>
  <si>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</si>
  <si>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</si>
  <si>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</si>
  <si>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</si>
  <si>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</si>
  <si>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</si>
  <si>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</si>
  <si>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</si>
  <si>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</si>
  <si>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</si>
  <si>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</si>
  <si>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</si>
  <si>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</si>
  <si>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</si>
  <si>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</si>
  <si>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</si>
  <si>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</si>
  <si>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</si>
  <si>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</si>
  <si>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</si>
  <si>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</si>
  <si>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</si>
  <si>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</si>
  <si>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</si>
  <si>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</si>
  <si>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</si>
  <si>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</si>
  <si>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</si>
  <si>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</si>
  <si>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</si>
  <si>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</si>
  <si>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</si>
  <si>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</si>
  <si>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</si>
  <si>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</si>
  <si>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</si>
  <si>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</si>
  <si>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</si>
  <si>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</si>
  <si>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</si>
  <si>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</si>
  <si>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</si>
  <si>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</si>
  <si>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</si>
  <si>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</si>
  <si>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</si>
  <si>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</si>
  <si>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</si>
  <si>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</si>
  <si>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</si>
  <si>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</si>
  <si>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</si>
  <si>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</si>
  <si>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</si>
  <si>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</si>
  <si>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</si>
  <si>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</si>
  <si>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</si>
  <si>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</si>
  <si>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</si>
  <si>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</si>
  <si>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</si>
  <si>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</si>
  <si>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</si>
  <si>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</si>
  <si>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</si>
  <si>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</si>
  <si>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</si>
  <si>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</si>
  <si>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</si>
  <si>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</si>
  <si>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</si>
  <si>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</si>
  <si>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</si>
  <si>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</si>
  <si>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</si>
  <si>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</si>
  <si>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</si>
  <si>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</si>
  <si>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</si>
  <si>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</si>
  <si>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</si>
  <si>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</si>
  <si>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</si>
  <si>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</si>
  <si>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</si>
  <si>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</si>
  <si>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</si>
  <si>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</si>
  <si>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</si>
  <si>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</si>
  <si>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</si>
  <si>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</si>
  <si>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</si>
  <si>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</si>
  <si>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</si>
  <si>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</si>
  <si>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</si>
  <si>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</si>
  <si>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</si>
  <si>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</si>
  <si>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</si>
  <si>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</si>
  <si>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</si>
  <si>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</si>
  <si>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</si>
  <si>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</si>
  <si>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</si>
  <si>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</si>
  <si>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</si>
  <si>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</si>
  <si>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</si>
  <si>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</si>
  <si>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</si>
  <si>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</si>
  <si>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</si>
  <si>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</si>
  <si>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</si>
  <si>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</si>
  <si>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</si>
  <si>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</si>
  <si>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</si>
  <si>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</si>
  <si>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</si>
  <si>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</si>
  <si>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</si>
  <si>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</si>
  <si>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</si>
  <si>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</si>
  <si>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</si>
  <si>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</si>
  <si>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</si>
  <si>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</si>
  <si>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</si>
  <si>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</si>
  <si>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</si>
  <si>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</si>
  <si>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</si>
  <si>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</si>
  <si>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</si>
  <si>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</si>
  <si>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</si>
  <si>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</si>
  <si>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</si>
  <si>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</si>
  <si>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</si>
  <si>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</si>
  <si>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</si>
  <si>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</si>
  <si>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</si>
  <si>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</si>
  <si>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</si>
  <si>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</si>
  <si>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</si>
  <si>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</si>
  <si>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</si>
  <si>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</si>
  <si>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</si>
  <si>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</si>
  <si>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</si>
  <si>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</si>
  <si>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</si>
  <si>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</si>
  <si>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</si>
  <si>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</si>
  <si>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</si>
  <si>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</si>
  <si>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</si>
  <si>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</si>
  <si>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</si>
  <si>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</si>
  <si>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</si>
  <si>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</si>
  <si>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</si>
  <si>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</si>
  <si>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</si>
  <si>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</si>
  <si>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</si>
  <si>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</si>
  <si>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</si>
  <si>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</si>
  <si>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</si>
  <si>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</si>
  <si>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</si>
  <si>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</si>
  <si>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</si>
  <si>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</si>
  <si>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</si>
  <si>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</si>
  <si>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</si>
  <si>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</si>
  <si>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</si>
  <si>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</si>
  <si>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</si>
  <si>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</si>
  <si>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</si>
  <si>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</si>
  <si>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</si>
  <si>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</si>
  <si>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</si>
  <si>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</si>
  <si>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</si>
  <si>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</si>
  <si>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</si>
  <si>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</si>
  <si>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</si>
  <si>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</si>
  <si>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</si>
  <si>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</si>
  <si>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</si>
  <si>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</si>
  <si>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</si>
  <si>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</si>
  <si>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</si>
  <si>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</si>
  <si>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</si>
  <si>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</si>
  <si>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</si>
  <si>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</si>
  <si>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</si>
  <si>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</si>
  <si>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</si>
  <si>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</si>
  <si>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</si>
  <si>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</si>
  <si>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</si>
  <si>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</si>
  <si>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</si>
  <si>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</si>
  <si>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</si>
  <si>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</si>
  <si>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</si>
  <si>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</si>
  <si>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</si>
  <si>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</si>
  <si>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</si>
  <si>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</si>
  <si>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</si>
  <si>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</si>
  <si>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</si>
  <si>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</si>
  <si>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</si>
  <si>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</si>
  <si>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</si>
  <si>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</si>
  <si>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</si>
  <si>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</si>
  <si>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</si>
  <si>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</si>
  <si>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</si>
  <si>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</si>
  <si>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</si>
  <si>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</si>
  <si>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</si>
  <si>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</si>
  <si>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</si>
  <si>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</si>
  <si>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</si>
  <si>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</si>
  <si>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</si>
  <si>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</si>
  <si>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</si>
  <si>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</si>
  <si>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</si>
  <si>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</si>
  <si>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</si>
  <si>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</si>
  <si>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</si>
  <si>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</si>
  <si>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</si>
  <si>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</si>
  <si>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</si>
  <si>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</si>
  <si>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</si>
  <si>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</si>
  <si>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</si>
  <si>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</si>
  <si>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</si>
  <si>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</si>
  <si>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</si>
  <si>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</si>
  <si>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</si>
  <si>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</si>
  <si>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</si>
  <si>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</si>
  <si>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</si>
  <si>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</si>
  <si>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</si>
  <si>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</si>
  <si>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</si>
  <si>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</si>
  <si>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</si>
  <si>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</si>
  <si>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</si>
  <si>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</si>
  <si>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</si>
  <si>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</si>
  <si>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</si>
  <si>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</si>
  <si>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</si>
  <si>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</si>
  <si>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</si>
  <si>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</si>
  <si>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</si>
  <si>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</si>
  <si>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</si>
  <si>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</si>
  <si>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</si>
  <si>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</si>
  <si>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</si>
  <si>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</si>
  <si>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</si>
  <si>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</si>
  <si>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</si>
  <si>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</si>
  <si>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</si>
  <si>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</si>
  <si>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</si>
  <si>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</si>
  <si>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</si>
  <si>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</si>
  <si>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</si>
  <si>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</si>
  <si>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</si>
  <si>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</si>
  <si>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</si>
  <si>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</si>
  <si>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</si>
  <si>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</si>
  <si>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</si>
  <si>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</si>
  <si>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</si>
  <si>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</si>
  <si>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</si>
  <si>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</si>
  <si>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</si>
  <si>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</si>
  <si>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</si>
  <si>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</si>
  <si>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</si>
  <si>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</si>
  <si>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</si>
  <si>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</si>
  <si>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</si>
  <si>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</si>
  <si>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</si>
  <si>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</si>
  <si>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</si>
  <si>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</si>
  <si>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</si>
  <si>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</si>
  <si>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</si>
  <si>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</si>
  <si>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</si>
  <si>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</si>
  <si>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</si>
  <si>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</si>
  <si>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</si>
  <si>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</si>
  <si>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</si>
  <si>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</si>
  <si>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</si>
  <si>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</si>
  <si>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</si>
  <si>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</si>
  <si>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</si>
  <si>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</si>
  <si>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</si>
  <si>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</si>
  <si>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</si>
  <si>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</si>
  <si>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</si>
  <si>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</si>
  <si>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</si>
  <si>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</si>
  <si>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</si>
  <si>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</si>
  <si>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</si>
  <si>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</si>
  <si>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</si>
  <si>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</si>
  <si>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</si>
  <si>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</si>
  <si>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</si>
  <si>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</si>
  <si>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</si>
  <si>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</si>
  <si>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</si>
  <si>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</si>
  <si>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</si>
  <si>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</si>
  <si>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</si>
  <si>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</si>
  <si>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</si>
  <si>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</si>
  <si>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</si>
  <si>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</si>
  <si>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</si>
  <si>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</si>
  <si>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</si>
  <si>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</si>
  <si>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</si>
  <si>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</si>
  <si>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</si>
  <si>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</si>
  <si>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</si>
  <si>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</si>
  <si>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</si>
  <si>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</si>
  <si>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</si>
  <si>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</si>
  <si>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</si>
  <si>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</si>
  <si>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</si>
  <si>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</si>
  <si>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</si>
  <si>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</si>
  <si>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</si>
  <si>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</si>
  <si>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</si>
  <si>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</si>
  <si>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</si>
  <si>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</si>
  <si>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</si>
  <si>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</si>
  <si>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</si>
  <si>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</si>
  <si>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</si>
  <si>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</si>
  <si>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</si>
  <si>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</si>
  <si>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</si>
  <si>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</si>
  <si>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</si>
  <si>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</si>
  <si>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</si>
  <si>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</si>
  <si>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</si>
  <si>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</si>
  <si>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</si>
  <si>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</si>
  <si>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</si>
  <si>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</si>
  <si>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</si>
  <si>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</si>
  <si>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</si>
  <si>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</si>
  <si>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</si>
  <si>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</si>
  <si>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</si>
  <si>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</si>
  <si>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</si>
  <si>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</si>
  <si>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</si>
  <si>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</si>
  <si>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</si>
  <si>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</si>
  <si>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</si>
  <si>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</si>
  <si>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</si>
  <si>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</si>
  <si>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</si>
  <si>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</si>
  <si>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</si>
  <si>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</si>
  <si>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</si>
  <si>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</si>
  <si>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</si>
  <si>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</si>
  <si>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</si>
  <si>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</si>
  <si>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</si>
  <si>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</si>
  <si>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</si>
  <si>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</si>
  <si>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</si>
  <si>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</si>
  <si>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</si>
  <si>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</si>
  <si>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</si>
  <si>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</si>
  <si>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</si>
  <si>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</si>
  <si>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</si>
  <si>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</si>
  <si>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</si>
  <si>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</si>
  <si>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</si>
  <si>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</si>
  <si>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</si>
  <si>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</si>
  <si>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</si>
  <si>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</si>
  <si>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</si>
  <si>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</si>
  <si>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</si>
  <si>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</si>
  <si>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</si>
  <si>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</si>
  <si>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</si>
  <si>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</si>
  <si>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</si>
  <si>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</si>
  <si>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</si>
  <si>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</si>
  <si>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</si>
  <si>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</si>
  <si>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</si>
  <si>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</si>
  <si>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</si>
  <si>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</si>
  <si>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</si>
  <si>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</si>
  <si>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</si>
  <si>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</si>
  <si>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</si>
  <si>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</si>
  <si>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</si>
  <si>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</si>
  <si>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</si>
  <si>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</si>
  <si>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</si>
  <si>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</si>
  <si>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</si>
  <si>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</si>
  <si>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</si>
  <si>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</si>
  <si>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</si>
  <si>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</si>
  <si>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</si>
  <si>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</si>
  <si>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</si>
  <si>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</si>
  <si>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</si>
  <si>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</si>
  <si>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</si>
  <si>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</si>
  <si>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</si>
  <si>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</si>
  <si>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</si>
  <si>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</si>
  <si>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</si>
  <si>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</si>
  <si>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</si>
  <si>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</si>
  <si>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</si>
  <si>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</si>
  <si>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</si>
  <si>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</si>
  <si>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</si>
  <si>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</si>
  <si>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</si>
  <si>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</si>
  <si>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</si>
  <si>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</si>
  <si>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</si>
  <si>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</si>
  <si>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</si>
  <si>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</si>
  <si>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</si>
  <si>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</si>
  <si>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</si>
  <si>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</si>
  <si>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</si>
  <si>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</si>
  <si>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</si>
  <si>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</si>
  <si>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</si>
  <si>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</si>
  <si>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</si>
  <si>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</si>
  <si>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</si>
  <si>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</si>
  <si>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</si>
  <si>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</si>
  <si>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</si>
  <si>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</si>
  <si>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</si>
  <si>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</si>
  <si>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</si>
  <si>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</si>
  <si>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</si>
  <si>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</si>
  <si>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</si>
  <si>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</si>
  <si>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</si>
  <si>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</si>
  <si>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</si>
  <si>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</si>
  <si>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</si>
  <si>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</si>
  <si>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</si>
  <si>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</si>
  <si>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</si>
  <si>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</si>
  <si>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</si>
  <si>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</si>
  <si>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</si>
  <si>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</si>
  <si>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</si>
  <si>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</si>
  <si>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</si>
  <si>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</si>
  <si>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</si>
  <si>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</si>
  <si>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</si>
  <si>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</si>
  <si>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</si>
  <si>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</si>
  <si>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</si>
  <si>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</si>
  <si>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</si>
  <si>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</si>
  <si>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</si>
  <si>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</si>
  <si>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</si>
  <si>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</si>
  <si>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</si>
  <si>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</si>
  <si>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</si>
  <si>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</si>
  <si>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</si>
  <si>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</si>
  <si>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</si>
  <si>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</si>
  <si>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</si>
  <si>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</si>
  <si>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</si>
  <si>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</si>
  <si>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</si>
  <si>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</si>
  <si>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</si>
  <si>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</si>
  <si>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</si>
  <si>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</si>
  <si>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</si>
  <si>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</si>
  <si>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</si>
  <si>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</si>
  <si>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</si>
  <si>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</si>
  <si>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</si>
  <si>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</si>
  <si>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</si>
  <si>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</si>
  <si>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</si>
  <si>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</si>
  <si>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</si>
  <si>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</si>
  <si>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</si>
  <si>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</si>
  <si>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</si>
  <si>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</si>
  <si>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</si>
  <si>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</si>
  <si>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</si>
  <si>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</si>
  <si>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</si>
  <si>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</si>
  <si>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</si>
  <si>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</si>
  <si>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</si>
  <si>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</si>
  <si>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</si>
  <si>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</si>
  <si>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</si>
  <si>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</si>
  <si>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</si>
  <si>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</si>
  <si>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</si>
  <si>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</si>
  <si>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</si>
  <si>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</si>
  <si>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</si>
  <si>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</si>
  <si>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</si>
  <si>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</si>
  <si>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</si>
  <si>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</si>
  <si>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</si>
  <si>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</si>
  <si>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</si>
  <si>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</si>
  <si>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</si>
  <si>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</si>
  <si>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</si>
  <si>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</si>
  <si>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</si>
  <si>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</si>
  <si>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</si>
  <si>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</si>
  <si>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</si>
  <si>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</si>
  <si>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</si>
  <si>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</si>
  <si>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</si>
  <si>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</si>
  <si>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</si>
  <si>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</si>
  <si>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</si>
  <si>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</si>
  <si>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</si>
  <si>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</si>
  <si>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</si>
  <si>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</si>
  <si>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</si>
  <si>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</si>
  <si>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</si>
  <si>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</si>
  <si>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</si>
  <si>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</si>
  <si>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</si>
  <si>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</si>
  <si>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</si>
  <si>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</si>
  <si>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</si>
  <si>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</si>
  <si>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</si>
  <si>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</si>
  <si>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</si>
  <si>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</si>
  <si>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</si>
  <si>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</si>
  <si>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</si>
  <si>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</si>
  <si>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</si>
  <si>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</si>
  <si>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</si>
  <si>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</si>
  <si>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</si>
  <si>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</si>
  <si>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</si>
  <si>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</si>
  <si>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</si>
  <si>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</si>
  <si>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</si>
  <si>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</si>
  <si>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</si>
  <si>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</si>
  <si>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</si>
  <si>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03/22/2013</t>
  </si>
  <si>
    <t>B110</t>
  </si>
  <si>
    <t>Ruiz/Rodriquez</t>
  </si>
  <si>
    <t>30 day demand 3.6.13</t>
  </si>
  <si>
    <t>A406</t>
  </si>
  <si>
    <t>Soltys</t>
  </si>
  <si>
    <t xml:space="preserve">foreclosure monitoring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</si>
</sst>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256.11</v>
      </c>
      <c r="H3" s="33" t="s">
        <v>8337</v>
      </c>
      <c r="I3" s="34" t="str">
        <f t="shared" ref="I3:I66" si="1">IF(ISERROR(VLOOKUP(H3,table,2,0)),"INVALID",VLOOKUP(H3,table,2,0))</f>
        <v>8520-5</v>
      </c>
      <c r="J3" s="44" t="str">
        <f t="shared" ref="J3:J66" si="2">IF(ISERROR(VLOOKUP(H3,table,3,0)),"",VLOOKUP(H3,table,3,0))</f>
        <v>Legal Fees-Attorneys</v>
      </c>
      <c r="K3" s="35" t="s">
        <v>44335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>03/22/2013</v>
      </c>
      <c r="B4" s="46" t="str">
        <f t="shared" ref="B4:B31" si="5">IF(C4="","",B3)</f>
        <v>0554</v>
      </c>
      <c r="C4" s="23" t="s">
        <v>44336</v>
      </c>
      <c r="D4" s="62" t="str">
        <f t="shared" si="0"/>
        <v>01</v>
      </c>
      <c r="E4" s="47" t="s">
        <v>44337</v>
      </c>
      <c r="F4" s="32" t="s">
        <v>38262</v>
      </c>
      <c r="G4" s="58">
        <v>240</v>
      </c>
      <c r="H4" s="21" t="s">
        <v>8337</v>
      </c>
      <c r="I4" s="24" t="str">
        <f t="shared" si="1"/>
        <v>8520-5</v>
      </c>
      <c r="J4" s="48" t="str">
        <f t="shared" si="2"/>
        <v>Legal Fees-Attorneys</v>
      </c>
      <c r="K4" s="25" t="s">
        <v>44338</v>
      </c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01</v>
      </c>
      <c r="BB4" s="56">
        <f t="shared" ref="BB4:BB67" si="7">IF(C4="","",IF(BA4="INVALID",BA4*1,1))</f>
        <v>1</v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1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B110</v>
      </c>
      <c r="C2" s="3" t="str">
        <f>'Billing Adjustment'!D3</f>
        <v>01</v>
      </c>
      <c r="D2" t="str">
        <f>'Billing Adjustment'!H3</f>
        <v>LG</v>
      </c>
      <c r="E2" s="3" t="str">
        <f>'Billing Adjustment'!A3</f>
        <v>03/22/2013</v>
      </c>
      <c r="F2" s="12" t="str">
        <f>'Billing Adjustment'!K3</f>
        <v>30 day demand 3.6.13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256.11</v>
      </c>
    </row>
    <row r="3" spans="1:8" x14ac:dyDescent="0.2">
      <c r="A3" t="str">
        <f>"00-"&amp;'Billing Adjustment'!B4</f>
        <v>00-0554</v>
      </c>
      <c r="B3" s="3" t="str">
        <f>'Billing Adjustment'!C4</f>
        <v>A406</v>
      </c>
      <c r="C3" s="3" t="str">
        <f>'Billing Adjustment'!D4</f>
        <v>01</v>
      </c>
      <c r="D3" t="str">
        <f>'Billing Adjustment'!H4</f>
        <v>LG</v>
      </c>
      <c r="E3" s="3" t="str">
        <f>'Billing Adjustment'!A4</f>
        <v>03/22/2013</v>
      </c>
      <c r="F3" s="12" t="str">
        <f>'Billing Adjustment'!K4</f>
        <v xml:space="preserve">foreclosure monitoring 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240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2013-03-22T21:28:37Z</dcterms:modified>
</cp:coreProperties>
</file>